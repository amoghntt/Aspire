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filterPrivacy="1" defaultThemeVersion="124226"/>
  <bookViews>
    <workbookView xWindow="0" yWindow="0" windowWidth="24000" windowHeight="9735" tabRatio="841"/>
  </bookViews>
  <sheets>
    <sheet name="Test_Cases" sheetId="27" r:id="rId1"/>
    <sheet name="Written -CR109-Exempted CH" sheetId="18" r:id="rId2"/>
    <sheet name="Written -CR109-Missed CH" sheetId="19" r:id="rId3"/>
    <sheet name="Written -CR109 Summart &amp; Mid " sheetId="21" r:id="rId4"/>
    <sheet name="Written -Manual PM overrides" sheetId="22" r:id="rId5"/>
    <sheet name="Written -Exclusions" sheetId="23" r:id="rId6"/>
    <sheet name="Written -PA Report" sheetId="24" r:id="rId7"/>
    <sheet name="Written -Email" sheetId="25" r:id="rId8"/>
    <sheet name="Scenarios" sheetId="26" r:id="rId9"/>
    <sheet name="RTM" sheetId="20" r:id="rId10"/>
  </sheets>
  <externalReferences>
    <externalReference r:id="rId11"/>
  </externalReferences>
  <definedNames>
    <definedName name="_xlnm._FilterDatabase" localSheetId="9" hidden="1">RTM!$A$1:$B$68</definedName>
    <definedName name="_xlnm._FilterDatabase" localSheetId="0" hidden="1">Test_Cases!$G$1:$G$614</definedName>
    <definedName name="testRunStatus">[1]ValidationData!$C$1:$C$5</definedName>
  </definedNames>
  <calcPr calcId="152511"/>
</workbook>
</file>

<file path=xl/calcChain.xml><?xml version="1.0" encoding="utf-8"?>
<calcChain xmlns="http://schemas.openxmlformats.org/spreadsheetml/2006/main">
  <c r="C3" i="20" l="1"/>
  <c r="C2" i="20"/>
  <c r="H614" i="27" l="1"/>
  <c r="H613" i="27"/>
  <c r="H612" i="27"/>
  <c r="H611" i="27"/>
  <c r="H610" i="27"/>
  <c r="H609" i="27"/>
  <c r="H608" i="27"/>
  <c r="H607" i="27"/>
  <c r="H606" i="27"/>
  <c r="H605" i="27"/>
  <c r="H604" i="27"/>
  <c r="H603" i="27"/>
  <c r="H602" i="27"/>
  <c r="H601" i="27"/>
  <c r="H600" i="27"/>
  <c r="H599" i="27"/>
  <c r="H598" i="27"/>
  <c r="H597" i="27"/>
  <c r="H596" i="27"/>
  <c r="H595" i="27"/>
  <c r="H594" i="27"/>
  <c r="H593" i="27"/>
  <c r="H592" i="27"/>
  <c r="H591" i="27"/>
  <c r="H590" i="27"/>
  <c r="H589" i="27"/>
  <c r="H588" i="27"/>
  <c r="H587" i="27"/>
  <c r="H586" i="27"/>
  <c r="H585" i="27"/>
  <c r="H584" i="27"/>
  <c r="H583" i="27"/>
  <c r="H582" i="27"/>
  <c r="H581" i="27"/>
  <c r="H580" i="27"/>
  <c r="H579" i="27"/>
  <c r="H578" i="27"/>
  <c r="H577" i="27"/>
  <c r="H576" i="27"/>
  <c r="H575" i="27"/>
  <c r="H574" i="27"/>
  <c r="H573" i="27"/>
  <c r="H572" i="27"/>
  <c r="H571" i="27"/>
  <c r="H570" i="27"/>
  <c r="H569" i="27"/>
  <c r="H568" i="27"/>
  <c r="H567" i="27"/>
  <c r="H566" i="27"/>
  <c r="H565" i="27"/>
  <c r="H564" i="27"/>
  <c r="H563" i="27"/>
  <c r="H562" i="27"/>
  <c r="H561" i="27"/>
  <c r="H560" i="27"/>
  <c r="H559" i="27"/>
  <c r="H558" i="27"/>
  <c r="H557" i="27"/>
  <c r="H556" i="27"/>
  <c r="H555" i="27"/>
  <c r="H554" i="27"/>
  <c r="H553" i="27"/>
  <c r="H552" i="27"/>
  <c r="H551" i="27"/>
  <c r="H550" i="27"/>
  <c r="H549" i="27"/>
  <c r="H548" i="27"/>
  <c r="H547" i="27"/>
  <c r="H546" i="27"/>
  <c r="H545" i="27"/>
  <c r="H544" i="27"/>
  <c r="H543" i="27"/>
  <c r="H542" i="27"/>
  <c r="H541" i="27"/>
  <c r="H540" i="27"/>
  <c r="H539" i="27"/>
  <c r="H538" i="27"/>
  <c r="H537" i="27"/>
  <c r="H536" i="27"/>
  <c r="H535" i="27"/>
  <c r="H534" i="27"/>
  <c r="H533" i="27"/>
  <c r="H532" i="27"/>
  <c r="H531" i="27"/>
  <c r="H530" i="27"/>
  <c r="H529" i="27"/>
  <c r="H528" i="27"/>
  <c r="H527" i="27"/>
  <c r="H526" i="27"/>
  <c r="H525" i="27"/>
  <c r="H524" i="27"/>
  <c r="H523" i="27"/>
  <c r="H522" i="27"/>
  <c r="H521" i="27"/>
  <c r="H520" i="27"/>
  <c r="H519" i="27"/>
  <c r="H518" i="27"/>
  <c r="H517" i="27"/>
  <c r="H516" i="27"/>
  <c r="H515" i="27"/>
  <c r="H514" i="27"/>
  <c r="H513" i="27"/>
  <c r="H512" i="27"/>
  <c r="H511" i="27"/>
  <c r="H510" i="27"/>
  <c r="H509" i="27"/>
  <c r="H508" i="27"/>
  <c r="H507" i="27"/>
  <c r="H506" i="27"/>
  <c r="H505" i="27"/>
  <c r="H504" i="27"/>
  <c r="H503" i="27"/>
  <c r="H502" i="27"/>
  <c r="H501" i="27"/>
  <c r="H500" i="27"/>
  <c r="H499" i="27"/>
  <c r="H498" i="27"/>
  <c r="H497" i="27"/>
  <c r="H496" i="27"/>
  <c r="H495" i="27"/>
  <c r="H494" i="27"/>
  <c r="H493" i="27"/>
  <c r="H492" i="27"/>
  <c r="H491" i="27"/>
  <c r="H490" i="27"/>
  <c r="H489" i="27"/>
  <c r="H488" i="27"/>
  <c r="H487" i="27"/>
  <c r="H486" i="27"/>
  <c r="H485" i="27"/>
  <c r="H484" i="27"/>
  <c r="H483" i="27"/>
  <c r="H482" i="27"/>
  <c r="H481" i="27"/>
  <c r="H480" i="27"/>
  <c r="H479" i="27"/>
  <c r="H478" i="27"/>
  <c r="H477" i="27"/>
  <c r="H476" i="27"/>
  <c r="H475" i="27"/>
  <c r="H474" i="27"/>
  <c r="H473" i="27"/>
  <c r="H472" i="27"/>
  <c r="H471" i="27"/>
  <c r="H470" i="27"/>
  <c r="H469" i="27"/>
  <c r="H468" i="27"/>
  <c r="H467" i="27"/>
  <c r="H466" i="27"/>
  <c r="H465" i="27"/>
  <c r="H464" i="27"/>
  <c r="H463" i="27"/>
  <c r="H462" i="27"/>
  <c r="H461" i="27"/>
  <c r="H460" i="27"/>
  <c r="H459" i="27"/>
  <c r="H458" i="27"/>
  <c r="H457" i="27"/>
  <c r="H456" i="27"/>
  <c r="H455" i="27"/>
  <c r="H454" i="27"/>
  <c r="H453" i="27"/>
  <c r="H452" i="27"/>
  <c r="H451" i="27"/>
  <c r="H450" i="27"/>
  <c r="H449" i="27"/>
  <c r="H448" i="27"/>
  <c r="H447" i="27"/>
  <c r="H446" i="27"/>
  <c r="H445" i="27"/>
  <c r="H444" i="27"/>
  <c r="H443" i="27"/>
  <c r="H442" i="27"/>
  <c r="H441" i="27"/>
  <c r="H440" i="27"/>
  <c r="H439" i="27"/>
  <c r="H438" i="27"/>
  <c r="H437" i="27"/>
  <c r="H436" i="27"/>
  <c r="H435" i="27"/>
  <c r="H434" i="27"/>
  <c r="H433" i="27"/>
  <c r="H432" i="27"/>
  <c r="H431" i="27"/>
  <c r="H430" i="27"/>
  <c r="H429" i="27"/>
  <c r="H428" i="27"/>
  <c r="H427" i="27"/>
  <c r="H426" i="27"/>
  <c r="H425" i="27"/>
  <c r="H424" i="27"/>
  <c r="H423" i="27"/>
  <c r="H422" i="27"/>
  <c r="H421" i="27"/>
  <c r="H420" i="27"/>
  <c r="H419" i="27"/>
  <c r="H418" i="27"/>
  <c r="H417" i="27"/>
  <c r="H416" i="27"/>
  <c r="H415" i="27"/>
  <c r="H414" i="27"/>
  <c r="H413" i="27"/>
  <c r="H412" i="27"/>
  <c r="H411" i="27"/>
  <c r="H410" i="27"/>
  <c r="H409" i="27"/>
  <c r="H408" i="27"/>
  <c r="H407" i="27"/>
  <c r="H406" i="27"/>
  <c r="H405" i="27"/>
  <c r="H404" i="27"/>
  <c r="H403" i="27"/>
  <c r="H402" i="27"/>
  <c r="H401" i="27"/>
  <c r="H400" i="27"/>
  <c r="H399" i="27"/>
  <c r="H398" i="27"/>
  <c r="H397" i="27"/>
  <c r="H396" i="27"/>
  <c r="H395" i="27"/>
  <c r="H394" i="27"/>
  <c r="H393" i="27"/>
  <c r="H392" i="27"/>
  <c r="H391" i="27"/>
  <c r="H390" i="27"/>
  <c r="H389" i="27"/>
  <c r="H388" i="27"/>
  <c r="H387" i="27"/>
  <c r="H386" i="27"/>
  <c r="H385" i="27"/>
  <c r="H384" i="27"/>
  <c r="H383" i="27"/>
  <c r="H382" i="27"/>
  <c r="H381" i="27"/>
  <c r="H380" i="27"/>
  <c r="H379" i="27"/>
  <c r="H378" i="27"/>
  <c r="H377" i="27"/>
  <c r="H376" i="27"/>
  <c r="H375" i="27"/>
  <c r="H374" i="27"/>
  <c r="H373" i="27"/>
  <c r="H372" i="27"/>
  <c r="H371" i="27"/>
  <c r="H370" i="27"/>
  <c r="H369" i="27"/>
  <c r="H368" i="27"/>
  <c r="H367" i="27"/>
  <c r="H366" i="27"/>
  <c r="H365" i="27"/>
  <c r="H364" i="27"/>
  <c r="H363" i="27"/>
  <c r="H362" i="27"/>
  <c r="H361" i="27"/>
  <c r="H360" i="27"/>
  <c r="H359" i="27"/>
  <c r="H358" i="27"/>
  <c r="H357" i="27"/>
  <c r="H356" i="27"/>
  <c r="H355" i="27"/>
  <c r="H354" i="27"/>
  <c r="H353" i="27"/>
  <c r="H352" i="27"/>
  <c r="H351" i="27"/>
  <c r="H350" i="27"/>
  <c r="H349" i="27"/>
  <c r="H348" i="27"/>
  <c r="H347" i="27"/>
  <c r="H346" i="27"/>
  <c r="H345" i="27"/>
  <c r="H344" i="27"/>
  <c r="H343" i="27"/>
  <c r="H342" i="27"/>
  <c r="H341" i="27"/>
  <c r="H340" i="27"/>
  <c r="H339" i="27"/>
  <c r="H338" i="27"/>
  <c r="H337" i="27"/>
  <c r="H336" i="27"/>
  <c r="H335" i="27"/>
  <c r="H334" i="27"/>
  <c r="H333" i="27"/>
  <c r="H332" i="27"/>
  <c r="H331" i="27"/>
  <c r="H330" i="27"/>
  <c r="H329" i="27"/>
  <c r="H328" i="27"/>
  <c r="H327" i="27"/>
  <c r="H326" i="27"/>
  <c r="H325" i="27"/>
  <c r="H324" i="27"/>
  <c r="H323" i="27"/>
  <c r="H322" i="27"/>
  <c r="H321" i="27"/>
  <c r="H320" i="27"/>
  <c r="H319" i="27"/>
  <c r="H318" i="27"/>
  <c r="H317" i="27"/>
  <c r="H316" i="27"/>
  <c r="H315" i="27"/>
  <c r="H314" i="27"/>
  <c r="H313" i="27"/>
  <c r="H312" i="27"/>
  <c r="H311" i="27"/>
  <c r="H310" i="27"/>
  <c r="H309" i="27"/>
  <c r="H308" i="27"/>
  <c r="H307" i="27"/>
  <c r="H306" i="27"/>
  <c r="H305" i="27"/>
  <c r="H304" i="27"/>
  <c r="H303" i="27"/>
  <c r="H302" i="27"/>
  <c r="H301" i="27"/>
  <c r="H300" i="27"/>
  <c r="H299" i="27"/>
  <c r="H298" i="27"/>
  <c r="H297" i="27"/>
  <c r="H296" i="27"/>
  <c r="H295" i="27"/>
  <c r="H294" i="27"/>
  <c r="H293" i="27"/>
  <c r="H292" i="27"/>
  <c r="H291" i="27"/>
  <c r="H290" i="27"/>
  <c r="H289" i="27"/>
  <c r="H288" i="27"/>
  <c r="H287" i="27"/>
  <c r="H286" i="27"/>
  <c r="H285" i="27"/>
  <c r="H284" i="27"/>
  <c r="H283" i="27"/>
  <c r="H282" i="27"/>
  <c r="H281" i="27"/>
  <c r="H280" i="27"/>
  <c r="H279" i="27"/>
  <c r="H278" i="27"/>
  <c r="H277" i="27"/>
  <c r="H276" i="27"/>
  <c r="H275" i="27"/>
  <c r="H274" i="27"/>
  <c r="H273" i="27"/>
  <c r="H272" i="27"/>
  <c r="H271" i="27"/>
  <c r="H270" i="27"/>
  <c r="H269" i="27"/>
  <c r="H268" i="27"/>
  <c r="H267" i="27"/>
  <c r="H266" i="27"/>
  <c r="H265" i="27"/>
  <c r="H264" i="27"/>
  <c r="H263" i="27"/>
  <c r="H262" i="27"/>
  <c r="H261" i="27"/>
  <c r="H260" i="27"/>
  <c r="H259" i="27"/>
  <c r="H258" i="27"/>
  <c r="H257" i="27"/>
  <c r="H256" i="27"/>
  <c r="H255" i="27"/>
  <c r="H254" i="27"/>
  <c r="H253" i="27"/>
  <c r="H252" i="27"/>
  <c r="H251" i="27"/>
  <c r="H250" i="27"/>
  <c r="H249" i="27"/>
  <c r="H248" i="27"/>
  <c r="H247" i="27"/>
  <c r="H246" i="27"/>
  <c r="H245" i="27"/>
  <c r="H244" i="27"/>
  <c r="H243" i="27"/>
  <c r="H242" i="27"/>
  <c r="H241" i="27"/>
  <c r="H240" i="27"/>
  <c r="H239" i="27"/>
  <c r="H238" i="27"/>
  <c r="H237" i="27"/>
  <c r="H236" i="27"/>
  <c r="H235" i="27"/>
  <c r="H234" i="27"/>
  <c r="H233" i="27"/>
  <c r="H232" i="27"/>
  <c r="H231" i="27"/>
  <c r="H230" i="27"/>
  <c r="H229" i="27"/>
  <c r="H228" i="27"/>
  <c r="H227" i="27"/>
  <c r="H226" i="27"/>
  <c r="H225" i="27"/>
  <c r="H224" i="27"/>
  <c r="H223" i="27"/>
  <c r="H222" i="27"/>
  <c r="H221" i="27"/>
  <c r="H220" i="27"/>
  <c r="H219" i="27"/>
  <c r="H218" i="27"/>
  <c r="H217" i="27"/>
  <c r="H216" i="27"/>
  <c r="H215" i="27"/>
  <c r="H214" i="27"/>
  <c r="H213" i="27"/>
  <c r="H212" i="27"/>
  <c r="H211" i="27"/>
  <c r="H210" i="27"/>
  <c r="H209" i="27"/>
  <c r="H208" i="27"/>
  <c r="H207" i="27"/>
  <c r="H206" i="27"/>
  <c r="H205" i="27"/>
  <c r="H204" i="27"/>
  <c r="H203" i="27"/>
  <c r="H202" i="27"/>
  <c r="H201" i="27"/>
  <c r="H200" i="27"/>
  <c r="H199" i="27"/>
  <c r="H198" i="27"/>
  <c r="H197" i="27"/>
  <c r="H196" i="27"/>
  <c r="H195" i="27"/>
  <c r="H194" i="27"/>
  <c r="H193" i="27"/>
  <c r="H192" i="27"/>
  <c r="H191" i="27"/>
  <c r="H190" i="27"/>
  <c r="H189" i="27"/>
  <c r="H188" i="27"/>
  <c r="H187" i="27"/>
  <c r="H186" i="27"/>
  <c r="H185" i="27"/>
  <c r="H184" i="27"/>
  <c r="H183" i="27"/>
  <c r="H182" i="27"/>
  <c r="H181" i="27"/>
  <c r="H180" i="27"/>
  <c r="H179" i="27"/>
  <c r="H178" i="27"/>
  <c r="H177" i="27"/>
  <c r="H176" i="27"/>
  <c r="H175" i="27"/>
  <c r="H174" i="27"/>
  <c r="H173" i="27"/>
  <c r="H172" i="27"/>
  <c r="H171" i="27"/>
  <c r="H170" i="27"/>
  <c r="H169" i="27"/>
  <c r="H168" i="27"/>
  <c r="H167" i="27"/>
  <c r="H166" i="27"/>
  <c r="H165" i="27"/>
  <c r="H164" i="27"/>
  <c r="H163" i="27"/>
  <c r="H162" i="27"/>
  <c r="H161" i="27"/>
  <c r="H160" i="27"/>
  <c r="H159" i="27"/>
  <c r="H158" i="27"/>
  <c r="H157" i="27"/>
  <c r="H156" i="27"/>
  <c r="H155" i="27"/>
  <c r="H154" i="27"/>
  <c r="H153" i="27"/>
  <c r="H152" i="27"/>
  <c r="H151" i="27"/>
  <c r="H150" i="27"/>
  <c r="H149" i="27"/>
  <c r="H148" i="27"/>
  <c r="H147" i="27"/>
  <c r="H146" i="27"/>
  <c r="H145" i="27"/>
  <c r="H144" i="27"/>
  <c r="H143" i="27"/>
  <c r="H142" i="27"/>
  <c r="H141" i="27"/>
  <c r="H140" i="27"/>
  <c r="H139" i="27"/>
  <c r="H138" i="27"/>
  <c r="H137" i="27"/>
  <c r="H136" i="27"/>
  <c r="H135" i="27"/>
  <c r="H134" i="27"/>
  <c r="H133" i="27"/>
  <c r="H132" i="27"/>
  <c r="H131" i="27"/>
  <c r="H130" i="27"/>
  <c r="H129" i="27"/>
  <c r="H128" i="27"/>
  <c r="H127" i="27"/>
  <c r="H126" i="27"/>
  <c r="H125" i="27"/>
  <c r="H124" i="27"/>
  <c r="H123" i="27"/>
  <c r="H122" i="27"/>
  <c r="H121" i="27"/>
  <c r="H120" i="27"/>
  <c r="H119" i="27"/>
  <c r="H118" i="27"/>
  <c r="H117" i="27"/>
  <c r="H116" i="27"/>
  <c r="H115" i="27"/>
  <c r="H114" i="27"/>
  <c r="H113" i="27"/>
  <c r="H112" i="27"/>
  <c r="H111" i="27"/>
  <c r="H110" i="27"/>
  <c r="H109" i="27"/>
  <c r="H108" i="27"/>
  <c r="H107" i="27"/>
  <c r="H106" i="27"/>
  <c r="H105" i="27"/>
  <c r="H104" i="27"/>
  <c r="H103" i="27"/>
  <c r="H102" i="27"/>
  <c r="H101" i="27"/>
  <c r="H100" i="27"/>
  <c r="H99" i="27"/>
  <c r="H98" i="27"/>
  <c r="H97" i="27"/>
  <c r="H96" i="27"/>
  <c r="H95" i="27"/>
  <c r="H94" i="27"/>
  <c r="H93" i="27"/>
  <c r="H92" i="27"/>
  <c r="H91" i="27"/>
  <c r="H90" i="27"/>
  <c r="H89" i="27"/>
  <c r="H88" i="27"/>
  <c r="H87" i="27"/>
  <c r="H86" i="27"/>
  <c r="H85" i="27"/>
  <c r="H84" i="27"/>
  <c r="H83" i="27"/>
  <c r="H82" i="27"/>
  <c r="H81" i="27"/>
  <c r="H80" i="27"/>
  <c r="H79" i="27"/>
  <c r="H78" i="27"/>
  <c r="H77" i="27"/>
  <c r="H76" i="27"/>
  <c r="H75" i="27"/>
  <c r="H74" i="27"/>
  <c r="H73" i="27"/>
  <c r="H72" i="27"/>
  <c r="H71" i="27"/>
  <c r="H70" i="27"/>
  <c r="H69" i="27"/>
  <c r="H68" i="27"/>
  <c r="H67" i="27"/>
  <c r="H66" i="27"/>
  <c r="H65" i="27"/>
  <c r="H64" i="27"/>
  <c r="H63" i="27"/>
  <c r="H62" i="27"/>
  <c r="H61" i="27"/>
  <c r="H60" i="27"/>
  <c r="H59" i="27"/>
  <c r="H58" i="27"/>
  <c r="H57" i="27"/>
  <c r="H56" i="27"/>
  <c r="H55" i="27"/>
  <c r="H54" i="27"/>
  <c r="H53" i="27"/>
  <c r="H52" i="27"/>
  <c r="H51" i="27"/>
  <c r="H50" i="27"/>
  <c r="H49" i="27"/>
  <c r="H48" i="27"/>
  <c r="H47" i="27"/>
  <c r="H46" i="27"/>
  <c r="H45" i="27"/>
  <c r="H44" i="27"/>
  <c r="H43" i="27"/>
  <c r="H42" i="27"/>
  <c r="H41" i="27"/>
  <c r="H40" i="27"/>
  <c r="H39" i="27"/>
  <c r="H38" i="27"/>
  <c r="H37" i="27"/>
  <c r="H36" i="27"/>
  <c r="H35" i="27"/>
  <c r="H34" i="27"/>
  <c r="H33" i="27"/>
  <c r="H32" i="27"/>
  <c r="H31" i="27"/>
  <c r="H30" i="27"/>
  <c r="H29" i="27"/>
  <c r="H28" i="27"/>
  <c r="H27" i="27"/>
  <c r="H26" i="27"/>
  <c r="H25" i="27"/>
  <c r="H24" i="27"/>
  <c r="H23" i="27"/>
  <c r="H22" i="27"/>
  <c r="H21" i="27"/>
  <c r="H20" i="27"/>
  <c r="H19" i="27"/>
  <c r="H18" i="27"/>
  <c r="H17" i="27"/>
  <c r="H16" i="27"/>
</calcChain>
</file>

<file path=xl/sharedStrings.xml><?xml version="1.0" encoding="utf-8"?>
<sst xmlns="http://schemas.openxmlformats.org/spreadsheetml/2006/main" count="7622" uniqueCount="906">
  <si>
    <t>Jama Folder</t>
  </si>
  <si>
    <t>Executed</t>
  </si>
  <si>
    <t>Test case id</t>
  </si>
  <si>
    <t xml:space="preserve">Subject area </t>
  </si>
  <si>
    <t>Test name</t>
  </si>
  <si>
    <t>Steps</t>
  </si>
  <si>
    <t>Description</t>
  </si>
  <si>
    <t>Test data</t>
  </si>
  <si>
    <t>Notes</t>
  </si>
  <si>
    <t>Expected result</t>
  </si>
  <si>
    <t>Feedback comments</t>
  </si>
  <si>
    <t>Status/reason</t>
  </si>
  <si>
    <t>Actual result</t>
  </si>
  <si>
    <t>Execution planned start date</t>
  </si>
  <si>
    <t>Execution planned end date</t>
  </si>
  <si>
    <t>Execution actual start date</t>
  </si>
  <si>
    <t>Execution actual end date</t>
  </si>
  <si>
    <t>Step 1</t>
  </si>
  <si>
    <t>Login to OBI Analytics as User group</t>
  </si>
  <si>
    <t>Step 2</t>
  </si>
  <si>
    <t>Login should be successful</t>
  </si>
  <si>
    <t>Click on Dashboards drop down list</t>
  </si>
  <si>
    <t>User should be able to see the Performance measures under Arqiva smart metering</t>
  </si>
  <si>
    <t>Click on  Performance Measures</t>
  </si>
  <si>
    <t>User should be able to see the Performance measures dashboard with the PM General tab selected by default, displaying most up to date data</t>
  </si>
  <si>
    <t>Click on the PM 1.4 bar in the bar chart</t>
  </si>
  <si>
    <t>Step 3</t>
  </si>
  <si>
    <t>User should be able to navigate to PM 1.4 summary level report</t>
  </si>
  <si>
    <t>Step 4</t>
  </si>
  <si>
    <t>Step 5</t>
  </si>
  <si>
    <t>Step 6</t>
  </si>
  <si>
    <t>Step 7</t>
  </si>
  <si>
    <t>Step 8</t>
  </si>
  <si>
    <t>Step 9</t>
  </si>
  <si>
    <t>Validate the Communications Hub Connectivity tab</t>
  </si>
  <si>
    <t>Click on the Communications Hub Connectivity tab</t>
  </si>
  <si>
    <t>User should be able to navigate to the PM 1 Performance Area (Communications Hub Connectivity) report</t>
  </si>
  <si>
    <t>Validate the PM 1.4 bar charts</t>
  </si>
  <si>
    <t xml:space="preserve">User should be able to see PM 1.4 daily and monthly bar charts below PM 1.3 </t>
  </si>
  <si>
    <t>PM 1.4 Summary level report</t>
  </si>
  <si>
    <t>Screen shot PM 1 performance area report should be captured high lighting PM 1.4</t>
  </si>
  <si>
    <t>User should be able to see the Performance measures dashboard with the PM General tab selected by default</t>
  </si>
  <si>
    <t>User should be able to navigate to the PM 1.4 Mid level report</t>
  </si>
  <si>
    <t>Select the a date in date prompt</t>
  </si>
  <si>
    <t>User should be able to see the refreshed data in PM General</t>
  </si>
  <si>
    <t>Click on a bar in PM 1.4 monthly trend or daily trend bar chart</t>
  </si>
  <si>
    <t>User should be able to see the subtotal of Missed CH and Exempted CH</t>
  </si>
  <si>
    <t>Validate the total</t>
  </si>
  <si>
    <t>User should be able to see the total as sum of Exempted CH and Missed CH</t>
  </si>
  <si>
    <t>Step 10</t>
  </si>
  <si>
    <t>Click on Missed value under “# of CH (Mmm-yyyy)”  column in the PM 1.4 Mid Level tabular view</t>
  </si>
  <si>
    <t>User should be able to successfully navigate to the PM 1.4 Missed Detail report</t>
  </si>
  <si>
    <t>Click on Exempted CH value under “# of CH (Mmm-yyyy)”  column in the PM 1.4 Mid Level tabular view</t>
  </si>
  <si>
    <t>User should be able to successfully navigate to the PM 1.4 Exempted CH Detail report</t>
  </si>
  <si>
    <t>PM 1.4 Mid level report</t>
  </si>
  <si>
    <t>PM 1.4 Missed detail report</t>
  </si>
  <si>
    <t>Step 11</t>
  </si>
  <si>
    <t>Step 12</t>
  </si>
  <si>
    <t>Step 13</t>
  </si>
  <si>
    <t>Step 14</t>
  </si>
  <si>
    <t>Step 15</t>
  </si>
  <si>
    <t>PM 1.4 Exempted CH detail report</t>
  </si>
  <si>
    <t>Click on the home button on the top right corner</t>
  </si>
  <si>
    <t>User should be able to navigate back to PM General</t>
  </si>
  <si>
    <t>Click on the PM 1.4 bar chart</t>
  </si>
  <si>
    <t>Validate the summary level report and PM 1 performance area report</t>
  </si>
  <si>
    <t>User should be able to see the PM 1.4 report in PM 1 performance area report same as in PM 1.4 summary level report</t>
  </si>
  <si>
    <t>PM 1.4 Summary level report ASL calculation
Test Objective: To validate the ASL calculation with ASL value displayed with the OBI</t>
  </si>
  <si>
    <t xml:space="preserve">User should be able to see calculated ASL value same as ASL value displayed in the OBI
PM 1.4 = 100 * (1 – (Missed/Total))
 Total = CH with Operational Status “Active”
</t>
  </si>
  <si>
    <t>Step 16</t>
  </si>
  <si>
    <t>Select the a date in date prompt according to Pre-requisite 1</t>
  </si>
  <si>
    <t>Step 17</t>
  </si>
  <si>
    <t>Step 18</t>
  </si>
  <si>
    <t>Step 19</t>
  </si>
  <si>
    <t>PM 1.4 report</t>
  </si>
  <si>
    <t>Screen shot of the PM 1.4 summary level report should be captured high lighting the ASL value and exported data base output should be attached</t>
  </si>
  <si>
    <t>Select the date in date prompt</t>
  </si>
  <si>
    <t>User should be able to see the Communications Hub Connectivity tab</t>
  </si>
  <si>
    <t>Screen shot of the PM 1.4 mid level report should be captured and data base result should be attached</t>
  </si>
  <si>
    <t>Screen shot of PM 1.4 Mid level report should be captured highlighting the Pie Chart table with subtotal and total</t>
  </si>
  <si>
    <t>NA</t>
  </si>
  <si>
    <t xml:space="preserve">PM 1.4  Exempted CH Qualification against PM
Test Objective:To validate the criteria used to determine 'Exempted' for CH against the measurement period
</t>
  </si>
  <si>
    <t xml:space="preserve">User should be able to see the Mid level report.
</t>
  </si>
  <si>
    <t>Click on "Exempted CH" value under “# of CH (Mmm-yyyy)”  column in the PM 1.4 Mid Level tabular view</t>
  </si>
  <si>
    <t xml:space="preserve">User should be able to successfully navigate to the PM 1.4 Exempted CH  Detail report
</t>
  </si>
  <si>
    <t xml:space="preserve">User should be able to see detail of the CH which meet pre-requisite 1 displayed in the detail level report
</t>
  </si>
  <si>
    <t>Screen shot of the PM 1.4 Exempted detail report highlighting the values should be captured.</t>
  </si>
  <si>
    <t>TC_OBI_PM 1.4_001 _CH qualification against PM_Exempted CH_Criterial1</t>
  </si>
  <si>
    <t>TC_OBI_PM 1.4_002 _CH qualification against PM_Exempted CH_Criteria2</t>
  </si>
  <si>
    <t>C_OBI_PM 1.4_002 _CH qualification against PM_Exempted CH_Criteria2</t>
  </si>
  <si>
    <t>BR ID</t>
  </si>
  <si>
    <t>Testcase ID</t>
  </si>
  <si>
    <t>SMBSS.NTTD.PM_1.4.108</t>
  </si>
  <si>
    <t>SMBSS.NTTD.PM_1.4.109</t>
  </si>
  <si>
    <t>TC_OBI_PM 1.4_001_Summary level report_ASL calculation</t>
  </si>
  <si>
    <t>SMBSS.NTTD.PM_1.4.017</t>
  </si>
  <si>
    <t>TC_OBI_PM 1.4_003_CH Qualification against PM_Criteria 3</t>
  </si>
  <si>
    <t>PM 1.4 Mid level tabular view data validation
Test Objective: To validate the data in the Mid level tabular view and data for  the CH haven't consider  as "Total",  "Missed" or "Allowed Exception"  against measurement period, if CH qualifies as "Excluded CH" against that measurement period</t>
  </si>
  <si>
    <t>TC_OBI_PM 1.4_004_CH Qualification against PM_Criteria 4</t>
  </si>
  <si>
    <t>PM 1.4 Mid level tabular view data validation
Test Objective: To validate the data in the Mid level tabular view and data for  the CH haven't consider  as "Total" or "Missed" against the measurement period, if CH qualifies as "Allowed Exception" against that measurement period</t>
  </si>
  <si>
    <t>CH Satisfies the Pre requisite 1 should not be displayed in PM1.4 mid level tabular view status.</t>
  </si>
  <si>
    <t>SMBSS.NTTD.PM_1.4.094</t>
  </si>
  <si>
    <t>SMBSS.NTTD.PM_1.4.019</t>
  </si>
  <si>
    <t>SMBSS.NTTD.PM_1.4.095</t>
  </si>
  <si>
    <t>TC_OBI_PM 1.4_005_CH Qualification against PM_Criteria 5</t>
  </si>
  <si>
    <t xml:space="preserve">PM 1.4 Mid level tabular view data validation
Test Objective: To validate the data in the Mid level tabular view and data for  the CH reported as Missed and Total at the same time if CH meets both qualifications((Excluded and Allowed exception)
</t>
  </si>
  <si>
    <t>TC_OBI_PM 1.4_006_CH Qualification against PM_ASL value against Allowed and Excluded CH</t>
  </si>
  <si>
    <t>PM 1.4 Summary level report ASL calculation has to be  excluded for  the CH reported as "Allowed Exception" or "Excluded" against that measurement period
Test Objective: To validate PM 1.4 Summary level report ASL calculation has to be  excluded for  the CH reported as "Allowed Exception" or "Excluded" against that measurement period</t>
  </si>
  <si>
    <t xml:space="preserve">User should not be able to see calculated ASL value same as ASL value displayed in the OBI
PM 1.4 = 100 * (1 – (Missed/Total))
 Total = CH with Operational Status “Active”
</t>
  </si>
  <si>
    <t>SMBSS.NTTD.PM_1.4.096</t>
  </si>
  <si>
    <t>TC_OBI_PM 1.4_007 _CH qualification against PM_Qualifies_Missed or Allowed exception</t>
  </si>
  <si>
    <t xml:space="preserve">PM 1.4  Exempted CH Qualification against PM
Test Objective:To validate the criteria used to determine 'Exempted' for CH against the measurement period
</t>
  </si>
  <si>
    <t>SMBSS.NTTD.PM_1.4.097</t>
  </si>
  <si>
    <t>SMBSS.NTTD.PM_1.4.018,SMBSS.NTTD.PM_1.4.097</t>
  </si>
  <si>
    <t>SMBSS.NTTD.PM_1.4.098</t>
  </si>
  <si>
    <t xml:space="preserve">TC_OBI_PM 1.4_008 _CH qualification against PM_Exempted CH from Opted out </t>
  </si>
  <si>
    <t>PM 1.4  Exempted CH Qualification against PM
Test Objective:To validate the criteria used to determine 'Exempted' for  CH has been Opted Out at any point during or before the measurement period, then even if it was Unconnected (Missed) in that measurement period, the CH shall be reported as Allowed Exception for  that measurement period</t>
  </si>
  <si>
    <t>TC_OBI_PM 1.4_009_CH Qualification against PM_Missed Criteria</t>
  </si>
  <si>
    <t>PM 1.4 CH qualification aginst Missed status 
Test Objective: To validate PM 1.4 Missed detail report  for  CH has been Unconnected (Missed) at any point in the measurement period due to an outage, then even if it was Allowed Exception (except if it is Opted Out) in that measurement period due to another outage, that CH shall be reported as Missed and Total for that measurement period</t>
  </si>
  <si>
    <t>Screen shot of the PM 1.4 Missed detail report highlighting the values should be captured.</t>
  </si>
  <si>
    <t xml:space="preserve">CH Satisfies the pre requisite 1 will be displayed in PM1.4 Missed detail report
</t>
  </si>
  <si>
    <t>TC_OBI_PM 1.4_001_CH Qualification against PM_Missed Criteria</t>
  </si>
  <si>
    <t>SMBSS.NTTD.PM_1.4.099</t>
  </si>
  <si>
    <t>SMBSS.NTTD.PM_1.4.100</t>
  </si>
  <si>
    <t>TC_OBI_PM 1.4_002_CH Qualification against PM_Missed _CH reported in more than one month</t>
  </si>
  <si>
    <t xml:space="preserve">PM 1.4 CH qualification aginst Missed status 
Test Objective: To validate PM 1.4 Missed detail report for a CH is able to report the same CH in more than one measurement period if it meets Total, Missed or Allowed Exception criteria </t>
  </si>
  <si>
    <t>SMBSS.NTTD.PM_1.4.101</t>
  </si>
  <si>
    <t>TC_OBI_PM 1.4_003_CH Qualification against PM_Missed _CH reported across number of consecutive months</t>
  </si>
  <si>
    <t xml:space="preserve">PM 1.4 CH qualification aginst Missed status 
Test Objective: To validate PM 1.4 Missed detail report for a CHis able  report the same CH in more than one measurement period when the CH remains disconnected (Missed) or an Allowed Exception across number of sequential measurement periods 
</t>
  </si>
  <si>
    <t>SMBSS.NTTD.PM_1.4.102</t>
  </si>
  <si>
    <t>SMBSS.NTTD.PM_1.4.103</t>
  </si>
  <si>
    <t>PM 1.4 CH qualification aginst Missed status 
Test Objective: To validate PM 1.4 Missed detail report for a CH disconnects (Missed) or meets Allowed Exception criteria more than once within the same measurement period, the CH shall be reported only once in that measurement period</t>
  </si>
  <si>
    <t>TC_OBI_PM 1.4_004_CH Qualification against PM_Missed _Incident raised&lt;=10 days  from outage notication and not an allowed exception</t>
  </si>
  <si>
    <t>TC_OBI_PM 1.4_005_CH Qualification against PM_Missed _CH Gets unconnected more than once ina month.</t>
  </si>
  <si>
    <t>PM 1.4 CH qualification aginst Missed status 
Test Objective: To validate PM 1.4 Missed detail report for a CH been reported as Allowed Exception across months due to a qualifying incident and at the time of incident closure it was identified that CH is not an Allowed Exception, then the CH qualification for the previous months shall be recalculated</t>
  </si>
  <si>
    <t>TC_OBI_PM 1.4_006_CH Qualification against PM_Missed _Outage Duration_calculation</t>
  </si>
  <si>
    <t xml:space="preserve">CH Satisfies the pre requisite 1 and Outage duration  will be calculated in PM1.4 Missed detail report
</t>
  </si>
  <si>
    <t>SMBSS.NTTD.PM_1.4.110</t>
  </si>
  <si>
    <t>TC_OBI_PM 1.4_007_Missed detail report _Outage 1_outage 2 filed validation</t>
  </si>
  <si>
    <t>PM 1.4 Outage 1 and outage 2 field  validation of  Missed detail level report
Test Objective: To validate the data for   Outage 1 and outage 2 field  validation of  PM1.4 Missed detail level report</t>
  </si>
  <si>
    <t xml:space="preserve">CH Satisfies the pre requisite 1  and Prerequisite 2 should be displayed in PM1.4 Missed detail report accordingly.
</t>
  </si>
  <si>
    <t>SMBSS.NTTD.PM_1.4.111,SMBSS.NTTD.PM_1.4.112</t>
  </si>
  <si>
    <t>TC_OBI_PM 1.4_008_Missed detail report _Outage 1 start,outage 1 end_outage 2 start ,outage 2 end_Field validation</t>
  </si>
  <si>
    <t>PM 1.4 Outage 1 start,outage 1 end_outage 2 start ,outage 2 end field  validation of  Missed detail level report
Test Objective: To validate the data for Outage 1 start,outage 1 end_outage 2 start ,outage 2 end field  validation of  Missed detail level report</t>
  </si>
  <si>
    <t>TC_OBI_PM 1.4_007_Exempted CH detail report _Outage  start,outage end_Field validation</t>
  </si>
  <si>
    <t>User should be able to successfully navigate to the PM 1.4 Exempted CH  Detail report</t>
  </si>
  <si>
    <t xml:space="preserve">CH Satisfies the pre requisite 1  and Prerequisite 2 should be displayed in PM1.4 Exempted CH  detail report accordingly.
</t>
  </si>
  <si>
    <t>Screen shot of highlighted values should be captured along with database.</t>
  </si>
  <si>
    <t>SMBSS.NTTD.PM_1.4.113,SMBSS.NTTD.PM_1.4.114</t>
  </si>
  <si>
    <t>SMBSS.NTTD.PM_1.4.012</t>
  </si>
  <si>
    <t xml:space="preserve">Pre requiste 2:  CH has been reported on a daily basis if it meets Total, Missed or Allowed Exception criteria </t>
  </si>
  <si>
    <t>1.CH Satisfies the Pre requisite 1 should  be displayed in PM1.4 mid level tabular view status.
2.Useer should be able to see the updated data on a daily basis in the PM1.4 mid level report.</t>
  </si>
  <si>
    <t>Pre-requisite 2: Data should be available as per the below criteria.
--If there are more than one outage for the same CH in the measurement period which resulted in Allowed Exceptions, then the Exempt CH report shall show 1st and most recent outage that occurred in a month displaying them on a separate rows</t>
  </si>
  <si>
    <t>Pre-requisite 1: Data should be available as per the below criteria.
---Outage Start is the date (Last Toi) of the start of the Outage Period
--
---Outage End is the date (Last Toi) of the end of the Outage Period</t>
  </si>
  <si>
    <t>SMBSS.NTTD.PM_1.4.115</t>
  </si>
  <si>
    <t>Click on  performance measures</t>
  </si>
  <si>
    <t>User should be able to see Performance measures dashboard with the General PM tab selected by default</t>
  </si>
  <si>
    <t>N/A</t>
  </si>
  <si>
    <t>Pre-requisite 2:Comms hub should be available for Missed  after processing the manual override file(Manual_PM_Override_Flag=0)</t>
  </si>
  <si>
    <t>Screenshot of DB result should be captured</t>
  </si>
  <si>
    <t xml:space="preserve">Repeat the steps from step 2 to step 6 </t>
  </si>
  <si>
    <t>Screen shot of summary report should be captured</t>
  </si>
  <si>
    <t>Click on any bar in the Weekly/Quarterly trend bar chart displayed.</t>
  </si>
  <si>
    <t>User should be navigated to the Mid level report of the selected day.</t>
  </si>
  <si>
    <t>Click on number displayed against Missed  status in the tabular view</t>
  </si>
  <si>
    <t>Validate the data in detailed report against database.
Login to SQL developer and run the attached query.</t>
  </si>
  <si>
    <t>Screen shot of report values along with database should be captured</t>
  </si>
  <si>
    <t>TC_OBI_PM1.4_001_CH_Manual PM override_Missed to allowed exception</t>
  </si>
  <si>
    <t>PM1.4 Detail level report</t>
  </si>
  <si>
    <t>Select the appropriate date in PM_General date prompt for which data is present for PM_1.4</t>
  </si>
  <si>
    <t>User should be able to see PM_1.4 in the Bar chart.</t>
  </si>
  <si>
    <t>Click on the PM_1.4 bar chart displayed in PM_General report</t>
  </si>
  <si>
    <t>User should be able to see the Summary page of PM_1.4 in the new tab.</t>
  </si>
  <si>
    <t>CH satisfied the pre requisite 2 will be displayed in the PM1.4 Missed detail report and this should match with database values.</t>
  </si>
  <si>
    <t>Click on abar in th Daily/monthly trend bar chart</t>
  </si>
  <si>
    <t>User should be able to successfully navigate to the PM 1.4 Mid level report</t>
  </si>
  <si>
    <t>Pre-requisite 2:Comms hub should be available for Missed  after processing the manual override file(Manual_PM_Override_Flag=2)</t>
  </si>
  <si>
    <t>TC_OBI_PM1.4_002_CH_Manual PM override_ allowed exception to Total</t>
  </si>
  <si>
    <t>Validate the report when manual override flag value is updated from  missed to allowed exception
Test Objective: To Validate the report when manual override flag value is updated from  missed to allowed exception</t>
  </si>
  <si>
    <t>Validate the report when manual override flag value is updated from  allowed exception to total
Test Objective: To Validate the report when manual override flag value is updated from  allowed exception to total</t>
  </si>
  <si>
    <t>Click on number displayed against Exempted CH  status in the tabular view</t>
  </si>
  <si>
    <t>User should be navigated to the Exempted CH Detail_level report.</t>
  </si>
  <si>
    <t>CH satisfied the pre requisite 2 will be displayed in the PM1.4 Exempted CH detail report and this should match with database values.</t>
  </si>
  <si>
    <t>TC_OBI_PM1.4_003_CH_Manual PM override_ allowed exception to Missed</t>
  </si>
  <si>
    <t>Validate the report when manual override flag value is updated from  allowed exception to Missed
Test Objective: To Validate the report when manual override flag value is updated from  allowed exception to Missed</t>
  </si>
  <si>
    <t>Pre-requisite 2:Comms hub should be available for Total  after processing the manual override file</t>
  </si>
  <si>
    <t>TC_OBI_PM1.4_004_CH_Manual PM override_ Missed and Total to Total</t>
  </si>
  <si>
    <t>Validate the report when manual override flag value is updated from Missed and Total to Total
Test Objective: To Validate the report when manual override flag value is updated from Missed and Total to Total</t>
  </si>
  <si>
    <t>TC_OBI_PM1.4_005_CH_Manual PM override_ Total to allowed exception</t>
  </si>
  <si>
    <t xml:space="preserve">Validate the report when manual override flag value is updated from total to allowed exception 
Test Objective: To validate the report when manual override flag value is updated from total to allowed exception </t>
  </si>
  <si>
    <t>Pre-requisite 2:Comms hub should be available for allowed exception after processing the manual override file</t>
  </si>
  <si>
    <t>TC_OBI_PM1.4_006_CH_Manual PM override_ Total to Missed</t>
  </si>
  <si>
    <t>TC_OBI_PM1.4_005_CH_Manual PM override_ Total to Missed</t>
  </si>
  <si>
    <t xml:space="preserve">Validate the report when manual override flag value is updated from total to Missed.
Test Objective: To Validate the report when manual override flag value is updated from total to Missed.
</t>
  </si>
  <si>
    <t>Pre-requisite 2:Comms hub should be available for Missed after processing the manual override file</t>
  </si>
  <si>
    <t>User should be navigated to the Missed Detail_level report.</t>
  </si>
  <si>
    <t xml:space="preserve">Validate the report when CH with Manual PM Overrides feed for the particular month the CH was unconnected 
Test Objective: To Validate the report when CH with Manual PM Overrides feed for the particular month the CH was unconnected </t>
  </si>
  <si>
    <t>Step 20</t>
  </si>
  <si>
    <t>TC_OBI_PM1.4_006_CH_Manual PM override_ Same CH Override _current month</t>
  </si>
  <si>
    <t>TC_OBI_PM1.4_001_CH_Manual PM override_Missed to allowed exception,</t>
  </si>
  <si>
    <t>Screen shot of database values should be captured.</t>
  </si>
  <si>
    <t>Click on any bar in the daily/Monthly trend bar chart displayed.</t>
  </si>
  <si>
    <t>Validate the CH_ID's displayed in the detailed report.</t>
  </si>
  <si>
    <t>Screen shot of detailed report values along with database results should be captured</t>
  </si>
  <si>
    <t xml:space="preserve">TC_OBI_PM1.4_007_CH_Manual override_flag 2 </t>
  </si>
  <si>
    <t>PM_1.4_detail level report</t>
  </si>
  <si>
    <t>TC_OBI_PM1.4_008_CH_Manual override_flag 3</t>
  </si>
  <si>
    <t xml:space="preserve">TC_OBI_PM1.4_008_CH_Manual override_flag 3,TC_OBI_PM1.4_007_CH_Manual override_flag 2 </t>
  </si>
  <si>
    <t>Validate the value displayed against 'Exempted CH' status in tabular View.</t>
  </si>
  <si>
    <t>Screen-shot of the Mid-level report with Exempted CH status in tabular view highlighted should be captured.</t>
  </si>
  <si>
    <t>The value displayed against 'Exempted CH' status is equal to the number of CH's which are according to Pre requisite 1 or prerequisite 2.</t>
  </si>
  <si>
    <t>Click on number displayed against Exempted CH status in the tabular view</t>
  </si>
  <si>
    <t>Screen-shot of Mid_level page with Exempted CH value in tabular view highlighted and the screen-shot of Exempted CH_Detail_level should be captured.</t>
  </si>
  <si>
    <t>SMBSS.NTTD.PM_1.4.131,SMBSS.NTTD.PM_1.4.126,SMBSS.NTTD.PM_1.4.140</t>
  </si>
  <si>
    <t>SMBSS.NTTD.PM_1.4.132,SMBSS.NTTD.PM_1.4.140</t>
  </si>
  <si>
    <t>SMBSS.NTTD.PM_1.4.133,SMBSS.NTTD.PM_1.4.140</t>
  </si>
  <si>
    <t>SMBSS.NTTD.PM_1.4.130,SMBSS.NTTD.PM_1.4.141,SMBSS.NTTD.PM_1.4.140</t>
  </si>
  <si>
    <t>SMBSS.NTTD.PM_1.4.129,SMBSS.NTTD.PM_1.4.141,SMBSS.NTTD.PM_1.4.140</t>
  </si>
  <si>
    <t>SMBSS.NTTD.PM_1.4.128,SMBSS.NTTD.PM_1.4.141,SMBSS.NTTD.PM_1.4.140</t>
  </si>
  <si>
    <t>SMBSS.NTTD.PM_1.4.127,SMBSS.NTTD.PM_1.4.141,SMBSS.NTTD.PM_1.4.140</t>
  </si>
  <si>
    <t>SMBSS.NTTD.PM_1.4.107,SMBSS.NTTD.PM_1.4.141,SMBSS.NTTD.PM_1.4.140</t>
  </si>
  <si>
    <t>PM 1.4 Days taken to incident  field  validation of  Exempted CH detail level report
Test Objective: To validate the data for PM 1.4 Days taken to incident  field  validation of  Exempted CH detail level report</t>
  </si>
  <si>
    <t>SMBSS.NTTD.PM_1.4.118</t>
  </si>
  <si>
    <t>PM 1.4 Days taken to re-assign incident to SU  field  validation of  Exempted CH detail level report
Test Objective: To validate the data for PM 1.4 Days taken to re-assign incident to SU  field  validation of  Exempted CH detail level report</t>
  </si>
  <si>
    <t>TC_OBI_PM 1.4_009_Missed detail report _Days taken to re-assign incident to SU_field validation</t>
  </si>
  <si>
    <t>PM 1.4 Days taken to re-assign incident to SU  field  validation of  Missed detail level report
Test Objective: To validate the data for PM 1.4 Days taken to re-assign incident to SU  field  validation of  Missed detail level report</t>
  </si>
  <si>
    <t>User should be able to successfully navigate to the PM 1.4 Missed  Detail report</t>
  </si>
  <si>
    <t xml:space="preserve">CH Satisfies the pre requisite 1  and Prerequisite 2 should be displayed in PM1.4 Missed  detail report accordingly.
</t>
  </si>
  <si>
    <t>SMBSS.NTTD.PM_1.4.121</t>
  </si>
  <si>
    <t>PM 1.4  Exception reason field  validation of  Exempted CH detail level report
Test Objective: To validate the data for PM 1.4  Exception reason field  validation of  Exempted CH detail level report</t>
  </si>
  <si>
    <t xml:space="preserve">CH Satisfies the pre requisite 1  should be displayed in PM1.4 Exempted CH  detail report accordingly.
</t>
  </si>
  <si>
    <t>SMBSS.NTTD.PM_1.4.116</t>
  </si>
  <si>
    <t>PM 1.4 "Incident first assigned to Arqiva  field  validation of  Exempted CH detail level report
Test Objective: To validate the data for PM 1.4 "Incident first assigned to Arqiva  field  validation of  Exempted CH detail level report</t>
  </si>
  <si>
    <t>SMBSS.NTTD.PM_1.4.119</t>
  </si>
  <si>
    <t>PM 1.4 Incident first assigned to SU  field  validation of  Missed detail level report
Test Objective: To validate the data for PM 1.4 Incident first assigned to SU  field  validation of  Missed detail level report</t>
  </si>
  <si>
    <t>TC_OBI_PM 1.4_010_Missed detail report _Incident first assigned to SU_field validation</t>
  </si>
  <si>
    <t>SMBSS.NTTD.PM_1.4.120,</t>
  </si>
  <si>
    <t>Screen shot of the PM 1.4 mid level report should be captured along with the database results.</t>
  </si>
  <si>
    <t>TC_OBI_PM 1.4_010_Exempted CH detail report _Outage  start,outage end_Field validation</t>
  </si>
  <si>
    <t>TC_OBI_PM 1.4_011_Exempted CH detail report _Days taken to raise incident_field validation</t>
  </si>
  <si>
    <t>TC_OBI_PM 1.4_012_Exempted CH detail report _Days taken to re-assign incident to SU_field validation</t>
  </si>
  <si>
    <t>TC_OBI_PM 1.4_013_Exempted CH detail report _Exception reason_field validation</t>
  </si>
  <si>
    <t>TC_OBI_PM 1.4_014_Exempted CH detail report _"Incident first assigned to Arqiva"_field validation</t>
  </si>
  <si>
    <t>PM 1.4 "Incident first assigned to SU  field  validation of  Exempted CH detail level report
Test Objective: To validate the data for PM 1.4 "Incident first assigned to SU field  validation of  Exempted CH detail level report</t>
  </si>
  <si>
    <t>TC_OBI_PM 1.4_015_Exempted CH detail report _Incident first assigned to SU_field validation</t>
  </si>
  <si>
    <t>TC_OBI_PM 1.4_010_Missed detail report _Incident first assigned to SU_field validation,TC_OBI_PM 1.4_015_Exempted CH detail report _Incident first assigned to SU_field validation</t>
  </si>
  <si>
    <t>TC_OBI_PM 1.4_009_Missed detail report _Days taken to re-assign incident to SU_field validation,TC_OBI_PM 1.4_012_Exempted CH detail report _Days taken to re-assign incident to SU_field validation</t>
  </si>
  <si>
    <t>TC_OBI_PM 1.4_016_Exempted CH detail report _Manual PM Override Flag field_field validation</t>
  </si>
  <si>
    <t>Validate the Manual PM Override Flag field</t>
  </si>
  <si>
    <t xml:space="preserve">Screen shot of highlighted report values should be captured </t>
  </si>
  <si>
    <t>TC_OBI_PM 1.4_011_Missed detail report _Manual PM Override Flag field_field validation</t>
  </si>
  <si>
    <t xml:space="preserve">CH Satisfies the pre requisite 1  should be displayed in PM1.4 Missed  detail report accordingly.
</t>
  </si>
  <si>
    <t>SMBSS.NTTD.PM_1.4.122</t>
  </si>
  <si>
    <t>TC_OBI_PM 1.4_016_Exempted CH detail report _Manual PM Override Flag field_field validation,TC_OBI_PM 1.4_011_Missed detail report _Manual PM Override Flag field_field validation</t>
  </si>
  <si>
    <t>SMBSS.NTTD.PM_1.4.090</t>
  </si>
  <si>
    <t>TC_OBI_PM 1.4_007_Missed detail report _Outage 1_outage 2 Field validation</t>
  </si>
  <si>
    <t>TC_OBI_PM 1.4_010_Exempted CH detail report _Outage  start,outage end_Field validation,TC_OBI_PM 1.4_008_Missed detail report _Outage 1 start,outage 1 end_outage 2 start ,outage 2 end_Field validation</t>
  </si>
  <si>
    <t>TC_OBI_PM 1.4_005_CH Qualification against PM_Reporting date</t>
  </si>
  <si>
    <t>SMBSS.NTTD.PM_1.4.005</t>
  </si>
  <si>
    <t>TC_OBI_PM 1.4_002_Mid level report_Total _validation</t>
  </si>
  <si>
    <t>PM 1.4 Mid level report Total validation
Test Objective: To validate the values displayed against the Total value in PM1.4 Mid level report</t>
  </si>
  <si>
    <t xml:space="preserve">1.CH Satisfies the Pre requisite 1 should  be displayed in PM1.4 mid level tabular view status.
</t>
  </si>
  <si>
    <t>1.CH Satisfies the Pre requisite 1 should  be displayed in PM1.4 mid level tabular view status.
2.User should be able to see the updated data on a daily basis in the PM1.4 mid level report.</t>
  </si>
  <si>
    <t xml:space="preserve">PM1.4 Exempted CH Detail Report </t>
  </si>
  <si>
    <t>Validate the filters displayed in the PM1.4 Missed detail report
Test Objective:To Validate the filters displayed in the PM1.4 Missed detail report</t>
  </si>
  <si>
    <t xml:space="preserve">Login to OBI Analytics as User group and navigate to PM General home page </t>
  </si>
  <si>
    <t>User should be able to see PM1.4 in the bar chart</t>
  </si>
  <si>
    <t>Click on the PM1.4 bar chart</t>
  </si>
  <si>
    <t xml:space="preserve">Click on any of the daily/monthly trend bar chart </t>
  </si>
  <si>
    <t>screen shot of the report should be captured</t>
  </si>
  <si>
    <t>User should be able to navigate to PM 1.4  Mid-level report</t>
  </si>
  <si>
    <t>Click on Exempted CH value under “# of CH (Mmm-yyyy)” column in the PM 1.4 Mid Level tabular view</t>
  </si>
  <si>
    <t>screen shot of the missed detail report should be captured</t>
  </si>
  <si>
    <t>Validate the filters displayed in the exempted CH detail report</t>
  </si>
  <si>
    <t>screen shot of the report highlighting the filters should be captured</t>
  </si>
  <si>
    <t xml:space="preserve">User should be able to see the following filters in the header as follow:
i)Comms Hub ID 
ii)Exception Reason 
iii)Incident ID 
iv)Incident Status 
v)Pending SU Visit (80 Days) 
vi)Opted Out  
vii)Opted Out Date 
vii)Manual PM Override Flag
ix)Res Cat Tier 1- 3 
x)Prod Cat Tier 1 - 3  </t>
  </si>
  <si>
    <t>Validate the "Exception Reason","Incident status" and "Manual PM OverrideFlag" filter prompts</t>
  </si>
  <si>
    <t>screen shot of the report highlighting the three filters should be captured</t>
  </si>
  <si>
    <t>User should be able to select more than one option from the drop down filters</t>
  </si>
  <si>
    <t>PM1.4 Exempted CH detail report</t>
  </si>
  <si>
    <t>Validate the comms_hub_id and incident id in the PM1.4 exempted  CH detail report
Test Objective:To Validate the comms_hub_id and incident id in the PM1.4 exempted  CH detail report</t>
  </si>
  <si>
    <t>step 1</t>
  </si>
  <si>
    <t>step 2</t>
  </si>
  <si>
    <t>step 3</t>
  </si>
  <si>
    <t>User should be able to navigate to PM1.4 mid level report</t>
  </si>
  <si>
    <t>step 4</t>
  </si>
  <si>
    <t>Click on Exempted value under “# of CH (Mmm-yyyy)”  column in the PM 1.4 Mid Level tabular view</t>
  </si>
  <si>
    <t>screen shot of the exempted CH detail report should be captured</t>
  </si>
  <si>
    <t>Users should be able to navigate to PM1.4 Exempted CH Detail report</t>
  </si>
  <si>
    <t>step 5</t>
  </si>
  <si>
    <t>Validate the Comms_Hub_id in the filter prompt</t>
  </si>
  <si>
    <t>screen shot of the report highlighting the comms_hub_id filter should be captured</t>
  </si>
  <si>
    <t xml:space="preserve">User should be able to type the beginning of the searched value in "Comms Hub" filter in exempted CH detail report 
</t>
  </si>
  <si>
    <t>step 6</t>
  </si>
  <si>
    <t>Enter a relevant  value in Comms_Hub_id filter and Click on the Apply button</t>
  </si>
  <si>
    <t>User should be able to see the data in the report relevant to the search value in the  Comms_Hub_id  filter</t>
  </si>
  <si>
    <t>step 7</t>
  </si>
  <si>
    <t>Screen shot of the PM 1.4 exempted detail level report should be captured and data base result should be attached</t>
  </si>
  <si>
    <t>User should be able to see the same filtered data in the OBI and the database</t>
  </si>
  <si>
    <t>step 8</t>
  </si>
  <si>
    <t>Click on the Reset button</t>
  </si>
  <si>
    <t>User should be able to see the report  reset to the default selection</t>
  </si>
  <si>
    <t>step 9</t>
  </si>
  <si>
    <t xml:space="preserve">Validate the Incident_id in the filter prompt </t>
  </si>
  <si>
    <t xml:space="preserve">User should be able to type the exact searched value in the  "Incident ID" filter in Exempted CH detail report
</t>
  </si>
  <si>
    <t>step 10</t>
  </si>
  <si>
    <t>Enter a relevant  value in Incident_id filter and Click on the Apply button</t>
  </si>
  <si>
    <t>User should be able to see the data in the report relevant to the search value in the  Incident_id  filter</t>
  </si>
  <si>
    <t>step 11</t>
  </si>
  <si>
    <t>PM1.4 Exempted CH Detail report</t>
  </si>
  <si>
    <t>Validate the   columns displayed in PM1.4 Exempted CH detail report
Test Objective:To Validate the   columns displayed in PM1.4 Exempted CH detail report</t>
  </si>
  <si>
    <t>Click on Exempted CH  value under “# of CH (Mmm-yyyy)” column in the PM 1.4 Mid Level tabular view</t>
  </si>
  <si>
    <t>User should be able to successfully navigate to the PM 1.4 exempted CH  Detail report</t>
  </si>
  <si>
    <t xml:space="preserve">Validate the columns displayed in PM1.4 Exempted CH  detail report </t>
  </si>
  <si>
    <t>screen shot of the report highlighting the columns should be captured</t>
  </si>
  <si>
    <t>User should be able to see the following columns:
i)Comms Hub ID 
ii)Exception Reason 
iii)Outage Start 
iv)Outage End 
v)Outage Duration 
vi)Incident ID 
vii)Incident Status 
viii)Assigned by DCC Flag 
ix)Incident Reported Date 
Days taken to raise incident
Incident first assigned to Arqiva
Incident first assigned to SU 
Days taken to re-assign incident to SU 
Pending SU Visit (80 Days)
Res Cat Tier 1
Opted Out 
Opted Out Date 
Manual PM Override Flag
Manual PM Override Description
Prod Cat Tier 1</t>
  </si>
  <si>
    <t>TC_OBI_001_CR109_PM1.4_Mid_Level_Report_Barchart_and_Tabular_View_Validation</t>
  </si>
  <si>
    <t xml:space="preserve">PM1.4 Mid level report </t>
  </si>
  <si>
    <t>Validate the pie chart and tabular view displayed in the PM1.4 mid level report
Test Objective: To Validate the pie chart and tabular view displayed in the PM1.4 mid level report</t>
  </si>
  <si>
    <t xml:space="preserve">Validate the pie chart </t>
  </si>
  <si>
    <t xml:space="preserve">screen shot of the report highlighting the pie charts  should be captured </t>
  </si>
  <si>
    <t>User should be able to see the Pie Chart showing the number of Comms Hubs split by the following statuses: 
i)Missed
ii)Exempted CH
iii)Total</t>
  </si>
  <si>
    <t xml:space="preserve"> Validate the subtotal of Missed CH and Exempted CH</t>
  </si>
  <si>
    <t xml:space="preserve">PM1.4 summary level report </t>
  </si>
  <si>
    <t xml:space="preserve">Validate the MSL  line displayed in the PM1.4 summary level report 
Test Objective: To Validate the MSL  line displayed in the PM1.4 summary level report </t>
  </si>
  <si>
    <t>Pre-Requisite1:Data should be available in WC_PM_D for MSL with 99%</t>
  </si>
  <si>
    <t>screenshot of the database should be captured</t>
  </si>
  <si>
    <t xml:space="preserve">Hover on the MSL line in the daily and monthly trend bar chart </t>
  </si>
  <si>
    <t>screen shot of the report highlighting the MSL line should be captured</t>
  </si>
  <si>
    <t>User should be able to see the value as 99%</t>
  </si>
  <si>
    <t>Validate the MSL line displayed in the daily and monthly trend bar chart against the database
Login into SQL developer and run the attached query.
Table Name:WC_PM_D</t>
  </si>
  <si>
    <t>screen shot of the report and database should be captured</t>
  </si>
  <si>
    <t>User should be able to see the same data in the report and in the database</t>
  </si>
  <si>
    <t xml:space="preserve">Validate the TSL  line displayed in the PM1.4 summary level report 
Test Objective: To Validate the TSL  line displayed in the PM1.4 summary level report </t>
  </si>
  <si>
    <t>Pre-Requisite1:Data should be available in WC_PM_D for MSL with 99.9%</t>
  </si>
  <si>
    <t xml:space="preserve">Hover on the TSL line in the daily and monthly trend bar chart </t>
  </si>
  <si>
    <t>Validate the TSL line displayed in the daily and monthly trend bar chart against the database
Login into SQL developer and run the attached query.
Table Name:WC_PM_D</t>
  </si>
  <si>
    <t>TC_OBI_003_CR109_PM1.4_Legend_Validation</t>
  </si>
  <si>
    <t>Validate the legends displayed in the PM1.4 summary level .
Test Objective:To Validate the legends displayed in the PM1.4 summary level .</t>
  </si>
  <si>
    <t xml:space="preserve">Validate the legends in the PM1.4 summary level report </t>
  </si>
  <si>
    <t>screen shot of the report highlighting the legends should be captured</t>
  </si>
  <si>
    <t>User should be able to see the following legends next to the bar charts:
i)TSL Met
ii)TSL Not Met
iii)MSL Not Met
iv)TSL
v)MSL
vi)ASL = 0</t>
  </si>
  <si>
    <t>TC_OBI_004_CR109_PM1.4_"Click here for report values table" _Link_Under_Monthly_Bar_chart</t>
  </si>
  <si>
    <t>Validate the "Click here for report values table" link under the monthly trend bar chart
Test Objective:To Validate the "Click here for report values table" link under the monthly trend bar chart</t>
  </si>
  <si>
    <t>Validate the "Click here for report values table" link under the monthly trend bar chart</t>
  </si>
  <si>
    <t>screen shot of the report highlighting the link should be captured</t>
  </si>
  <si>
    <t>User should be able to see the  "Click here for report values table" link under the monthly trend bar chart</t>
  </si>
  <si>
    <t>Click on  "Click here for report values table" link under the monthly trend bar chart and validate the data in the report against the database 
Login into SQL developer and run the attached query
Table Name:WC_PM_EVENT_MONTHLY_F</t>
  </si>
  <si>
    <t xml:space="preserve">screen shot of the report highlighting the monthly trend tabular view  and database should be captured </t>
  </si>
  <si>
    <t xml:space="preserve">i)User should be able to see the monthly trend tabular view  for the selected month and the three previous months
ii)User should be able to see the same data in the report and in the database </t>
  </si>
  <si>
    <t>TC_OBI_001_CR109_PM1.4_Missed_detail_Report_Filter_Validation</t>
  </si>
  <si>
    <t xml:space="preserve">PM1.4 Missed Detail Report </t>
  </si>
  <si>
    <t>Click on Missed value under “# of CH (Mmm-yyyy)” column in the PM 1.4 Mid Level tabular view</t>
  </si>
  <si>
    <t>Validate the filters displayed in the missed detail report</t>
  </si>
  <si>
    <t>User should be able to see the following filters in the header as follow:
i)Comms Hub ID
ii)Uplink Tower ID Last
iii)CH Firmware Current
iv)Tamper Event
v)Tamper Event Date between 
vi)Manual PM Override Flag</t>
  </si>
  <si>
    <t>TC_OBI_002_CR109_PM1.4_Missed_detail_Report_Column_Validation</t>
  </si>
  <si>
    <t>Validate the   columns displayed in PM1.4 missed detail report
Test Objective:To Validate the   columns displayed in PM1.4 missed detail report</t>
  </si>
  <si>
    <t xml:space="preserve">Validate the columns displayed in PM1.4 Mised detail report </t>
  </si>
  <si>
    <t>User should be able to see the following columns:
i)Comms Hub ID
ii)Outage 1 Start 
iii)Outage 1 End 
iv)Outage 1 Duration 
v)Outage 2 Start
vi)Outage 2 End
vii)Outage 2 Duration 
viii)Uplink Tower ID Last 
ix)CH Firmware Current 
x)CH Buddy ID 
xi)Uplink Tower ID Best 
xii)Tamper Event 
xiiii)Tamper Event Date  
xiv)Manual PM Override Flag
xv)Manual PM Override Description</t>
  </si>
  <si>
    <t>PM1.4 Exempted detail report</t>
  </si>
  <si>
    <t>Validate the comms_hub_id field in the PM1.4 missed detail report
Test Objective:To Validate the comms_hub_id field   in the PM1.4 missed detail report</t>
  </si>
  <si>
    <t>Click on Missed  value under “# of CH (Mmm-yyyy)”  column in the PM 1.4 Mid Level tabular view</t>
  </si>
  <si>
    <t>Users should be able to navigate to PM1.4 Missed  Detail report</t>
  </si>
  <si>
    <t>Screen shot of the PM 1.4 missed detail level report should be captured and data base result should be attached</t>
  </si>
  <si>
    <t>TC_OBI_PM1.4_007_Summary_Page_Bar_Chart_Data_Validation,
TC_OBI_PM1.4_008_PM_General_Data_Validation,
TC_OBI_PM1.4_012_Performance_Area_Report_Data_Validation
TC_008_OBI_PM_Annual_Actual_Service_Level_report_Data_Validation,
TC_049_OBI_PM_Annual_Service_Failures_Report_Summary_Report_Tabular_View_Data_Validation,
TC_024_OBI_PM_Annual_Service_Points_and_Credits_Report_Service_Points_Yearly_ternd_tabular_View_Data_Validation
TC_OBI_PM_Quarterly_007_Actual_Service_Level_Report_Data_Validation,
TC_OBI_PM_Quaterly_018_Service_Points_And_Credits_Report_Stacked_Bar_Chart_Monthly_Trend_Service_Points_Data_Validation
TC_OBI_PMSCD_001_ detail report_data validation,
TC_OBI_PMSCD_002_data validation _summary report
TC_OBI_BillingServiceCrDetail_030_Service_credit_detail_calculation,
TC_OBI_BillingServiceDb_026_Service_debit_summary_data_validation,
TC_OBI_BillingServiceCr_023_Service_credit_summary_data_validation,TC_OBI_PM 1.4_001_PM 1_ Performance Area_Navigation,TC_OBI_PM 1.4_016_Detail level report Drop down filter_Single selection,TC_OBI_PM 1.4_007_Mid level report_Pie Chart_Validation,TC_OBI_PM 1.4_009_Mid level report_Tabular view_total and sub total</t>
  </si>
  <si>
    <t>TC_OBI_001_CR109_PM1.4_Exclusion_Condition_1</t>
  </si>
  <si>
    <t xml:space="preserve">PM1.4 detail report </t>
  </si>
  <si>
    <t>Validate the Comms_Hub_id's are not displayed in the PM1.4 Missed and Exempted CH Detail level report if CH is less or equal to a Rollout Date (Primavera) for the Site ID (Primavera), where the Site ID is associated to the Best Server Uplink Link if not then Downlink ID (Planet) for a Postcode (CHSU&amp;Planet) where the CH is installed 
Test Objective:To Validate the Comms_Hub_id's are not displayed in the PM1.4 Missed and Exempted CH Detail level report if CH is less or equal to a Rollout Date (Primavera) for the Site ID (Primavera), where the Site ID is associated to the Best Server Uplink Link if not then Downlink ID (Planet) for a Postcode (CHSU&amp;Planet) where the CH is installed</t>
  </si>
  <si>
    <t>Pre-Requisite 1:Data should be available  where ods_ch_logistical.JSR_Install_Datetime&lt;=ods_site_rollout.Rollout_Date for the site_id where ods_site_rollout.Site_Id=ods_pc_covg.Best_Server_Ul and ods_ch_logistical.JSR_PostCode=ods_pc_covg.Post_Code</t>
  </si>
  <si>
    <t>screen shot of the database should be captured</t>
  </si>
  <si>
    <t>Login to OBI Analytics as User group,click on Dashboards drop down list and Click on  performance measures</t>
  </si>
  <si>
    <t>Select the appropriate date as per pre-requisite 1</t>
  </si>
  <si>
    <t>User should be able to see PM1.4  in the Bar chart.</t>
  </si>
  <si>
    <t>Click on the PM1.4 bar chart displayed in PM_General report</t>
  </si>
  <si>
    <t>User should be able to see the Summary page of PM1.4 in the new tab.</t>
  </si>
  <si>
    <t>Click on a bar in PM1.4 monthly/daily  trend bar chart</t>
  </si>
  <si>
    <t>Screen shot of PM1.4 mid level report  should be captured</t>
  </si>
  <si>
    <t>Click on the any of the values in Missed column of the tabular view</t>
  </si>
  <si>
    <t>Screen shot of  PM1.4 detail level report should be captured</t>
  </si>
  <si>
    <t>User should be able to navigate to the  PM1.4 detail level report</t>
  </si>
  <si>
    <t>screen shot of the database and the report should be captured</t>
  </si>
  <si>
    <t>User should not be able to see the CH_ID's in the report  that satisfy the pre-requisite 1</t>
  </si>
  <si>
    <t xml:space="preserve">click on the return link </t>
  </si>
  <si>
    <t xml:space="preserve">User should be able to navigate back to the PM1.4 Mid level report </t>
  </si>
  <si>
    <t>Click on the any of the values in Exempted CH column of the tabular view</t>
  </si>
  <si>
    <t>User should be able to navigate to the  PM1.4 Exempted CH level report</t>
  </si>
  <si>
    <t>TC_OBI_002_CR_109_PM1.4_Exclusion_Condition_2</t>
  </si>
  <si>
    <t xml:space="preserve">Validate the Comms_Hub_id's are not displayed in the PM1.4 Exempted CH and Missed Detail level report if the Metal_Obstruction_Chk='Yes' 
Test Objective:To Validate the Comms_Hub_id's are not displayed in the PM1.4 Exempted CH and Missed Detail level report if the Metal_Obstruction_Chk='Yes' </t>
  </si>
  <si>
    <t>Select the appropriate date for which data is present for PM1.4</t>
  </si>
  <si>
    <t>User should be able to see PM1.4 in the Bar chart.</t>
  </si>
  <si>
    <t>Click on the PM 1.4 bar chart displayed in PM_General report</t>
  </si>
  <si>
    <t>User should be able to see the Summary page of PM 1.4 in the new tab.</t>
  </si>
  <si>
    <t>Click on a bar in PM 1.4  daily/monthly trend bar chart</t>
  </si>
  <si>
    <t>Screen shot of PM 1.4 mid level report  should be captured</t>
  </si>
  <si>
    <t>User should be able to navigate to PM 1.4 mid level report</t>
  </si>
  <si>
    <t>Screen shot of  PM 1.4 detail level report should be captured</t>
  </si>
  <si>
    <t>User should be able to navigate to the  PM 1.4 detail level report</t>
  </si>
  <si>
    <t>User should be able to navigate to the  PM 1.4 Exempted CH detail level report</t>
  </si>
  <si>
    <t>TC_OBI_003_CR_109_PM1.4_Exclusion_Condition_3</t>
  </si>
  <si>
    <t>Validate the Comms_Hub_id's are not displayed in the PM1.4 Missed and Exempted CH detail level report that satisfies the pre-requisite1
Test Objective:To Validate the Comms_Hub_id's are not displayed in the PM1.4 Missed and Exempted CH detail level report that satisfies the pre-requisite1</t>
  </si>
  <si>
    <t>Pre-Requisite 1:Dats should be  available for ODS_CH_LOSS_OF_SMWAN_CONN satisfying the following condition:
-i)IncidentRecord. Summary = "CHF Install – no SM WAN" AND 
 IncidentRecord. Reported Source "Job Status Report" AND
IncidentRecord. Resolution Categorisation Tier 1 = “No Fault Found” AND
 IncidentRecord. Resolution Categorisation Tier 2 = “User Error”  AND
 IncidentRecord. Resolution Categorisation Tier 3 = “Physical Damage” OR  “Failed to follow CHIPSM” OR “Failed to follow CHMSM” AND
-IncidentRecord. Status = "Closed"</t>
  </si>
  <si>
    <t>TC_OBI_004_CR109_PM1.4_Exclusion_Condition_4</t>
  </si>
  <si>
    <t xml:space="preserve">Validate the Comms_Hub_id's are not displayed in the PM1.4 Missed and Exempted CH  Detail level report  when the CH is identified as  Exclusion through Manual PM Overrides Feed  
Test Objective:To Validate the Comms_Hub_id's are not displayed in the PM1.4 Missed and Exempted CH  Detail level report  when the CH is identified as  Exclusion through Manual PM Overrides Feed  </t>
  </si>
  <si>
    <t>Prerequisite 1: CH is identified as Exclusion through Manual PM Overrides Feed .</t>
  </si>
  <si>
    <t>Data should be available for the condition override flag=4 in DWH for testing.</t>
  </si>
  <si>
    <t>Select  any date other than the install date</t>
  </si>
  <si>
    <t>Click on a bar in PM1.4  daily/monthly trend bar chart</t>
  </si>
  <si>
    <t xml:space="preserve">Click on the return link </t>
  </si>
  <si>
    <t>Click on the any of the values in Allowed Exception  column of the tabular view</t>
  </si>
  <si>
    <t>User should be able to navigate to the  PM1.4 Allowed Exception level report</t>
  </si>
  <si>
    <t xml:space="preserve">TC_OBI_PM 1.4_001_CR109_PM 1_ Performance Area_Report
</t>
  </si>
  <si>
    <t xml:space="preserve">PM1.4 Performance area report </t>
  </si>
  <si>
    <t xml:space="preserve">Validate the data displayed in the PM1.4 performance area report is same as per PM1.4 summary level report 
Test Objective:To Validate the data displayed in the PM1.4 performance area report is same as per PM1.4 summary level report </t>
  </si>
  <si>
    <t xml:space="preserve">Validate the legends displayed next to monthly and daily trend bar charts in the PM1.4 Performance area  report </t>
  </si>
  <si>
    <t>step 12</t>
  </si>
  <si>
    <t>JAMA Folder</t>
  </si>
  <si>
    <t>Executed?</t>
  </si>
  <si>
    <t>Test Case ID</t>
  </si>
  <si>
    <t>Subject Area</t>
  </si>
  <si>
    <t>Test Name</t>
  </si>
  <si>
    <t>Test Data</t>
  </si>
  <si>
    <t>Expected Result</t>
  </si>
  <si>
    <t>Feedback Comments</t>
  </si>
  <si>
    <t>Status/Reason</t>
  </si>
  <si>
    <t>Actual Result</t>
  </si>
  <si>
    <t>Execution Planned Start Date</t>
  </si>
  <si>
    <t>Execution Planned End Date</t>
  </si>
  <si>
    <t>Execution Actual Start Date</t>
  </si>
  <si>
    <t>Execution Actual End Date</t>
  </si>
  <si>
    <t>Status</t>
  </si>
  <si>
    <t>Comments</t>
  </si>
  <si>
    <t>TC_OBI_PMRBE_001_CR109_PM 1.4_Summary report_Email_Functionality_ no condition.</t>
  </si>
  <si>
    <t>PM Reports By Email</t>
  </si>
  <si>
    <t>Validate PM 1.4  Summary  level emailed report
Test Objective:  To Validate PM 1.4 Summary  level emailed report</t>
  </si>
  <si>
    <t>Pre-requisite 1: On a Monthly basis (1st day of the month) for the previous complete month with no condition should be sent to the specified email recipient (smart.servicelevelmanagement@arqiva.com)</t>
  </si>
  <si>
    <t>Pre-requisite  2: For testing purpose testers Email ID should be configured to receive reports</t>
  </si>
  <si>
    <t>Pre-requisite 3: Data should be available for PM1.4 summary level report for previous month.</t>
  </si>
  <si>
    <t>Login to Arqiva email account and validate the document attached is in PDF format and also name of the document</t>
  </si>
  <si>
    <t>User should be able to see the attached pdf document and also name of it  as "Full Report Title "
Example: "Performance Measure # on &lt;dd Mmm yyyy&gt;</t>
  </si>
  <si>
    <t xml:space="preserve">Validate the Subject of Email </t>
  </si>
  <si>
    <t>User should be able to see the subject of the email " Full Report Title - Smart Metering "
Example: "Performance Measure # on &lt;dd Mmm yyyy&gt; - Smart Metering</t>
  </si>
  <si>
    <t>Click on the pdf document</t>
  </si>
  <si>
    <t>User should be able to save or open the pdf</t>
  </si>
  <si>
    <t>Validate the bar charts and tabular views in the emailed report</t>
  </si>
  <si>
    <t>i)User should be able to see the bar charts and tabular views in the Summary level report.
Ii)User should be able to see values that are represented by the bar charts in the tabular view</t>
  </si>
  <si>
    <t>Validate the  Arqiva logo, footer and note in the attached report</t>
  </si>
  <si>
    <t>Screen shot of the report should be captured with the Arqiva logo, footer and note  highlighted</t>
  </si>
  <si>
    <t>User should be able to see the Arqiva logo and "Confidential and Commercially Sensitive not to be shared with other DCC Service Providers" in the footer and "Smart Metering" note</t>
  </si>
  <si>
    <t>User should be able to see the Performance Measures under Arqiva smart metering</t>
  </si>
  <si>
    <t>Click on Performance Measure  tab</t>
  </si>
  <si>
    <t>User should be able to see the Performance measures dashboard with the General PM tab selected by default</t>
  </si>
  <si>
    <t>Validate the summary report details with the emailed pdf report</t>
  </si>
  <si>
    <t xml:space="preserve">Screen shot of the PM 1.4 summary  report should be captured along with the emailed pdf document </t>
  </si>
  <si>
    <t>User should be able to see the PM1.4 summary level report data same as the data emailed in PDF</t>
  </si>
  <si>
    <t>TC_OBI_PMRBE_002_CR_109_PM 1.4_Summary report_Email Functionality_ ASL&lt;TSL</t>
  </si>
  <si>
    <t>Validate PM 1.4 Summary  level emailed report when ASL&lt;TSL
Test Objective:  To validate PM 1.4 Summary  level emailed report when ASL&lt;TSL</t>
  </si>
  <si>
    <t>Pre-requisite 1: On a daily basis at 08:00 AM for current month, PM 1.4  summary level report should be sent to the specified email recipient (smart.servicelevelmanagement@arqiva.com)</t>
  </si>
  <si>
    <t>Pre-requisite 3: Data should be available for the 3rd month previous to last complete month if ASL &lt; TSL for the 3rd month previous to last complete month (e.g. On 1st May 2017, the emailed reports shall display data for  Jan 2017)</t>
  </si>
  <si>
    <t>User should be able to see the PM1.4 summary level report data same as the data emailed in PDF as per the prerequisite 3.</t>
  </si>
  <si>
    <t>TC_OBI_PMRBE_003_CR_109_PM 1.4_Missed detail report_Email Functionality_ ASL&lt;TSL</t>
  </si>
  <si>
    <t>Validate PM 1.4 Missed CH detail emailed report 
Test Objective:  To validate the email functionality of the PM 1.4 Missed CH detail report</t>
  </si>
  <si>
    <t>Pre-requisite 1: On a daily basis at 08:00 AM, PM 1.4  Missed CH Detail report should be sent to the specified email recipient (smart.servicelevelmanagement@arqiva.com)</t>
  </si>
  <si>
    <t>Login to Arqiva email account and validate the document attached is in Excel format and also name of the document</t>
  </si>
  <si>
    <t>User should be able to see the attached Excel document and also name of it  as "Full Report Title "
Example: PM 1.4 – Missed CH – Detail – Smart Metering</t>
  </si>
  <si>
    <t>User should be able to see the subject of the email as " Full Report Title - Smart Metering "
Example: PM 1.4 – Missed CH – Detail – Smart Metering</t>
  </si>
  <si>
    <t>Click on the Excel document</t>
  </si>
  <si>
    <t>User should be able to save or open the Excel</t>
  </si>
  <si>
    <t>User should be able to see the Performance Measure Dashboard.</t>
  </si>
  <si>
    <t>Click on the PM 1.4 bar in the PM General report</t>
  </si>
  <si>
    <t>User should be able to see the PM 1.4 daily and monthly trend bar charts</t>
  </si>
  <si>
    <t>Click on any bar of the daily or monthly trend bar charts of PM 1.4</t>
  </si>
  <si>
    <t>User should be able to navigate to the PM 1.4 Mid Level report</t>
  </si>
  <si>
    <t>Click on Missed CH value under “# of CH (Mmm-yyyy)”  column in the PM 1.4 Mid Level tabular view</t>
  </si>
  <si>
    <t>User should be able to navigate to the PM 1.4 Missed CH Detail report</t>
  </si>
  <si>
    <t>Validate the report details with the emailed Excel report</t>
  </si>
  <si>
    <t xml:space="preserve">Screen shot of the PM 1.4 Missed CH Detail report  should be captured along with the emailed Excel document </t>
  </si>
  <si>
    <t>User should be able to see the PM 1.4 Missed CH Detail   report data same as the data emailed in Excel</t>
  </si>
  <si>
    <t>TC_OBI_PMRBE_004_CR109_PM 1.4_Summary report_Email_Functionality_no condition</t>
  </si>
  <si>
    <t>Validate PM 1.4 Summary  level emailed report
Test Objective:  To Validate PM 1.4 Summary  level emailed report</t>
  </si>
  <si>
    <t xml:space="preserve">Screen shot of the PM 1.4  summary  report should be captured along with the emailed pdf document </t>
  </si>
  <si>
    <t>TC_OBI_PMRBE_005_CR109_PM 1.4_Summary report_Email Functionality_ ASL&gt;TSL</t>
  </si>
  <si>
    <t>Validate PM 1.4 Summary  level emailed report when ASL&gt;TSL
Test Objective:  To validate PM 1.4 Summary  level emailed report when ASL &gt;TSL</t>
  </si>
  <si>
    <t>Pre-requisite 3: Data should be available for the 3rd month previous to last complete month if ASL &gt;TSL for the 3rd month previous to last complete month (e.g. On 1st May 2017, the emailed reports shall display data for  Jan 2017)</t>
  </si>
  <si>
    <t>User should not receive any email as the condition is ASL is greater than TSL</t>
  </si>
  <si>
    <t>TC_OBI_PMRBE_006_CR109_PM 1.4_Missed detail report_Email Functionality_ ASL&gt;TSL</t>
  </si>
  <si>
    <t>SMBSS.NTTD.PM_1.4.029</t>
  </si>
  <si>
    <t>SMBSS.NTTD.PM_1.4.030</t>
  </si>
  <si>
    <t>SMBSS.NTTD.PM_1.4.037</t>
  </si>
  <si>
    <t>SMBSS.NTTD.PM_1.4.041</t>
  </si>
  <si>
    <t>SMBSS.NTTD.PM_1.4.058</t>
  </si>
  <si>
    <t>SMBSS.NTTD.PM_1.4.057</t>
  </si>
  <si>
    <t>SMBSS.NTTD.PM_1.4.015</t>
  </si>
  <si>
    <t>SMBSS.NTTD.PM_1.4.104</t>
  </si>
  <si>
    <t>TC_OBI_002_PM1.4_Exclusion_Condition_2</t>
  </si>
  <si>
    <t>SMBSS.NTTD.PM_1.4.105</t>
  </si>
  <si>
    <t>TC_OBI_003_PM1.4_Exclusion_Condition_3</t>
  </si>
  <si>
    <t>SMBSS.NTTD.PM_1.4.106</t>
  </si>
  <si>
    <t>TC_OBI_004_PM1.4_Exclusion_Condition_4</t>
  </si>
  <si>
    <t>SMBSS.NTTD.PM_1.4.069</t>
  </si>
  <si>
    <t>TC_OBI_PMRBE_001_PM 1.4_Summary report_Email_Functionality_ no condition.</t>
  </si>
  <si>
    <t>SMBSS.NTTD.PM_1.4.070</t>
  </si>
  <si>
    <t>SMBSS.NTTD.PM_1.4.071</t>
  </si>
  <si>
    <t>SMBSS.NTTD.PM_1.4.080</t>
  </si>
  <si>
    <t>SMBSS.NTTD.PM_1.4.082</t>
  </si>
  <si>
    <t>SMBSS.NTTD.PM1_1.4_Email.010</t>
  </si>
  <si>
    <t>TC_OBI_PMRBE_002_PM 1.4_Summary report_Email Functionality_ ASL&lt;TSL</t>
  </si>
  <si>
    <t>SMBSS.NTTD.PM1_1.4_Email.011</t>
  </si>
  <si>
    <t>TC_OBI_PMRBE_003_PM 1.4_Missed detail report_Email Functionality_ ASL&lt;TSL</t>
  </si>
  <si>
    <t>SMBSS.NTTD.PM1_1.4_Email.012</t>
  </si>
  <si>
    <t>TC_OBI_PMRBE_004_PM 1.4_Summary report_Email_Functionality_no condition</t>
  </si>
  <si>
    <t>SMBSS.NTTD.PM_1.4.078</t>
  </si>
  <si>
    <t xml:space="preserve">TC_OBI_PM 1.4_001_PM 1_ Performance Area_Report
</t>
  </si>
  <si>
    <t>SMBSS.NTTD.PM_1.4.092</t>
  </si>
  <si>
    <t>SMBSS.NTTD.PM_1.4.093</t>
  </si>
  <si>
    <t>SMBSS.NTTD.PM_1.4.142---Regression</t>
  </si>
  <si>
    <t>PM 1.4  Exempted CH Qualification against PM
Test Objective:To validate the criteria used to determine 'Exempted' for CH against the measurement period</t>
  </si>
  <si>
    <r>
      <t>TC_OBI_PM 1.4_001 _CH qualification against PM_Exempted CH_</t>
    </r>
    <r>
      <rPr>
        <sz val="10"/>
        <rFont val="Calibri"/>
        <family val="2"/>
        <scheme val="minor"/>
      </rPr>
      <t>Criterial1</t>
    </r>
  </si>
  <si>
    <t>Screen shot of database should be captured</t>
  </si>
  <si>
    <t>PM 1.4 Outage  start,outage end field  validation of  Exempted CH detail level report
Test Objective: To validate the data for Outage  start,outage end field  validation of  Exempted CH detail level report</t>
  </si>
  <si>
    <r>
      <t>PM 1.4 "Manual PM Override Flag"</t>
    </r>
    <r>
      <rPr>
        <sz val="10"/>
        <rFont val="Calibri"/>
        <family val="2"/>
        <scheme val="minor"/>
      </rPr>
      <t xml:space="preserve">field  </t>
    </r>
    <r>
      <rPr>
        <sz val="10"/>
        <color theme="1"/>
        <rFont val="Calibri"/>
        <family val="2"/>
        <scheme val="minor"/>
      </rPr>
      <t xml:space="preserve"> validation of  Exempted CH detail level report
Test Objective: To validate the data for PM 1.4 "Manual PM Override Flag " field  validation of  Exempted CH detail level report</t>
    </r>
  </si>
  <si>
    <r>
      <t>Validate the filters displayed in the PM1.4</t>
    </r>
    <r>
      <rPr>
        <sz val="9"/>
        <color rgb="FFFF0000"/>
        <rFont val="Calibri"/>
        <family val="2"/>
        <scheme val="minor"/>
      </rPr>
      <t xml:space="preserve"> </t>
    </r>
    <r>
      <rPr>
        <sz val="9"/>
        <rFont val="Calibri"/>
        <family val="2"/>
        <scheme val="minor"/>
      </rPr>
      <t>Exempted cH</t>
    </r>
    <r>
      <rPr>
        <sz val="9"/>
        <color theme="1"/>
        <rFont val="Calibri"/>
        <family val="2"/>
        <scheme val="minor"/>
      </rPr>
      <t xml:space="preserve">detail report
Test Objective:To Validate the filters displayed in the PM1.4 </t>
    </r>
    <r>
      <rPr>
        <sz val="9"/>
        <rFont val="Calibri"/>
        <family val="2"/>
        <scheme val="minor"/>
      </rPr>
      <t>Exempted CH</t>
    </r>
    <r>
      <rPr>
        <sz val="9"/>
        <color rgb="FFFF0000"/>
        <rFont val="Calibri"/>
        <family val="2"/>
        <scheme val="minor"/>
      </rPr>
      <t xml:space="preserve"> </t>
    </r>
    <r>
      <rPr>
        <sz val="9"/>
        <color theme="1"/>
        <rFont val="Calibri"/>
        <family val="2"/>
        <scheme val="minor"/>
      </rPr>
      <t>detail report</t>
    </r>
  </si>
  <si>
    <t>Click on the daily/monthly  bar in the summary level report</t>
  </si>
  <si>
    <t>User should be able to navigate to PM 1.4 Mid level report</t>
  </si>
  <si>
    <t>Screens hot of database should be captured</t>
  </si>
  <si>
    <t>To validate the Comm's hub ID for which Manualoverrideflag="2 " in allowed exception detailed report.
Test Objective: To validate the Comm's hub ID for which Manualoverrideflag="2 " in allowed exception detailed report.</t>
  </si>
  <si>
    <t>To validate the Comm's hub ID for which Manualoverrideflag="3 " in allowed exception detailed report.
Test Objective: To validate the Comm's hub ID for which Manualoverrideflag="3 " in allowed exception detailed report.</t>
  </si>
  <si>
    <t>User should be navigated to the Exempted CH_Detail_level report.</t>
  </si>
  <si>
    <t xml:space="preserve">1.The number of CH_ID's displayed in detailed report should be equal to the number displayed against Exempted CH Status in tabular view of Mid_Level report for selected date in PM_General date prompt as per the pre requisite
</t>
  </si>
  <si>
    <t>The value displayed against 'Exempted CH' status is equal to the number of CH's which are according to Pre requisite 1</t>
  </si>
  <si>
    <t xml:space="preserve">1.The number of CH_ID's displayed in detailed report should be equal to the number displayed against Exempted CH Status in tabular view of Mid_Level report for selected date in PM_General date prompt as per the pre requisite 1.
</t>
  </si>
  <si>
    <t>TC_OBI_017_CR109_PM1.4_Exempted_CH_detail_Report_Filter_Validation</t>
  </si>
  <si>
    <t>TC_OBI_018_CR109_PM1.4_Exempted_CH_Comms_Hub_and_Incident_ID_Validation</t>
  </si>
  <si>
    <t>SMBSS.NTTD.PM_1.4.062</t>
  </si>
  <si>
    <t>SMBSS.NTTD.PM_1.4.124</t>
  </si>
  <si>
    <t>SMBSS.NTTD.PM_1.4.124,SMBSS.NTTD.PM_1.4.125</t>
  </si>
  <si>
    <t>TC_OBI_019_CR109_PM1.4_Exempted_CH_detail_Report_Column_Validation</t>
  </si>
  <si>
    <t>SMBSS.NTTD.PM_1.4.061</t>
  </si>
  <si>
    <t>TC_OBI_003_CR109_PM1.4_MSL_Line_Validation</t>
  </si>
  <si>
    <t>TC_OBI_004_CR109_PM1.4_TSL_Line_Validation</t>
  </si>
  <si>
    <t>TC_OBI_005_CR109_PM1.4_Legend_Validation</t>
  </si>
  <si>
    <t>TC_OBI_006_CR109_PM1.4_"Click here for report values table" _Link_Under_Monthly_Bar_chart</t>
  </si>
  <si>
    <t>TC_OBI_007_CR109_PM1.4_Mid_Level_Report_Barchart_and_Tabular_View_Validation</t>
  </si>
  <si>
    <t>SMBSS.NTTD.PM_1.4.041,SMBSS.NTTD.PM_1.4.037</t>
  </si>
  <si>
    <t xml:space="preserve">User should be able to type the beginning of the searched value in "Comms Hub" filter in missed detail report 
</t>
  </si>
  <si>
    <t>TC_OBI_012_CR109_PM1.4_Missed_detail_Report_Filter_Validation</t>
  </si>
  <si>
    <t>TC_OBI_013_CR109_PM1.4_Missed_detail_Report_Column_Validation</t>
  </si>
  <si>
    <t>TC_OBI_014_CR109_PM1.4_Missed_Detail_Comms_Hub_ID_Filter_Validation</t>
  </si>
  <si>
    <t>PM 1.4 Outage duration for Missed detail level report
Test Objective: To validate outage duration PM 1.4 Missed detail report for a CH has been connected on the current date  and not connected on the current date.</t>
  </si>
  <si>
    <t>PM 1.4 "Manual PM Override Flag @field    validation of  Missed detail level report
Test Objective: To validate the data for PM 1.4 "Manual PM Override Flag " field  validation of  Missed detail level report</t>
  </si>
  <si>
    <t>CH Id has been Identified as allowed exception and Run the PM Manual over ride  file  with the condition (Manual_PM_Override_Flag=2)</t>
  </si>
  <si>
    <t xml:space="preserve">CH Id has been Identified as Total and Run the PM Manual over ride  file  </t>
  </si>
  <si>
    <t xml:space="preserve">CH Id has been Identified as Allowed exception and Run the PM Manual over ride  file  </t>
  </si>
  <si>
    <t xml:space="preserve">CH Id has been Identified as Missed and Run the PM Manual over ride  file  </t>
  </si>
  <si>
    <t>Scenarios</t>
  </si>
  <si>
    <t>Testcases</t>
  </si>
  <si>
    <t>validate PM 1.4 Missed detail report  for  CH has been Unconnected (Missed) at any point in the measurement period due to an outage, then even if it was Allowed Exception (except if it is Opted Out) in that measurement period due to another outage, that CH shall be reported as Missed and Total for that measurement period</t>
  </si>
  <si>
    <t>To validate PM 1.4 Missed detail report for a CH disconnects (Missed) or meets Allowed Exception criteria more than once within the same measurement period, the CH shall be reported only once in that measurement period</t>
  </si>
  <si>
    <t>Exempted CH criteria-For a particular CH Opt Out feed.Opt Out Status = 1 (Yes) within the measurement period or before the measurement period</t>
  </si>
  <si>
    <t xml:space="preserve">To validate the criteria used to determine 'Exempted' for CH against the measurement period
</t>
  </si>
  <si>
    <t>Validate the report when manual override flag value is updated from  missed to allowed exception</t>
  </si>
  <si>
    <t>To Validate the report when manual override flag value is updated from  allowed exception to Missed</t>
  </si>
  <si>
    <t xml:space="preserve">Validate the report when CH with Manual PM Overrides feed for the particular month the CH was unconnected </t>
  </si>
  <si>
    <t>Validate the Comms_Hub_id's are not displayed in the PM1.4 Missed and Exempted CH Detail level report if CH is less or equal to a Rollout Date (Primavera) for the Site ID (Primavera), where the Site ID is associated to the Best Server Uplink Link if not then Downlink ID (Planet) for a Postcode (CHSU&amp;Planet) where the CH is installed</t>
  </si>
  <si>
    <t xml:space="preserve">Validate the Comms_Hub_id's are not displayed in the PM1.4 Exempted CH and Missed Detail level report if the Metal_Obstruction_Chk='Yes' </t>
  </si>
  <si>
    <t xml:space="preserve">Validate the Comms_Hub_id's are not displayed in the PM1.4 Missed and Exempted CH  Detail level report  when the CH is identified as  Exclusion through Manual PM Overrides Feed  </t>
  </si>
  <si>
    <t>Pre-requisite 1: Data should be available such that for a particular CH Opt Out feed.Opt Out Status = 1 (Yes) within the measurement period or before the measurement period
Tablename: ods_ch_loss_of_smwan_conn</t>
  </si>
  <si>
    <t>Validate the data
Login to SQL developer
Run the attached query
Table Name:
ods_ch_loss_of_smwan_conn</t>
  </si>
  <si>
    <t>Pre requisite 1:
 if CH qualifies as "Excluded CH" against that measurement period,then CH should not be reported as "Total",  "Missed" or "Allowed Exception"  against measurement period for PM1.4
Tablename: ods_ch_loss_of_smwan_conn</t>
  </si>
  <si>
    <t>Validate the data in PM 1.4 mid level report tabular report
Go to SQL developer and run the query
Table name: ods_ch_loss_of_smwan_conn</t>
  </si>
  <si>
    <t>Pre requisite 1:
 if CH qualifies as "Allowed exception" against that measurement period,then CH should not be reported as "Total",  "Missed"  against measurement period for PM1.4
Tablename: ods_ch_loss_of_smwan_conn</t>
  </si>
  <si>
    <t>Pre requisite 1: Data should be available as per th below criteria in tha database
-- CH reported as Missed and Total at the same time if CH meets both qualifications(Missed and Total)
 Total = CH with Operational Status “Active”
Tablename: ods_ch_loss_of_smwan_conn</t>
  </si>
  <si>
    <t>Pre-requisite 1: Data should be available for PM 1.4 such that PM 1.4 Summary level report ASL calculation has to be  excluded for  the CH reported as "Allowed Exception" or "Excluded" against that measurement period
 --Total = CH with Operational Status “Active”
--If CH qualifies as Active at any point during the measurement period, then that CH shall be reported as "Total" for that measurement period e.g. CH was Active until 15th Jan, after that CH was no longer Active - at the end of the Jan CH shall be reported as Active
Tablename: ods_ch_loss_of_smwan_conn</t>
  </si>
  <si>
    <t>Validate the ASL value
Login to SQL developer
Run the attached query
Table Name: 
ods_ch_loss_of_smwan_conn</t>
  </si>
  <si>
    <t>Pre-requisite 1: Data should be available such that for a particular CH 
--Incident raised with in 10 days of outage notification  and it is closed 
--Incident raised with in 10 days of outage notification  and it is closed  befor outage end.
Tablename: ods_ch_loss_of_smwan_conn</t>
  </si>
  <si>
    <t>Pre-requisite 1: Data should be available such that for a particular CH 
--If CH has been Opted Out at any point during or before the measurement period, then even if it was Unconnected (Missed) in that measurement period, the CH shall be reported as Allowed Exception for  that measurement period
Tablename: ods_ch_loss_of_smwan_conn</t>
  </si>
  <si>
    <t>Pre-requisite 1: Data should be available as per the below criteria.
 --Total = CH with Operational Status “Active”
 CH has been Unconnected (Missed) at any point in the measurement period due to an outage, then even if it was Allowed Exception (except if it is Opted Out) in that measurement period due to another outage, that CH shall be reported as Missed and Total for that measurement period
Tablename: ods_ch_loss_of_smwan_conn</t>
  </si>
  <si>
    <t>Validate the data for Outage 1 start,outage 1 end_outage 2 start ,outage 2 end fields
Login to SQL developer
Run the attached query
Table Name:
ods_ch_loss_of_smwan_conn</t>
  </si>
  <si>
    <t>Pre-requisite 1: Data should be available as per the below criteria.
Days taken to raise incident=Incident reported date-outage start date
Tablename: ods_ch_loss_of_smwan_conn</t>
  </si>
  <si>
    <t>Validate the data 
Login to SQL developer
Run the attached query
Table Name:
ods_ch_loss_of_smwan_conn</t>
  </si>
  <si>
    <t>Pre-requisite 1: Data should be available as per the below criteria.
Days taken to re-assign incident to SUt=First incident assignment to Arqiva date - the first assignment to DCC Licensee  following the first  assignment to Arqiva
Tablename: ods_ch_loss_of_smwan_conn</t>
  </si>
  <si>
    <t>Pre-requisite 1: Data should be available as per the below criteria.
-- The field value should be "Manual PM Override", "Opted Out","Pending SU Visit (80 days)", Failed to follow CHIPSM,"CHIPSM not followed",Failed to follow CHMSM,  "CHMSM not followed" "Physical Damage", "Unresolved Incident"
Tablename: ods_ch_loss_of_smwan_conn</t>
  </si>
  <si>
    <t>Pre-requisite 1: Data should be available as per the below criteria.
"Incident first assigned to Arqiva"=the date and time when the incident was first assigned to Arqiva
Tablename: ods_ch_loss_of_smwan_conn</t>
  </si>
  <si>
    <t>Pre-requisite 1: Data should be available as per the below criteria.
Incident first assigned to SU=Display show the date and time when the incident was first assigned to DCC Licensee  following the first  assignment to Arqiva
Tablename: ods_ch_loss_of_smwan_conn</t>
  </si>
  <si>
    <t>Pre-requisite 1: Data should be available as per the below criteria loaded through Manual PM overrides file.
-- the Manual PM Override Flag field in the detail report Should  display the value as per below mapping for the manually updated CH:
-1 = "Override Off"
0 = "Missed"
2 = "Allowed Exception"
3 = "Allowed Exception Met"
Tablename: ods_ch_loss_of_smwan_conn</t>
  </si>
  <si>
    <t>Validate the filtered data in the OBI against database Go to Sql developer and run the attached query Table Name: ods_ch_loss_of_smwan_conn</t>
  </si>
  <si>
    <t>Pre-requisite 1: Data should be available as per the below criteria.
 --Total = CH with Operational Status “Active”
 CH has been Unconnected (Missed) at any point in the measurement period due to an outage, then even if it was Allowed Exception (except if it is Opted Out) in that measurement period due to another outage, that CH shall be reported as Missed and Total for that measurement period
Table name: ods_ch_loss_of_smwan_conn</t>
  </si>
  <si>
    <t xml:space="preserve">Pre-requisite 1: Data should be available as per the below criteria.
 --Total = CH with Operational Status “Active”
--CH is able to report the same CH in more than one measurement period if it meets Total, Missed or Allowed Exception criteria
Table name: ods_ch_loss_of_smwan_conn
</t>
  </si>
  <si>
    <t xml:space="preserve">Pre-requisite 1: Data should be available as per the below criteria.
 --Total = CH with Operational Status “Active”
--CH is able  report the same CH in more than one measurement period when the CH remains disconnected (Missed) or an Allowed Exception across number of sequential measurement periods 
Table name: ods_ch_loss_of_smwan_conn
</t>
  </si>
  <si>
    <t>Pre-requisite 1: Data should be available as per the below criteria.
 --Incident raised with in 10days from outage notication and not an allowed exception
-- Outage Duration &gt; 10 calendar days *
* 864000 seconds, considering timestamp
Table name: ods_ch_loss_of_smwan_conn</t>
  </si>
  <si>
    <t>Pre-requisite 1: Data should be available as per the below criteria.
 --CH gets unconnected more than once in a month
-- CH been reported as Allowed Exception across months due to a qualifying incident and at the time of incident closure it was identified that CH is not an Allowed Exception, then the CH qualification for the previous months shall be recalculated
Table name: ods_ch_loss_of_smwan_conn</t>
  </si>
  <si>
    <t>Pre-requisite 1: Data should be available as per the below criteria.
 --If CH is connected on the current date (it doesn't have to be at the same time), then most recent Last Toi minus Last Toi which is previous to most recent Last Toi
--CH Outage duration=Current date-Last Toi
- If CH was not connected on the current date (it doesn't have to be at the same time), then  System (current) date minus most recent Last Toi
--CH Outage duration=System date-Last Toi
Table name: ods_ch_loss_of_smwan_conn</t>
  </si>
  <si>
    <t>Pre-requisite 1: Data should be available as per the below criteria.
--Outage 1 field: Outage 1 fields in the Missed Detail report display the information of the first Outage that occurred in the month (e.g. if there are three outages in a month, Outage 1 on the report shall be the 1st outage)
Table name: ods_ch_loss_of_smwan_conn</t>
  </si>
  <si>
    <t>Pre-requisite 2: Data should be available as per the below criteria.
--Outage 2 field: Outage 2 fields in the Missed Detail report shall show information of the most recent Outage that occurred in the month (i.e. if there are three outages in a month,  Outage 2 on the report shall be the 3rd outage)
Table name: ods_ch_loss_of_smwan_conn</t>
  </si>
  <si>
    <t>Validate the Outage 1 and outage 2 field data
Login to SQL developer
Run the attached query
Table Name:
ods_ch_loss_of_smwan_conn</t>
  </si>
  <si>
    <t>Pre-requisite 1: Data should be available as per the below criteria.
--Outage 1 Start is the date (Last Toi) of the start of the Outage Period
--Outage 2  Start is the date (Last Toi) of the start of the Outage Period
Table name: ods_ch_loss_of_smwan_conn</t>
  </si>
  <si>
    <t>Pre-requisite 2: Data should be available as per the below criteria.
-Outage 1 End is the date (Last Toi) of the end of the Outage Period
-Outage 2 End is the date (Last Toi) of the end of the Outage Period
Table name: ods_ch_loss_of_smwan_conn</t>
  </si>
  <si>
    <t>Pre-requisite 1: Data should be available as per the below criteria.
Days taken to re-assign incident to SUt=First incident assignment to Arqiva date - the first assignment to DCC Licensee  following the first  assignment to Arqiva
Table name: ods_ch_loss_of_smwan_conn</t>
  </si>
  <si>
    <t>Pre-requisite 1: Data should be available as per the below criteria.
Incident first assigned to SUt=First incident assignment to Arqiva date - the first assignment to DCC Licensee  following the first  assignment to Arqiva
Table name: ods_ch_loss_of_smwan_conn</t>
  </si>
  <si>
    <t>Pre-requisite 1: Data should be available as per the below criteria loaded through Manual PM overrides file.
-- the Manual PM Override Flag field in the detail report Should  display the value as per below mapping for the manually updated CH:
-1 = "Override Off"
0 = "Missed"
2 = "Allowed Exception"
3 = "Allowed Exception Met"
Table name: ods_ch_loss_of_smwan_conn</t>
  </si>
  <si>
    <t>Pre-requisite 1: Data should be available for PM 1.4 such that CH has Operational Status should be "Active" in a given Measurement Period, it should  be reported as PM 1.4 "Total" against that Measurement Period
Table name: WC_PM_DAILY_F,ods_ch_loss_of_smwan_conn</t>
  </si>
  <si>
    <t>Pre-requisite 2: Data should be available for such that connectivity related incident assigned to Arqiva and the CH shall not be reported at all until the incident is  “Closed” and the days from incident should be greater than 10 days
Table name: WC_PM_DAILY_F,ods_ch_loss_of_smwan_conn</t>
  </si>
  <si>
    <t xml:space="preserve">Pre-requisite 1: Data should be available for PM 1.4 such that CH has Operational Status should be "Active" in a given Measurement Period, if:
- CH is identified as Total via Manual PM Overrides Feed (from Missed or Allowed Exception) OR
- CH is not an Allowed Exception AND 
- Operational Status = ACTIVE
Table name: WC_PM_DAILY_F,ods_ch_loss_of_smwan_conn
</t>
  </si>
  <si>
    <t>Validate the data  displayed for "Total" in PM 1.4 mid level report tabular report
Go to SQL developer and run the query
Table name: ods_ch_loss_of_smwan_conn</t>
  </si>
  <si>
    <t>Pre-requisite 1:Comms hub Id's with Missed status in the database should be available for testing.
Table name :ods_ch_loss_of_smwan_conn</t>
  </si>
  <si>
    <t>Pre-requisite 1:Comms hub Id's with Allowed exception status in the database should be available for testing.
Table name :ods_ch_loss_of_smwan_conn</t>
  </si>
  <si>
    <t>Pre-requisite 1:Comms hub Id's with Missed status in the database should be available for testing.
Table name :ods_ch_loss_of_smwan_conn</t>
  </si>
  <si>
    <t>Pre-requisite 1:Comms hub ID's with "Total" as active  should be available in the database for testing
Table name :ods_ch_loss_of_smwan_conn</t>
  </si>
  <si>
    <t>Pre-requisite 1:Comms hub Ids with Missed status for Previous month should be available for testing.
Table name :ods_ch_loss_of_smwan_conn</t>
  </si>
  <si>
    <t>CH Id has been Identified as Missed for current month and Run the PM Manual over ride  file  
Table name :ods_ch_loss_of_smwan_conn</t>
  </si>
  <si>
    <t>Pre-requisite 2:Comms hub should be available for Missed after processing the manual override file
Table name :ods_ch_loss_of_smwan_conn</t>
  </si>
  <si>
    <t>Prerequisite : Data should be available for the condition override flag=2 in DWH for testing.
Table name :ods_ch_loss_of_smwan_conn</t>
  </si>
  <si>
    <t>Prerequisite : Data should be available for the condition override flag=3 in DWH for testing.
Table name :ods_ch_loss_of_smwan_conn</t>
  </si>
  <si>
    <t>Validate the  data in the Missed Detail report  as per pre-requisite 1 against the database
Login into SQL tool and run the attached query
Table Name:ods_ch_loss_of_smwan_conn</t>
  </si>
  <si>
    <t>Validate the  data in the Exempted CH  Detail report  as per pre-requisite 1 against the database
Login into SQL tool and run the attached query
Table Name:ods_ch_loss_of_smwan_conn</t>
  </si>
  <si>
    <t xml:space="preserve">Pre-Requisite 1:CH_IDs should be available in ods_ch_loss_of_smwan_conn satisfying the below condition: 
i)Metal_Obstruction_Chk='Yes' </t>
  </si>
  <si>
    <t>Validate the  data in the Exempted CH   Detail report  as per pre-requisite 1 against the database
Login into SQL tool and run the attached query
Table Name:ods_ch_loss_of_smwan_conn</t>
  </si>
  <si>
    <t>Validate the  data in the Exempted CH Detail report  as per pre-requisite 1 against the database
Login into SQL tool and run the attached query
Table Name:ods_ch_loss_of_smwan_conn</t>
  </si>
  <si>
    <t>Validate the  data in the allowed Exception  Detail report  as per pre-requisite 1 against the database
Login into SQL tool and run the attached query
Table Name:ods_ch_loss_of_smwan_conn</t>
  </si>
  <si>
    <t>TC_OBI_017_CR109_PM1.4_Exempted_CH_detail_Report_Filters_multi selection Validation</t>
  </si>
  <si>
    <t>TC_OBI_005_CR109_PM1.4_Exclusion_Condition_5</t>
  </si>
  <si>
    <t xml:space="preserve">Prerequisite 1:
-- 1.Comms Hubs that are not part of the PM1.4 domain should be available in database for testing.
--2.Comms Hubs that are not part of the PM1.4 domain should not be displayed against PM1.4 Met,Missed and Exempted CH detail level reports.
</t>
  </si>
  <si>
    <t xml:space="preserve">Ensure that data haven't displayed  for PM1.4 Missed and Exempted CH  Detail level report  when Comms Hubs that are not part of the PM1.4 domain 
Test Objective:Ensure that data haven't displayed  for PM1.4 Missed and Exempted CH  Detail level report  when Comms Hubs that are not part of the PM1.4 domain </t>
  </si>
  <si>
    <t>Validate the  data in the allowed Exception  Detail report against the database
Login into SQL tool and run the attached query
Table Name:ods_ch_loss_of_smwan_conn</t>
  </si>
  <si>
    <t>Validate the  data in the Missed Detail report against the database
Login into SQL tool and run the attached query
Table Name:ods_ch_loss_of_smwan_conn</t>
  </si>
  <si>
    <t>Pre-requisite 1: Data should be available such that for a particular CH 
   - CH Outage Duration &gt; 10 calendar days considering timestamp
- AND CH has CH incident (i.e. CH ID or REP ID in Incident Record is not null) 
- AND IncidentRecord.Status &lt;&gt; Cancelled
- AND Incident Reported Date is within 10 days after the Outage start
- AND Incident must be assigned to DCC / SU 
- AND Incident has been assigned to SU within 10 days from Outage Start AND either of the following:
        a) IncidentRecord.Pending 80 Days Flag is set  OR
        b) IncidentRecord.Status = Closed AND 
             •  IncidentRecord. Resolution Categorisation Tier 1 = “No Fault Found” AND
             • IncidentRecord.Resolution Categorisation Tier 2 = “User Error”  AND
             • IncidentRecord. Resolution Categorisation Tier 3 = “Physical Damage” OR “Failed to follow CHIPSM” OR “Failed to follow CHMSM” OR
        c) IncidentRecord.Status &lt;&gt; Closed
Tablename: ods_ch_loss_of_smwan_conn</t>
  </si>
  <si>
    <t>Name</t>
  </si>
  <si>
    <t>Project</t>
  </si>
  <si>
    <t>Step Expected Result</t>
  </si>
  <si>
    <t>Step Notes</t>
  </si>
  <si>
    <t>Test Case</t>
  </si>
  <si>
    <t>Smart Metering - BSS</t>
  </si>
  <si>
    <t/>
  </si>
  <si>
    <t>Validate the filters displayed in the PM1.4 Exempted cHdetail report
Test Objective:To Validate the filters displayed in the PM1.4 Exempted CH detail report</t>
  </si>
  <si>
    <t>User should be able to see the following filters in the header as follow:
i)Comms Hub ID  begins with
ii)Exception Reason 
iii)Incident ID 
iv)Incident Status 
v)Pending SU Visit (80 Days) 
vi)Opted Out  
vii)Opted Out Date between
vii)Manual PM Override Flag
ix)Res Cat Tier 1                                                          
x)Res Cat Tier 2      xi)Res Cat Tier 3                         xii)Prod Cat Tier 1      xiii)Prod Cat Tier 2 xiv)Prod Cat Tier 3</t>
  </si>
  <si>
    <t>User should be able to select any  option from the drop down filters</t>
  </si>
  <si>
    <t>Pre-requisite 1:Data should be available in WC_PM_DAILY_F for exempted CH and missed</t>
  </si>
  <si>
    <t>Validate the report when manual override flag value is updated from total to Missed.
Test Objective: To Validate the report when manual override flag value is updated from total to Missed.</t>
  </si>
  <si>
    <t xml:space="preserve">User should be able to see the corresponding value in mid level tabular view.
User should be able to see the same value in report and in database
</t>
  </si>
  <si>
    <t>User should be able to see corresponding updated  value in mid level tabular view.
User should be able to see the same value in report and in database</t>
  </si>
  <si>
    <t>Pre-requisite 3: Data should be available for the current month and ASL &lt; TSL.</t>
  </si>
  <si>
    <t>User should be able to see the attached pdf document and also name of it  as "Full Report Title "_x000D_
Example: "Performance Measure # on &lt;dd Mmm yyyy&gt;</t>
  </si>
  <si>
    <t>User should be able to see the subject of the email " Full Report Title - Smart Metering "_x000D_
Example: "Performance Measure # on &lt;dd Mmm yyyy&gt; - Smart Metering</t>
  </si>
  <si>
    <t>i)User should be able to see the bar charts and tabular views in the Summary level report._x000D_
_x000D_
Ii)User should be able to see values that are represented by the bar charts in the tabular view</t>
  </si>
  <si>
    <t>User should be able to see the attached Excel document and also name of it  as "Full Report Title "_x000D_
Example: PM 1.4 – Missed CH – Detail – Smart Metering</t>
  </si>
  <si>
    <t>User should be able to see the subject of the email as " Full Report Title - Smart Metering "_x000D_
Example: PM 1.4 – Missed CH – Detail – Smart Metering</t>
  </si>
  <si>
    <t>TC_OBI_PMRBE_005_CR109_PM 1.4_Summary report_Email Functionality_No condition</t>
  </si>
  <si>
    <t>Pre-requisite 1: On a daily basis at 08:00 AM, PM 1.4  summary level report should be sent to the specified email recipient (smart.servicelevelmanagement@arqiva.com)</t>
  </si>
  <si>
    <t>TC_OBI_PMRBE_006_CR109_PM 1.4_Missed detail report_Email Functionality_No condition</t>
  </si>
  <si>
    <t> (NTT DATA - PM 1.4 - Requirements v14), requirements updated tracked through JIRA 2889</t>
  </si>
  <si>
    <t>Pre-requisite 1: Data should be available as per the below criteria.
"Days taken to assign incident to SU" field should  be derived by first assignment to DCC Licensee date minus Outage Start date
Table name: ods_ch_loss_of_smwan_conn</t>
  </si>
  <si>
    <t>Validate the data _x000D_
Login to SQL developer_x000D_
Run the attached query_x000D_
_x000D_
_x000D_
Table Name:_x000D_
ods_ch_loss_of_smwan_conn</t>
  </si>
  <si>
    <t xml:space="preserve">CH Satisfies the pre requisite 1  and Prerequisite 2 should be displayed in PM1.4 Missed  detail report accordingly._x000D_
</t>
  </si>
  <si>
    <t>Pre-requisite 1: Data should be available as per the below criteria.
"Incident first assigned to SU" field should show the date and time when the incident was first assigned to DCC Licensee, e.g. the date of 1st assignment below:
1st assignment - DCC Licensee
2nd assignment -Arqiva
3rd assignment - DCC Licensee
Table name: ods_ch_loss_of_smwan_conn</t>
  </si>
  <si>
    <t>TC_OBI_PM 1.4_001_Summary_Midlevel_Detail_Level _Reports_report_Footer Validation</t>
  </si>
  <si>
    <t>Validate the footer is displayed in summary,mid level and detail level reports
 Objective : To Validate the footer is displayed in summary,mid level and detail level reports</t>
  </si>
  <si>
    <t>Click on Performance Measures</t>
  </si>
  <si>
    <t xml:space="preserve"> Validate the footer message</t>
  </si>
  <si>
    <t>User should be able to see the footer message "Confidential and Commercially Sensitive not to be shared with other DCC Service Providers"</t>
  </si>
  <si>
    <t>screen shot of the summary report highlighting the footer should be captured</t>
  </si>
  <si>
    <t>Validate the note</t>
  </si>
  <si>
    <t>User should be able to see the "Smart Metering" note below the footer message</t>
  </si>
  <si>
    <t>screen shot of the summary report highlighting the note  should be captured</t>
  </si>
  <si>
    <t xml:space="preserve">clcik on any of the bar in daily/monthly trend </t>
  </si>
  <si>
    <t>screen shot of the mid level report highlighting the footer should be captured</t>
  </si>
  <si>
    <t>screen shot of the mid level report highlighting the note  should be captured</t>
  </si>
  <si>
    <t xml:space="preserve">User should be able to successfully navigate to the PM 1.4 Missed Detail report </t>
  </si>
  <si>
    <t>screen shot of the missed detail report highlighting the footer should be captured</t>
  </si>
  <si>
    <t>screen shot of the missed report highlighting the note  should be captured</t>
  </si>
  <si>
    <t>click on the return link</t>
  </si>
  <si>
    <t>User should be able to navigate back to mid level report</t>
  </si>
  <si>
    <t>screen shot of the exempetd report highlighting the footer should be captured</t>
  </si>
  <si>
    <t>screen shot of the exemepted report highlighting the note  should be captured</t>
  </si>
  <si>
    <t>TC_OBI_PM 1.4_002_Summary_Midlevel_Detail_Level _Reports_Print Functionality</t>
  </si>
  <si>
    <t>Validate the print functionality   in summary,mid level and detail level reports
Objective : To Validate the print functionality   in summary,mid level and detail level reports</t>
  </si>
  <si>
    <t>Click on the Page option next to help option to the top right corner</t>
  </si>
  <si>
    <t>User should be able to see the Print Option under the Page Option next to the Help button at the top right corner of the Dashboard.</t>
  </si>
  <si>
    <t>Click on Print option</t>
  </si>
  <si>
    <t>User should be able to print the report in printable pdf or HTML format.</t>
  </si>
  <si>
    <t>Click on 'Open' option</t>
  </si>
  <si>
    <t>The PDF report of CH PM 1.2 summary report page should be displayed</t>
  </si>
  <si>
    <t>Validate the printed report has the relevant formatting</t>
  </si>
  <si>
    <t>User should be able to see the following details: 1)The Arqiva logo should be displayed on the left corner of the page.2)The title and time run should be displayed 3)"Confidential and Commercially Sensitive not to be shared with other DCC Service Providers" in the footer 4)User should be able to see the "Smart Metering" note</t>
  </si>
  <si>
    <t>Screen shot of the report in pdf format should be captured</t>
  </si>
  <si>
    <t>Repeat the steps 6-8  for HTML format</t>
  </si>
  <si>
    <t>User should be able to see the contents on the HTML report same as PM1.4  summary report page</t>
  </si>
  <si>
    <t>Snap-shot of the HTML report should be captured.</t>
  </si>
  <si>
    <t>click on any of the bar in daily/monthly trend bar chart</t>
  </si>
  <si>
    <t>User should be able to naviagte to mid level report</t>
  </si>
  <si>
    <t>The PDF report of PM1.4mid level  report page should be displayed</t>
  </si>
  <si>
    <t>Repeat the steps  12-14 for HTML format</t>
  </si>
  <si>
    <t>User should be able to see the contents on the HTML report same as PM1.4mid level report page</t>
  </si>
  <si>
    <t>User should be able to navigate  to missed       detail report</t>
  </si>
  <si>
    <t>The PDF report of PM1.4   missed detail  report page should be displayed</t>
  </si>
  <si>
    <t>Repeat the steps 18-20  for HTML format</t>
  </si>
  <si>
    <t>User should be able to see the contents on the HTML report same as PM1.4 missed detail report page</t>
  </si>
  <si>
    <t>click on retrun link</t>
  </si>
  <si>
    <t>User should be able to naviagte  to mid level report</t>
  </si>
  <si>
    <t>Click on exempeted  value under “# of CH (Mmm-yyyy)” column in the PM 1.4 Mid Level tabular view</t>
  </si>
  <si>
    <t>User should be able to navigate  to exempted       detail report</t>
  </si>
  <si>
    <t>The PDF report of PM1.4  exempted detail  report page should be displayed</t>
  </si>
  <si>
    <t>Repeat the steps 25-27  for HTML format</t>
  </si>
  <si>
    <t>User should be able to see the contents on the HTML report same as PM1.4 exempted detail report page</t>
  </si>
  <si>
    <t>TC_OBI_PM 1.4_003_Export link</t>
  </si>
  <si>
    <t>Validate the export link of PM 1.4 Mid level,Missed Detail report and Exempted CH detail level report
Objective: To validate the export link of PM 1.4 Mid level,Missed Detail report and Exempted CH detail level report</t>
  </si>
  <si>
    <t xml:space="preserve"> Select the required date in date prompt</t>
  </si>
  <si>
    <t>User should be able to see the  data in PM General report for the date selected</t>
  </si>
  <si>
    <t>Screenshot of PM General report page should be captured</t>
  </si>
  <si>
    <t>Click on the export link under the PM General tabular view</t>
  </si>
  <si>
    <t>User should be able to see the options to select the different format to export like PDF, Excel, Power Point, Web archive, csv , xml etc.</t>
  </si>
  <si>
    <t>Click on the PDF option</t>
  </si>
  <si>
    <t xml:space="preserve"> User should be able to see the option to save and open the tabular view in PDF format</t>
  </si>
  <si>
    <t>Click on the save option</t>
  </si>
  <si>
    <t>User should be able to see the options to open, open folder and cancel</t>
  </si>
  <si>
    <t>Repeat the steps from 5 to 8 for different formats</t>
  </si>
  <si>
    <t>User should be able to export the reports in the PDF, Excel and other OBI default formats</t>
  </si>
  <si>
    <t>Screen shot of PM 1.4 Mid level report should be captured and also attach the exported reports</t>
  </si>
  <si>
    <t xml:space="preserve"> Click on the PM 1.4 bar in the bar chart</t>
  </si>
  <si>
    <t>Click on a bar in PM 1.4 daily trend or Monthly trend bar chart</t>
  </si>
  <si>
    <t>Click on the export link under the pie chart tabular view</t>
  </si>
  <si>
    <t>Screen shot of PM 1.4 Mid level report highliting Export options should be captured</t>
  </si>
  <si>
    <t>Screen shot of the PM 1.4 Missed Detail report and PM 1.4 Mid level report should be captured</t>
  </si>
  <si>
    <t>Click on the export link under the Missed detail table</t>
  </si>
  <si>
    <t>User should be able to see the option to save and open the tabular view in PDF format</t>
  </si>
  <si>
    <t>Screen shot of PM 1.4 Missed detail level report should be captured and also attach the exported reports</t>
  </si>
  <si>
    <t>Click on the Return link under the Missed detail table</t>
  </si>
  <si>
    <t xml:space="preserve">User should be able to navigate to Mid Level report </t>
  </si>
  <si>
    <t>Screen shot of the PM 1.4 Exempted CH Detail report and PM 1.4 Mid level report should be captured</t>
  </si>
  <si>
    <t>Click on the export link under the  Exempted CH Detail table</t>
  </si>
  <si>
    <t>Screen shot of PM 1.4  Exempted CH Detail report report should be captured and also attach the exported reports</t>
  </si>
  <si>
    <t xml:space="preserve">Pre-requisite 1: Data should be available as per the below criteria._x000D_
_x000D_
 --Total = CH with Operational Status “Active”_x000D_
--CH is able to report the same CH in more than one measurement period if it meets Total, Missed or Allowed Exception criteria_x000D_
Table name: ods_ch_loss_of_smwan_conn_x000D_
</t>
  </si>
  <si>
    <t>PM 1.4 CH qualification aginst Missed status 
Test Objective: To validate PM 1.4 Missed detail report for a CH is able to report the same CH in more than one measurement period if it meets Total, Missed or Allowed Exception criteria</t>
  </si>
  <si>
    <t>Validate the data_x000D_
_x000D_
Login to SQL developer_x000D_
Run the attached query_x000D_
_x000D_
_x000D_
Table Name:_x000D_
ods_ch_loss_of_smwan_conn</t>
  </si>
  <si>
    <t xml:space="preserve">CH Satisfies the pre requisite 1 will be displayed in PM1.4 Missed detail report_x000D_
</t>
  </si>
  <si>
    <t xml:space="preserve">Pre-requisite 1: Data should be available as per the below criteria._x000D_
_x000D_
 --Total = CH with Operational Status “Active”_x000D_
--CH is able  report the same CH in more than one measurement period when the CH remains disconnected (Missed) or an Allowed Exception across number of sequential measurement periods _x000D_
_x000D_
Table name: ods_ch_loss_of_smwan_conn_x000D_
</t>
  </si>
  <si>
    <t>PM 1.4 CH qualification aginst Missed status 
Test Objective: To validate PM 1.4 Missed detail report for a CHis able  report the same CH in more than one measurement period when the CH remains disconnected (Missed) or an Allowed Exception across number of sequential measurement periods</t>
  </si>
  <si>
    <t xml:space="preserve">TC_OBI_PM 1.4_001_CR109_PM 1_ Performance Area_Report_x000D_
</t>
  </si>
  <si>
    <t>Validate the data displayed in the PM1.4 performance area report is same as per PM1.4 summary level report 
Test Objective:To Validate the data displayed in the PM1.4 performance area report is same as per PM1.4 summary level report</t>
  </si>
  <si>
    <t>User should be able to see the following legends next to the bar charts:_x000D_
i)TSL Met_x000D_
ii)TSL Not Met_x000D_
iii)MSL Not Met_x000D_
iv)TSL_x000D_
v)MSL_x000D_
vi)ASL = 0</t>
  </si>
  <si>
    <t>Click on  "Click here for report values table" link under the monthly trend bar chart and validate the data in the report against the database _x000D_
Login into SQL developer and run the attached query_x000D_
Table Name:WC_PM_EVENT_MONTHLY_F</t>
  </si>
  <si>
    <t xml:space="preserve">i)User should be able to see the monthly trend tabular view  for the selected month and the three previous months_x000D_
ii)User should be able to see the same data in the report and in the database </t>
  </si>
  <si>
    <t xml:space="preserve">Pre-Requisite 1:CH_IDs should be available in ods_ch_loss_of_smwan_conn satisfying the below condition: _x000D_
i)Metal_Obstruction_Chk='Yes' </t>
  </si>
  <si>
    <t>Validate the Comms_Hub_id's are not displayed in the PM1.4 Exempted CH and Missed Detail level report if the Metal_Obstruction_Chk='Yes' 
Test Objective:To Validate the Comms_Hub_id's are not displayed in the PM1.4 Exempted CH and Missed Detail level report if the Metal_Obstruction_Chk='Yes'</t>
  </si>
  <si>
    <t>Validate the  data in the Missed Detail report  as per pre-requisite 1 against the database_x000D_
Login into SQL tool and run the attached query_x000D_
Table Name:ods_ch_loss_of_smwan_conn</t>
  </si>
  <si>
    <t>Validate the  data in the Exempted CH   Detail report  as per pre-requisite 1 against the database_x000D_
Login into SQL tool and run the attached query_x000D_
Table Name:ods_ch_loss_of_smwan_conn</t>
  </si>
  <si>
    <t>Pre requisite 1:
 if CH qualifies as "Allowed exception" against that measurement period,then CH should not be reported as "total",  "Missed"  against measurement period for PM1.4
Tablename: ods_ch_loss_of_smwan_conn</t>
  </si>
  <si>
    <t>Validate the ch_ids corroponding to missed exempted CH  status against database</t>
  </si>
  <si>
    <t>CH Satisfies the Pre requisite 1 with expempted ch statsu shoul not be availabe in missed detail report</t>
  </si>
  <si>
    <t xml:space="preserve">Screen shot of the PM 1.4 mid level,Missed,exempted cH report should be captured </t>
  </si>
  <si>
    <t>Pre requisite 1: Data should be available as per th below criteria in tha database_x000D_
_x000D_
-- CH reported as Missed and Total at the same time if CH meets both qualifications(Missed and Total)_x000D_
_x000D_
 Total = CH with Operational Status “Active”_x000D_
_x000D_
Tablename: ods_ch_loss_of_smwan_conn</t>
  </si>
  <si>
    <t>PM 1.4 Mid level tabular view data validation
Test Objective: To validate the data in the Mid level tabular view and data for  the CH reported as Missed and Total at the same time if CH meets both qualifications((Excluded and Allowed exception)</t>
  </si>
  <si>
    <t>Validate the data in PM 1.4 mid level report tabular report_x000D_
_x000D_
Go to SQL developer and run the query_x000D_
_x000D_
Table name: ods_ch_loss_of_smwan_conn</t>
  </si>
  <si>
    <t>1.CH Satisfies the Pre requisite 1 should  be displayed in PM1.4 mid level tabular view status._x000D_
_x000D_
2.Useer should be able to see the updated data on a daily basis in the PM1.4 mid level report.</t>
  </si>
  <si>
    <t>Pre-requisite 1: Data should be available for PM 1.4 such that PM 1.4 Summary level report ASL calculation has to be  excluded for  the CH reported as "Allowed Exception" or "Excluded" against that measurement period_x000D_
_x000D_
 --Total = CH with Operational Status “Active”_x000D_
--If CH qualifies as Active at any point during the measurement period, then that CH shall be reported as "Total" for that measurement period e.g. CH was Active until 15th Jan, after that CH was no longer Active - at the end of the Jan CH shall be reported as Active_x000D_
_x000D_
Tablename: ods_ch_loss_of_smwan_conn</t>
  </si>
  <si>
    <t>Validate the ASL value_x000D_
_x000D_
Login to SQL developer_x000D_
Run the attached query_x000D_
_x000D_
Table Name: _x000D_
ods_ch_loss_of_smwan_conn</t>
  </si>
  <si>
    <t xml:space="preserve">User should not be able to see calculated ASL value same as ASL value displayed in the OBI=
100 * (1 – (PM_NOT_MET/(PM_TOTAL- EXCLUSIONS(Q1) - ALLOWED_EXCEPTIONS(Q1) - ALLOWED_EXCEPTIONS_MET(Q1)))) 
</t>
  </si>
  <si>
    <t>Pre-requisite 1: Data should be available such that for a particular CH _x000D_
--Incident raised with in 10 days of outage notification  and it is closed _x000D_
_x000D_
--Incident raised with in 10 days of outage notification  and it is closed  befor outage end._x000D_
_x000D_
Tablename: ods_ch_loss_of_smwan_conn</t>
  </si>
  <si>
    <t xml:space="preserve">User should be able to see the Mid level report._x000D_
_x000D_
</t>
  </si>
  <si>
    <t xml:space="preserve">User should be able to successfully navigate to the PM 1.4 Exempted CH  Detail report_x000D_
</t>
  </si>
  <si>
    <t xml:space="preserve">User should be able to see detail of the CH which meet pre-requisite 1 displayed in the detail level report_x000D_
</t>
  </si>
  <si>
    <t>Pre-requisite 1: Data should be available such that for a particular CH _x000D_
--If CH has been Opted Out at any point during or before the measurement period, then even if it was Unconnected (Missed) in that measurement period, the CH shall be reported as Allowed Exception for  that measurement period_x000D_
_x000D_
Tablename: ods_ch_loss_of_smwan_conn</t>
  </si>
  <si>
    <t>Pre-requisite 1: Data should be available as per the below criteria.
 CH has been Unconnected (Missed) at any point in the measurement period due to an outage, then even if it was Allowed Exception (except if it is Opted Out) in that measurement period due to another outage, that CH shall be reported as Missed and Total for that measurement period
Tablename: ods_ch_loss_of_smwan_conn</t>
  </si>
  <si>
    <t xml:space="preserve">Validate the ASL value for respecttive monh
</t>
  </si>
  <si>
    <t>User should be able to see the ASL value</t>
  </si>
  <si>
    <t>Pre-requisite 1: Data should be available as per the below criteria._x000D_
_x000D_
---Outage Start is the date (Last Toi) of the start of the Outage Period_x000D_
_x000D_
--_x000D_
---Outage End is the date (Last Toi) of the end of the Outage Period</t>
  </si>
  <si>
    <t>Pre-requisite 2: Data should be available as per the below criteria._x000D_
_x000D_
_x000D_
--If there are more than one outage for the same CH in the measurement period which resulted in Allowed Exceptions, then the Exempt CH report shall show 1st and most recent outage that occurred in a month displaying them on a separate rows</t>
  </si>
  <si>
    <t xml:space="preserve">User should not be able to see calculated ASL value same as ASL value displayed in the OBI_x000D_
_x000D_
PM 1.4 = 100 * (1 – (Missed/Total))_x000D_
    _x000D_
 Total = CH with Operational Status “Active”_x000D_
_x000D_
</t>
  </si>
  <si>
    <t>Validate the data for Outage 1 start,outage 1 end_outage 2 start ,outage 2 end fields_x000D_
_x000D_
Login to SQL developer_x000D_
Run the attached query_x000D_
_x000D_
_x000D_
Table Name:_x000D_
ods_ch_loss_of_smwan_conn</t>
  </si>
  <si>
    <t xml:space="preserve">CH Satisfies the pre requisite 1  and Prerequisite 2 should be displayed in PM1.4 Exempted CH  detail report accordingly._x000D_
</t>
  </si>
  <si>
    <t>Pre-requisite 1: Data should be available as per the below criteria._x000D_
_x000D_
Days taken to raise incident=Incident reported date-outage start date_x000D_
_x000D_
Tablename: ods_ch_loss_of_smwan_conn</t>
  </si>
  <si>
    <t xml:space="preserve">CH Satisfies the pre requisite 1  should be displayed in PM1.4 Exempted CH  detail report accordingly._x000D_
</t>
  </si>
  <si>
    <t>Pre-requisite 1: Data should be available as per the below criteria.
"Days taken to assign incident to SU" field should be derived by first assignment to DCC Licensee date minus Outage Start date
Tablename: ods_ch_loss_of_smwan_conn</t>
  </si>
  <si>
    <t>Pre-requisite 1: Data should be available as per the below criteria._x000D_
_x000D_
-- The field value should be "Manual PM Override", "Opted Out","Pending SU Visit (80 days)", Failed to follow CHIPSM,"CHIPSM not followed",Failed to follow CHMSM,  "CHMSM not followed" "Physical Damage", "Unresolved Incident"_x000D_
_x000D_
Tablename: ods_ch_loss_of_smwan_conn</t>
  </si>
  <si>
    <t>Pre-requisite 1: Data should be available as per the below criteria._x000D_
_x000D_
"Incident first assigned to Arqiva"=the date and time when the incident was first assigned to Arqiva_x000D_
Tablename: ods_ch_loss_of_smwan_conn</t>
  </si>
  <si>
    <t>Pre-requisite 1: Data should be available as per the below criteria.
"Incident first assigned to SU" field should  show the date and time when the incident was first assigned to DCC Licensee, e.g. the date of 1st assignment below:
1st assignment - DCC Licensee
2nd assignment - Arqiva
3rd assignment - DCC Licensee
Tablename: ods_ch_loss_of_smwan_conn</t>
  </si>
  <si>
    <t>Pre-requisite 1: Data should be available as per the below criteria loaded through Manual PM overrides file._x000D_
-- the Manual PM Override Flag field in the detail report Should  display the value as per below mapping for the manually updated CH:_x000D_
-1 = "Override Off"_x000D_
0 = "Missed"_x000D_
2 = "Allowed Exception"_x000D_
3 = "Allowed Exception Met"_x000D_
_x000D_
Tablename: ods_ch_loss_of_smwan_conn</t>
  </si>
  <si>
    <t>PM 1.4 "Manual PM Override Flag"field   validation of  Exempted CH detail level report
Test Objective: To validate the data for PM 1.4 "Manual PM Override Flag " field  validation of  Exempted CH detail level report</t>
  </si>
  <si>
    <t xml:space="preserve">User should be able to type the beginning of the searched value in "Comms Hub" filter in exempted CH detail report _x000D_
</t>
  </si>
  <si>
    <t xml:space="preserve">User should be able to type the exact searched value in the  "Incident ID" filter in Exempted CH detail report_x000D_
</t>
  </si>
  <si>
    <t>Pre-requisite 1: Data should be available such that for a particular CH Opt Out feed.Opt Out Status = 1 (Yes) within the measurement period or before the measurement period_x000D_
Tablename: ods_ch_loss_of_smwan_conn</t>
  </si>
  <si>
    <t>User should be able to see the following columns:_x000D_
i)Comms Hub ID _x000D_
ii)Exception Reason _x000D_
iii)Outage Start _x000D_
iv)Outage End _x000D_
v)Outage Duration _x000D_
vi)Incident ID _x000D_
vii)Incident Status _x000D_
viii)Assigned by DCC Flag _x000D_
ix)Incident Reported Date _x000D_
Days taken to raise incident_x000D_
Incident first assigned to Arqiva_x000D_
Incident first assigned to SU _x000D_
Days taken to re-assign incident to SU _x000D_
Pending SU Visit (80 Days)_x000D_
Res Cat Tier 1_x000D_
Opted Out _x000D_
Opted Out Date _x000D_
Manual PM Override Flag_x000D_
Manual PM Override Description_x000D_
Prod Cat Tier 1</t>
  </si>
  <si>
    <t>Pre requisite 1:_x000D_
_x000D_
 if CH qualifies as "Excluded CH" against that measurement period,then CH should not be reported as "Total",  "Missed" or "Allowed Exception"  against measurement period for PM1.4_x000D_
_x000D_
Tablename: ods_ch_loss_of_smwan_conn</t>
  </si>
  <si>
    <t>Pre-requisite 1: Data should be available for PM 1.4 such that PM_1_4_flag is in (0,2,3,4,1) i.e.,
Met, Missed, Allowed_Exception_Met, Allowed_Exception, Exclusion.
Table: ODS_CH_LOSS_OF_SMWAN_CONN.</t>
  </si>
  <si>
    <t>Prerequisite2:
Data should be available for PM_TOTAL where OPERATIONAL_STATUS=Active in ODS_CH_OPERATIONAL table.
Also data should be available in WC_PM_DAILY_F for PM1.4</t>
  </si>
  <si>
    <t xml:space="preserve">Validate the ASL value Login to SQL developer Run the attached query Table Name: wc_pm_daily_f
</t>
  </si>
  <si>
    <t>User should be able to see calculated ASL value same as ASL value displayed in the OBI PM 1.4 ASL
= 100 * (1 – (Missed/(PM_TOTAL- EXCLUSIONS - ALLOWED_EXCEPTIONS - ALLOWED_EXCEPTIONS_MET)) )</t>
  </si>
  <si>
    <t xml:space="preserve">Pre-requisite 1: Data should be available for PM 1.4 such that CH has Operational Status should be "Active" in a given Measurement Period, if:_x000D_
- CH is identified as Total via Manual PM Overrides Feed (from Missed or Allowed Exception) OR_x000D_
- CH is not an Allowed Exception AND _x000D_
- Operational Status = ACTIVE_x000D_
Table name: WC_PM_DAILY_F,ods_ch_loss_of_smwan_conn_x000D_
</t>
  </si>
  <si>
    <t>Validate the data  displayed for "Total" in PM 1.4 mid level report tabular report_x000D_
_x000D_
Go to SQL developer and run the query_x000D_
_x000D_
Table name: ods_ch_loss_of_smwan_conn</t>
  </si>
  <si>
    <t xml:space="preserve">1.CH Satisfies the Pre requisite 1 should  be displayed in PM1.4 mid level tabular view status._x000D_
_x000D_
</t>
  </si>
  <si>
    <t>Pre-requisite 1:Comms hub Id's with Missed status in the database should be available for testing._x000D_
_x000D_
Table name :ods_ch_loss_of_smwan_conn</t>
  </si>
  <si>
    <t>Validate the data in detailed report against database._x000D_
Login to SQL developer and run the attached query.</t>
  </si>
  <si>
    <t>Validate the MSL  line displayed in the PM1.4 summary level report 
Test Objective: To Validate the MSL  line displayed in the PM1.4 summary level report</t>
  </si>
  <si>
    <t>Validate the MSL line displayed in the daily and monthly trend bar chart against the database_x000D_
Login into SQL developer and run the attached query._x000D_
Table Name:WC_PM_D</t>
  </si>
  <si>
    <t>Pre-requisite 1:Comms hub Id's with Allowed exception status in the database should be available for testing._x000D_
Table name :ods_ch_loss_of_smwan_conn</t>
  </si>
  <si>
    <t>Pre-requisite 1:Comms hub ID's with "Total" as active  should be available in the database for testing_x000D_
Table name :ods_ch_loss_of_smwan_conn</t>
  </si>
  <si>
    <t>Validate the report when manual override flag value is updated from total to allowed exception 
Test Objective: To validate the report when manual override flag value is updated from total to allowed exception</t>
  </si>
  <si>
    <t>User should be able to see corresponding values in mid level tabular view                           User should be able to see same value in report and in database</t>
  </si>
  <si>
    <t>User should be able to see corresponding updated values in mid level tabular view                           User should be able to see same value in report and in database</t>
  </si>
  <si>
    <t>Pre-requisite 1:Comms hub Ids with Missed status  should be available for testing.
Table name :ods_ch_loss_of_smwan_conn</t>
  </si>
  <si>
    <t>Validate the report when CH with Manual PM Overrides feed for the particular month the CH was unconnected 
Test Objective: To Validate the report when CH with Manual PM Overrides feed for the particular month the CH was unconnected</t>
  </si>
  <si>
    <t>CH Id has been Identified as Missed for current month and Run the PM Manual over ride  file  _x000D_
Table name :ods_ch_loss_of_smwan_conn</t>
  </si>
  <si>
    <t>Pre-requisite 2:Comms hub should be available for Missed after processing the manual override file_x000D_
Table name :ods_ch_loss_of_smwan_conn</t>
  </si>
  <si>
    <t>Prerequisite : Data should be available for the condition override flag=2 in DWH for testing._x000D_
Table name :ods_ch_loss_of_smwan_conn</t>
  </si>
  <si>
    <t xml:space="preserve">1.The number of CH_ID's displayed in detailed report should be equal to the number displayed against Exempted CH Status in tabular view of Mid_Level report for selected date in PM_General date prompt as per the pre requisite 1._x000D_
</t>
  </si>
  <si>
    <t>Prerequisite : Data should be available for the condition override flag=3 in DWH for testing._x000D_
Table name :ods_ch_loss_of_smwan_conn</t>
  </si>
  <si>
    <t xml:space="preserve">1.The number of CH_ID's displayed in detailed report should be equal to the number displayed against Exempted CH Status in tabular view of Mid_Level report for selected date in PM_General date prompt as per the pre requisite_x000D_
</t>
  </si>
  <si>
    <t>Pre-Requisite 1:Dats should be  available for ODS_CH_LOSS_OF_SMWAN_CONN satisfying the following condition:_x000D_
-i)IncidentRecord. Summary = "CHF Install – no SM WAN" AND _x000D_
 IncidentRecord. Reported Source "Job Status Report" AND_x000D_
IncidentRecord. Resolution Categorisation Tier 1 = “No Fault Found” AND_x000D_
 IncidentRecord. Resolution Categorisation Tier 2 = “User Error”  AND_x000D_
 IncidentRecord. Resolution Categorisation Tier 3 = “Physical Damage” OR  “Failed to follow CHIPSM” OR “Failed to follow CHMSM” AND_x000D_
-IncidentRecord. Status = "Closed"</t>
  </si>
  <si>
    <t>Validate the  data in the Exempted CH Detail report  as per pre-requisite 1 against the database_x000D_
Login into SQL tool and run the attached query_x000D_
Table Name:ods_ch_loss_of_smwan_conn</t>
  </si>
  <si>
    <t>Validate the Comms_Hub_id's are not displayed in the PM1.4 Missed and Exempted CH  Detail level report  when the CH is identified as  Exclusion through Manual PM Overrides Feed  
Test Objective:To Validate the Comms_Hub_id's are not displayed in the PM1.4 Missed and Exempted CH  Detail level report  when the CH is identified as  Exclusion through Manual PM Overrides Feed</t>
  </si>
  <si>
    <t>Validate the  data in the allowed Exception  Detail report  as per pre-requisite 1 against the database_x000D_
Login into SQL tool and run the attached query_x000D_
Table Name:ods_ch_loss_of_smwan_conn</t>
  </si>
  <si>
    <t>Validate the  data in the Exempted CH  Detail report  as per pre-requisite 1 against the database_x000D_
Login into SQL tool and run the attached query_x000D_
Table Name:ods_ch_loss_of_smwan_conn</t>
  </si>
  <si>
    <t>Validate the TSL  line displayed in the PM1.4 summary level report 
Test Objective: To Validate the TSL  line displayed in the PM1.4 summary level report</t>
  </si>
  <si>
    <t>Validate the TSL line displayed in the daily and monthly trend bar chart against the database_x000D_
Login into SQL developer and run the attached query._x000D_
Table Name:WC_PM_D</t>
  </si>
  <si>
    <t xml:space="preserve">Prerequisite 1:_x000D_
_x000D_
-- 1.Comms Hubs that are not part of the PM1.4 domain should be available in database for testing._x000D_
--2.Comms Hubs that are not part of the PM1.4 domain should not be displayed against PM1.4 Met,Missed and Exempted CH detail level reports._x000D_
</t>
  </si>
  <si>
    <t>Ensure that data haven't displayed  for PM1.4 Missed and Exempted CH  Detail level report  when Comms Hubs that are not part of the PM1.4 domain 
Test Objective:Ensure that data haven't displayed  for PM1.4 Missed and Exempted CH  Detail level report  when Comms Hubs that are not part of the PM1.4 domain</t>
  </si>
  <si>
    <t>Validate the  data in the Missed Detail report against the database_x000D_
Login into SQL tool and run the attached query_x000D_
Table Name:ods_ch_loss_of_smwan_conn</t>
  </si>
  <si>
    <t>Validate the  data in the allowed Exception  Detail report against the database_x000D_
Login into SQL tool and run the attached query_x000D_
Table Name:ods_ch_loss_of_smwan_conn</t>
  </si>
  <si>
    <t>Pre-requisite 1: Data should be available as per the below criteria._x000D_
_x000D_
 --Incident raised with in 10days from outage notication and not an allowed exception_x000D_
-- Outage Duration &gt; 10 calendar days *_x000D_
* 864000 seconds, considering timestamp_x000D_
Table name: ods_ch_loss_of_smwan_conn</t>
  </si>
  <si>
    <t>Pre-requisite 1: Data should be available as per the below criteria._x000D_
_x000D_
 --CH gets unconnected more than once in a month_x000D_
_x000D_
-- CH been reported as Allowed Exception across months due to a qualifying incident and at the time of incident closure it was identified that CH is not an Allowed Exception, then the CH qualification for the previous months shall be recalculated_x000D_
Table name: ods_ch_loss_of_smwan_conn</t>
  </si>
  <si>
    <t>User should be able to see the Pie Chart showing the number of Comms Hubs split by the following statuses: _x000D_
i)Missed_x000D_
ii)Exempted CH_x000D_
iii)Total</t>
  </si>
  <si>
    <t>Pre-requisite 1: Data should be available as per the below criteria.
 --If CH is connected on the current date (it doesn't have to be at the same time), then most recent Last Toi minus Last Toi which is previous to most recent Last Toi
--CH Outage duration=Current date-Last Toi
- If CH was not connected on the current date (it doesn't have to be at the same time), then  System (current) date minus most recent Last Toi
--CH Outage duration=System date-Last Toi
Outage Duration 2 to use SYSDATE  when Outage End Date is NULL      Table name: ods_ch_loss_of_smwan_conn</t>
  </si>
  <si>
    <t xml:space="preserve">CH Satisfies the pre requisite 1 and Outage duration  will be calculated in PM1.4 Missed detail report_x000D_
</t>
  </si>
  <si>
    <t>Pre-requisite 1: Data should be available as per the below criteria._x000D_
_x000D_
--Outage 1 field: Outage 1 fields in the Missed Detail report display the information of the first Outage that occurred in the month (e.g. if there are three outages in a month, Outage 1 on the report shall be the 1st outage)_x000D_
Table name: ods_ch_loss_of_smwan_conn</t>
  </si>
  <si>
    <t>Pre-requisite 2: Data should be available as per the below criteria._x000D_
_x000D_
--Outage 2 field: Outage 2 fields in the Missed Detail report shall show information of the most recent Outage that occurred in the month (i.e. if there are three outages in a month,  Outage 2 on the report shall be the 3rd outage)_x000D_
Table name: ods_ch_loss_of_smwan_conn</t>
  </si>
  <si>
    <t>Validate the Outage 1 and outage 2 field data_x000D_
_x000D_
Login to SQL developer_x000D_
Run the attached query_x000D_
_x000D_
_x000D_
Table Name:_x000D_
ods_ch_loss_of_smwan_conn</t>
  </si>
  <si>
    <t xml:space="preserve">CH Satisfies the pre requisite 1  and Prerequisite 2 should be displayed in PM1.4 Missed detail report accordingly._x000D_
</t>
  </si>
  <si>
    <t>TC_OBI_020_CR109_PM1.4_CH Qualification against PM_Met criteria</t>
  </si>
  <si>
    <t>Pre-requisite 1: Data should be available as per the below criteria.
A CH been qualified  as "Met" when:
IF CH is set as Met via Manual Override OR
 CH is not (Exclusion, Allowed Exception, Allowed Exception Met, Missed)  
Tablename: ods_ch_loss_of_smwan_conn</t>
  </si>
  <si>
    <t>To validate  the criteria to determine met for the CH  
 Test Objective: To validate  the criteria to determine met for the CH</t>
  </si>
  <si>
    <t>Validate the CH_ID 's in missed detail level report</t>
  </si>
  <si>
    <t>CH satisfies the MET condition should not be displayed in missed detail level report</t>
  </si>
  <si>
    <t>Screen shot of the PM 1.4  detail level report should be captured</t>
  </si>
  <si>
    <t>Navigate back to midlevel report and Click on Exempted CH value under “# of CH (Mmm-yyyy)”  column in the PM 1.4 Mid Level tabular view</t>
  </si>
  <si>
    <t>User should be able to successfully navigate to the PM 1.4 EXEMPTED CH  Detail report</t>
  </si>
  <si>
    <t>Validate the CH_ID 's in Exempted detail level report</t>
  </si>
  <si>
    <t>CH satisfiees the MET condition should not be displayed in Exempteddetail level report</t>
  </si>
  <si>
    <t>Pre-requisite 1: Data should be available as per the below criteria.
--Outage 1 Start is the date (Last Toi) of the start of the Outage Period
--Outage 2  Start is the date (Last Toi) of the start of the Outage Period
Outage Duration 2 to use SYSDATE  when Outage End Date is NULL    Table name: ods_ch_loss_of_smwan_conn</t>
  </si>
  <si>
    <t>Pre-requisite 2: Data should be available as per the below criteria.
-Outage 1 End is the date (Last Toi) of the end of the Outage Period
-Outage 2 End is the date (Last Toi) of the end of the Outage Period
Outage Duration 2 to use SYSDATE  when Outage End Date is NULL  Table name: ods_ch_loss_of_smwan_conn</t>
  </si>
  <si>
    <t>Pre-requisite 1: Data should be available as per the below criteria loaded through Manual PM overrides file._x000D_
-- the Manual PM Override Flag field in the detail report Should  display the value as per below mapping for the manually updated CH:_x000D_
-1 = "Override Off"_x000D_
0 = "Missed"_x000D_
2 = "Allowed Exception"_x000D_
3 = "Allowed Exception Met"_x000D_
_x000D_
Table name: ods_ch_loss_of_smwan_conn</t>
  </si>
  <si>
    <t xml:space="preserve">CH Satisfies the pre requisite 1  should be displayed in PM1.4 Missed  detail report accordingly._x000D_
</t>
  </si>
  <si>
    <t>User should be able to see the following filters in the header as follow:_x000D_
i)Comms Hub ID_x000D_
ii)Uplink Tower ID Last_x000D_
iii)CH Firmware Current_x000D_
iv)Tamper Event_x000D_
v)Tamper Event Date between _x000D_
vi)Manual PM Override Flag</t>
  </si>
  <si>
    <t>User should be able to see the following columns:_x000D_
i)Comms Hub ID_x000D_
ii)Outage 1 Start _x000D_
iii)Outage 1 End _x000D_
iv)Outage 1 Duration _x000D_
v)Outage 2 Start_x000D_
vi)Outage 2 End_x000D_
vii)Outage 2 Duration _x000D_
viii)Uplink Tower ID Last _x000D_
ix)CH Firmware Current _x000D_
x)CH Buddy ID _x000D_
xi)Uplink Tower ID Best _x000D_
xii)Tamper Event _x000D_
xiiii)Tamper Event Date  _x000D_
xiv)Manual PM Override Flag_x000D_
xv)Manual PM Override Description</t>
  </si>
  <si>
    <t xml:space="preserve">User should be able to type the beginning of the searched value in "Comms Hub" filter in missed detail report _x000D_
</t>
  </si>
  <si>
    <t>Test Case Description</t>
  </si>
  <si>
    <t>Test Step</t>
  </si>
  <si>
    <t>Test ID</t>
  </si>
  <si>
    <t>TC1</t>
  </si>
  <si>
    <t>TC2</t>
  </si>
  <si>
    <t>TC3</t>
  </si>
  <si>
    <t>TC4</t>
  </si>
  <si>
    <t>TC5</t>
  </si>
  <si>
    <t>TC6</t>
  </si>
  <si>
    <t>TC7</t>
  </si>
  <si>
    <t>TC8</t>
  </si>
  <si>
    <t>TC9</t>
  </si>
  <si>
    <t>TC10</t>
  </si>
  <si>
    <t>TC11</t>
  </si>
  <si>
    <t>TC12</t>
  </si>
  <si>
    <t>TC13</t>
  </si>
  <si>
    <t>TC14</t>
  </si>
  <si>
    <t>TC15</t>
  </si>
  <si>
    <t>TC16</t>
  </si>
  <si>
    <t>TC17</t>
  </si>
  <si>
    <t>TC18</t>
  </si>
  <si>
    <t>TC19</t>
  </si>
  <si>
    <t>TC20</t>
  </si>
  <si>
    <t>TC21</t>
  </si>
  <si>
    <t>TC22</t>
  </si>
  <si>
    <t>TC23</t>
  </si>
  <si>
    <t>TC24</t>
  </si>
  <si>
    <t>TC25</t>
  </si>
  <si>
    <t>TC26</t>
  </si>
  <si>
    <t>TC27</t>
  </si>
  <si>
    <t>TC28</t>
  </si>
  <si>
    <t>TC29</t>
  </si>
  <si>
    <t>TC30</t>
  </si>
  <si>
    <t>TC31</t>
  </si>
  <si>
    <t>TC32</t>
  </si>
  <si>
    <t>TC33</t>
  </si>
  <si>
    <t>TC34</t>
  </si>
  <si>
    <t>TC35</t>
  </si>
  <si>
    <t>TC36</t>
  </si>
  <si>
    <t>TC37</t>
  </si>
  <si>
    <t>TC38</t>
  </si>
  <si>
    <t>TC39</t>
  </si>
  <si>
    <t>TC40</t>
  </si>
  <si>
    <t>TC41</t>
  </si>
  <si>
    <t>TC42</t>
  </si>
  <si>
    <t>TC43</t>
  </si>
  <si>
    <t>TC44</t>
  </si>
  <si>
    <t>TC45</t>
  </si>
  <si>
    <t>TC46</t>
  </si>
  <si>
    <t>TC47</t>
  </si>
  <si>
    <t>TC48</t>
  </si>
  <si>
    <t>TC49</t>
  </si>
  <si>
    <t>TC50</t>
  </si>
  <si>
    <t>TC51</t>
  </si>
  <si>
    <t>TC52</t>
  </si>
  <si>
    <t>TC53</t>
  </si>
  <si>
    <t>TC54</t>
  </si>
  <si>
    <t>TC55</t>
  </si>
  <si>
    <t>TC56</t>
  </si>
  <si>
    <t>TC60</t>
  </si>
  <si>
    <t>TC57</t>
  </si>
  <si>
    <t>TC58</t>
  </si>
  <si>
    <t>TC59</t>
  </si>
  <si>
    <t>Test Scenario</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</si>
</sst>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Calibri"/>
      <family val="2"/>
      <scheme val="minor"/>
    </font>
    <font>
      <sz val="11"/>
      <name val="Calibri"/>
      <family val="2"/>
      <scheme val="minor"/>
    </font>
    <font>
      <b/>
      <sz val="11"/>
      <color theme="0"/>
      <name val="Calibri"/>
      <family val="2"/>
      <scheme val="minor"/>
    </font>
    <font>
      <sz val="11"/>
      <color indexed="8"/>
      <name val="Calibri"/>
      <family val="2"/>
    </font>
    <font>
      <b/>
      <sz val="8"/>
      <color theme="0"/>
      <name val="Times New Roman"/>
      <family val="1"/>
    </font>
    <font>
      <sz val="12"/>
      <name val="Calibri"/>
      <family val="2"/>
      <scheme val="minor"/>
    </font>
    <font>
      <b/>
      <sz val="9"/>
      <color theme="0"/>
      <name val="Times New Roman"/>
      <family val="1"/>
    </font>
    <font>
      <sz val="9"/>
      <color theme="1"/>
      <name val="Calibri"/>
      <family val="2"/>
      <scheme val="minor"/>
    </font>
    <font>
      <sz val="9"/>
      <name val="Calibri"/>
      <family val="2"/>
      <scheme val="minor"/>
    </font>
    <font>
      <sz val="9"/>
      <color indexed="8"/>
      <name val="Calibri"/>
      <family val="2"/>
    </font>
    <font>
      <b/>
      <sz val="10"/>
      <color theme="0"/>
      <name val="Times New Roman"/>
      <family val="1"/>
    </font>
    <font>
      <sz val="10"/>
      <color theme="1"/>
      <name val="Calibri"/>
      <family val="2"/>
      <scheme val="minor"/>
    </font>
    <font>
      <sz val="10"/>
      <name val="Calibri"/>
      <family val="2"/>
      <scheme val="minor"/>
    </font>
    <font>
      <sz val="10"/>
      <color indexed="8"/>
      <name val="Calibri"/>
      <family val="2"/>
    </font>
    <font>
      <sz val="9"/>
      <color indexed="8"/>
      <name val="Calibri"/>
      <family val="2"/>
      <scheme val="minor"/>
    </font>
    <font>
      <sz val="9"/>
      <color rgb="FF000000"/>
      <name val="Arial"/>
      <family val="2"/>
    </font>
    <font>
      <sz val="9"/>
      <color rgb="FF000000"/>
      <name val="Calibri"/>
      <family val="2"/>
      <scheme val="minor"/>
    </font>
    <font>
      <sz val="9"/>
      <color rgb="FFFF0000"/>
      <name val="Calibri"/>
      <family val="2"/>
      <scheme val="minor"/>
    </font>
    <font>
      <sz val="8"/>
      <color theme="1"/>
      <name val="Calibri"/>
      <family val="2"/>
      <scheme val="minor"/>
    </font>
    <font>
      <sz val="8"/>
      <color indexed="8"/>
      <name val="Calibri"/>
      <family val="2"/>
    </font>
    <font>
      <sz val="8"/>
      <name val="Calibri"/>
      <family val="2"/>
      <scheme val="minor"/>
    </font>
    <font>
      <sz val="8"/>
      <name val="Calibri"/>
      <family val="2"/>
    </font>
    <font>
      <b/>
      <sz val="10"/>
      <color indexed="9"/>
      <name val="Arial"/>
      <family val="2"/>
    </font>
    <font>
      <sz val="10"/>
      <color indexed="8"/>
      <name val="Arial"/>
      <family val="2"/>
    </font>
  </fonts>
  <fills count="9">
    <fill>
      <patternFill patternType="none"/>
    </fill>
    <fill>
      <patternFill patternType="gray125"/>
    </fill>
    <fill>
      <patternFill patternType="solid">
        <fgColor theme="0" tint="-0.499984740745262"/>
        <bgColor indexed="64"/>
      </patternFill>
    </fill>
    <fill>
      <patternFill patternType="solid">
        <fgColor theme="0"/>
        <bgColor indexed="64"/>
      </patternFill>
    </fill>
    <fill>
      <patternFill patternType="solid">
        <fgColor rgb="FFA5A5A5"/>
        <bgColor indexed="64"/>
      </patternFill>
    </fill>
    <fill>
      <patternFill patternType="solid">
        <fgColor rgb="FFFFFF00"/>
        <bgColor indexed="64"/>
      </patternFill>
    </fill>
    <fill>
      <patternFill patternType="solid">
        <fgColor theme="3" tint="0.59999389629810485"/>
        <bgColor indexed="64"/>
      </patternFill>
    </fill>
    <fill>
      <patternFill patternType="solid">
        <fgColor theme="6"/>
        <bgColor indexed="64"/>
      </patternFill>
    </fill>
    <fill>
      <patternFill patternType="solid">
        <fgColor theme="4"/>
        <bgColor indexed="64"/>
      </patternFill>
    </fill>
  </fills>
  <borders count="5">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double">
        <color rgb="FF3F3F3F"/>
      </left>
      <right style="double">
        <color rgb="FF3F3F3F"/>
      </right>
      <top style="double">
        <color rgb="FF3F3F3F"/>
      </top>
      <bottom style="double">
        <color rgb="FF3F3F3F"/>
      </bottom>
      <diagonal/>
    </border>
    <border>
      <left/>
      <right style="thin">
        <color indexed="64"/>
      </right>
      <top style="thin">
        <color indexed="64"/>
      </top>
      <bottom style="thin">
        <color indexed="64"/>
      </bottom>
      <diagonal/>
    </border>
  </borders>
  <cellStyleXfs count="3">
    <xf numFmtId="0" fontId="0" fillId="0" borderId="0"/>
    <xf numFmtId="0" fontId="2" fillId="4" borderId="3" applyNumberFormat="0" applyAlignment="0" applyProtection="0"/>
    <xf numFmtId="0" fontId="3" fillId="0" borderId="0"/>
  </cellStyleXfs>
  <cellXfs count="101">
    <xf numFmtId="0" fontId="0" fillId="0" borderId="0" xfId="0"/>
    <xf numFmtId="0" fontId="0" fillId="0" borderId="0" xfId="0" applyAlignment="1">
      <alignment wrapText="1"/>
    </xf>
    <xf numFmtId="0" fontId="0" fillId="0" borderId="0" xfId="0" applyAlignment="1"/>
    <xf numFmtId="0" fontId="0" fillId="0" borderId="0" xfId="0"/>
    <xf numFmtId="0" fontId="0" fillId="0" borderId="2" xfId="0" applyBorder="1" applyAlignment="1">
      <alignment horizontal="left" vertical="top" wrapText="1"/>
    </xf>
    <xf numFmtId="0" fontId="0" fillId="0" borderId="2" xfId="0" applyFont="1" applyBorder="1"/>
    <xf numFmtId="0" fontId="0" fillId="0" borderId="2" xfId="0" applyBorder="1"/>
    <xf numFmtId="0" fontId="4" fillId="2" borderId="2" xfId="0" applyFont="1" applyFill="1" applyBorder="1" applyAlignment="1">
      <alignment horizontal="left" wrapText="1"/>
    </xf>
    <xf numFmtId="0" fontId="4" fillId="2" borderId="2" xfId="0" applyFont="1" applyFill="1" applyBorder="1" applyAlignment="1">
      <alignment horizontal="left"/>
    </xf>
    <xf numFmtId="0" fontId="6" fillId="2" borderId="2" xfId="0" applyFont="1" applyFill="1" applyBorder="1" applyAlignment="1">
      <alignment horizontal="left" wrapText="1"/>
    </xf>
    <xf numFmtId="0" fontId="6" fillId="2" borderId="2" xfId="0" applyFont="1" applyFill="1" applyBorder="1" applyAlignment="1">
      <alignment horizontal="left"/>
    </xf>
    <xf numFmtId="0" fontId="7" fillId="0" borderId="0" xfId="0" applyFont="1"/>
    <xf numFmtId="0" fontId="7" fillId="0" borderId="2" xfId="0" applyFont="1" applyBorder="1" applyAlignment="1">
      <alignment horizontal="left" vertical="top" wrapText="1"/>
    </xf>
    <xf numFmtId="0" fontId="7" fillId="0" borderId="2" xfId="0" applyFont="1" applyBorder="1" applyAlignment="1">
      <alignment vertical="top" wrapText="1"/>
    </xf>
    <xf numFmtId="0" fontId="7" fillId="0" borderId="2" xfId="0" applyFont="1" applyBorder="1"/>
    <xf numFmtId="0" fontId="7" fillId="0" borderId="2" xfId="0" applyFont="1" applyBorder="1" applyAlignment="1">
      <alignment vertical="top"/>
    </xf>
    <xf numFmtId="0" fontId="8" fillId="0" borderId="2" xfId="0" applyFont="1" applyFill="1" applyBorder="1" applyAlignment="1">
      <alignment horizontal="left" vertical="top" wrapText="1"/>
    </xf>
    <xf numFmtId="0" fontId="9" fillId="0" borderId="2" xfId="0" applyFont="1" applyFill="1" applyBorder="1" applyAlignment="1">
      <alignment vertical="top" wrapText="1"/>
    </xf>
    <xf numFmtId="0" fontId="7" fillId="0" borderId="2" xfId="0" applyFont="1" applyBorder="1" applyAlignment="1">
      <alignment horizontal="left" vertical="top"/>
    </xf>
    <xf numFmtId="0" fontId="10" fillId="2" borderId="2" xfId="0" applyFont="1" applyFill="1" applyBorder="1" applyAlignment="1">
      <alignment horizontal="left" wrapText="1"/>
    </xf>
    <xf numFmtId="0" fontId="10" fillId="2" borderId="2" xfId="0" applyFont="1" applyFill="1" applyBorder="1" applyAlignment="1">
      <alignment horizontal="left"/>
    </xf>
    <xf numFmtId="0" fontId="11" fillId="0" borderId="2" xfId="0" applyFont="1" applyBorder="1" applyAlignment="1">
      <alignment horizontal="left" vertical="top" wrapText="1"/>
    </xf>
    <xf numFmtId="0" fontId="11" fillId="0" borderId="2" xfId="0" applyFont="1" applyBorder="1" applyAlignment="1">
      <alignment vertical="top" wrapText="1"/>
    </xf>
    <xf numFmtId="0" fontId="11" fillId="0" borderId="2" xfId="0" applyFont="1" applyBorder="1"/>
    <xf numFmtId="0" fontId="11" fillId="0" borderId="2" xfId="0" applyFont="1" applyBorder="1" applyAlignment="1">
      <alignment vertical="top"/>
    </xf>
    <xf numFmtId="0" fontId="12" fillId="0" borderId="2" xfId="0" applyFont="1" applyFill="1" applyBorder="1" applyAlignment="1">
      <alignment horizontal="left" vertical="top" wrapText="1"/>
    </xf>
    <xf numFmtId="0" fontId="13" fillId="0" borderId="2" xfId="0" applyFont="1" applyFill="1" applyBorder="1" applyAlignment="1">
      <alignment vertical="top" wrapText="1"/>
    </xf>
    <xf numFmtId="0" fontId="11" fillId="0" borderId="2" xfId="0" applyFont="1" applyBorder="1" applyAlignment="1">
      <alignment horizontal="left" vertical="top"/>
    </xf>
    <xf numFmtId="0" fontId="6" fillId="2" borderId="4" xfId="0" applyFont="1" applyFill="1" applyBorder="1" applyAlignment="1">
      <alignment horizontal="left" wrapText="1"/>
    </xf>
    <xf numFmtId="0" fontId="8" fillId="5" borderId="2" xfId="0" applyFont="1" applyFill="1" applyBorder="1" applyAlignment="1">
      <alignment horizontal="left" vertical="top" wrapText="1"/>
    </xf>
    <xf numFmtId="0" fontId="7" fillId="0" borderId="4" xfId="0" applyFont="1" applyBorder="1"/>
    <xf numFmtId="0" fontId="0" fillId="0" borderId="4" xfId="0" applyBorder="1"/>
    <xf numFmtId="0" fontId="0" fillId="0" borderId="0" xfId="0" applyFont="1" applyAlignment="1"/>
    <xf numFmtId="0" fontId="0" fillId="0" borderId="0" xfId="0" applyFont="1"/>
    <xf numFmtId="0" fontId="12" fillId="5" borderId="2" xfId="0" applyFont="1" applyFill="1" applyBorder="1" applyAlignment="1">
      <alignment horizontal="left" vertical="top" wrapText="1"/>
    </xf>
    <xf numFmtId="0" fontId="11" fillId="0" borderId="1" xfId="0" applyFont="1" applyBorder="1"/>
    <xf numFmtId="0" fontId="12" fillId="3" borderId="2" xfId="0" applyFont="1" applyFill="1" applyBorder="1" applyAlignment="1">
      <alignment horizontal="left" vertical="top" wrapText="1"/>
    </xf>
    <xf numFmtId="0" fontId="7" fillId="0" borderId="2" xfId="0" applyFont="1" applyBorder="1" applyAlignment="1">
      <alignment horizontal="left" wrapText="1"/>
    </xf>
    <xf numFmtId="0" fontId="7" fillId="5" borderId="2" xfId="0" applyFont="1" applyFill="1" applyBorder="1" applyAlignment="1">
      <alignment horizontal="left" wrapText="1"/>
    </xf>
    <xf numFmtId="0" fontId="7" fillId="0" borderId="2" xfId="0" applyFont="1" applyBorder="1" applyAlignment="1">
      <alignment horizontal="left"/>
    </xf>
    <xf numFmtId="0" fontId="7" fillId="0" borderId="2" xfId="0" applyFont="1" applyFill="1" applyBorder="1" applyAlignment="1">
      <alignment horizontal="left" wrapText="1"/>
    </xf>
    <xf numFmtId="0" fontId="7" fillId="5" borderId="2" xfId="0" applyFont="1" applyFill="1" applyBorder="1" applyAlignment="1">
      <alignment horizontal="left"/>
    </xf>
    <xf numFmtId="0" fontId="14" fillId="0" borderId="2" xfId="2" applyFont="1" applyBorder="1" applyAlignment="1">
      <alignment horizontal="left" wrapText="1"/>
    </xf>
    <xf numFmtId="0" fontId="7" fillId="0" borderId="2" xfId="0" applyFont="1" applyBorder="1" applyAlignment="1">
      <alignment wrapText="1"/>
    </xf>
    <xf numFmtId="0" fontId="7" fillId="5" borderId="2" xfId="0" applyFont="1" applyFill="1" applyBorder="1" applyAlignment="1">
      <alignment wrapText="1"/>
    </xf>
    <xf numFmtId="0" fontId="7" fillId="0" borderId="2" xfId="0" applyFont="1" applyFill="1" applyBorder="1" applyAlignment="1">
      <alignment wrapText="1"/>
    </xf>
    <xf numFmtId="0" fontId="7" fillId="0" borderId="2" xfId="0" applyFont="1" applyFill="1" applyBorder="1"/>
    <xf numFmtId="0" fontId="7" fillId="5" borderId="2" xfId="0" applyFont="1" applyFill="1" applyBorder="1"/>
    <xf numFmtId="0" fontId="14" fillId="0" borderId="2" xfId="2" applyFont="1" applyBorder="1" applyAlignment="1">
      <alignment wrapText="1"/>
    </xf>
    <xf numFmtId="0" fontId="14" fillId="0" borderId="2" xfId="0" applyFont="1" applyFill="1" applyBorder="1" applyAlignment="1">
      <alignment wrapText="1"/>
    </xf>
    <xf numFmtId="0" fontId="8" fillId="3" borderId="2" xfId="0" applyFont="1" applyFill="1" applyBorder="1" applyAlignment="1">
      <alignment horizontal="left" vertical="top" wrapText="1"/>
    </xf>
    <xf numFmtId="0" fontId="8" fillId="0" borderId="2" xfId="0" applyFont="1" applyBorder="1" applyAlignment="1">
      <alignment horizontal="left" vertical="top" wrapText="1"/>
    </xf>
    <xf numFmtId="0" fontId="15" fillId="0" borderId="2" xfId="0" applyFont="1" applyBorder="1" applyAlignment="1">
      <alignment wrapText="1"/>
    </xf>
    <xf numFmtId="0" fontId="16" fillId="6" borderId="2" xfId="0" applyFont="1" applyFill="1" applyBorder="1" applyAlignment="1">
      <alignment horizontal="left" vertical="top" wrapText="1"/>
    </xf>
    <xf numFmtId="0" fontId="7" fillId="0" borderId="2" xfId="0" applyFont="1" applyFill="1" applyBorder="1" applyAlignment="1">
      <alignment horizontal="left" vertical="top" wrapText="1"/>
    </xf>
    <xf numFmtId="0" fontId="7" fillId="0" borderId="2" xfId="0" applyFont="1" applyFill="1" applyBorder="1" applyAlignment="1">
      <alignment horizontal="left" vertical="top"/>
    </xf>
    <xf numFmtId="0" fontId="8" fillId="0" borderId="2" xfId="0" applyFont="1" applyFill="1" applyBorder="1" applyAlignment="1">
      <alignment vertical="top" wrapText="1"/>
    </xf>
    <xf numFmtId="0" fontId="0" fillId="0" borderId="2" xfId="0" applyBorder="1" applyAlignment="1">
      <alignment horizontal="left"/>
    </xf>
    <xf numFmtId="0" fontId="11" fillId="3" borderId="2" xfId="0" applyFont="1" applyFill="1" applyBorder="1" applyAlignment="1">
      <alignment horizontal="left" vertical="top" wrapText="1"/>
    </xf>
    <xf numFmtId="0" fontId="11" fillId="3" borderId="2" xfId="0" applyFont="1" applyFill="1" applyBorder="1" applyAlignment="1">
      <alignment vertical="top" wrapText="1"/>
    </xf>
    <xf numFmtId="0" fontId="11" fillId="3" borderId="2" xfId="0" applyFont="1" applyFill="1" applyBorder="1" applyAlignment="1">
      <alignment wrapText="1"/>
    </xf>
    <xf numFmtId="0" fontId="13" fillId="3" borderId="2" xfId="0" applyFont="1" applyFill="1" applyBorder="1" applyAlignment="1">
      <alignment vertical="top" wrapText="1"/>
    </xf>
    <xf numFmtId="0" fontId="11" fillId="3" borderId="2" xfId="0" applyFont="1" applyFill="1" applyBorder="1" applyAlignment="1">
      <alignment vertical="top"/>
    </xf>
    <xf numFmtId="0" fontId="7" fillId="3" borderId="2" xfId="0" applyFont="1" applyFill="1" applyBorder="1" applyAlignment="1">
      <alignment horizontal="left" wrapText="1"/>
    </xf>
    <xf numFmtId="0" fontId="7" fillId="3" borderId="2" xfId="0" applyFont="1" applyFill="1" applyBorder="1" applyAlignment="1">
      <alignment horizontal="left" vertical="top" wrapText="1"/>
    </xf>
    <xf numFmtId="0" fontId="18" fillId="0" borderId="2" xfId="0" applyFont="1" applyBorder="1"/>
    <xf numFmtId="0" fontId="18" fillId="0" borderId="2" xfId="0" applyFont="1" applyBorder="1" applyAlignment="1">
      <alignment vertical="top" wrapText="1"/>
    </xf>
    <xf numFmtId="0" fontId="18" fillId="0" borderId="2" xfId="0" applyFont="1" applyBorder="1" applyAlignment="1">
      <alignment vertical="center" wrapText="1"/>
    </xf>
    <xf numFmtId="0" fontId="18" fillId="0" borderId="2" xfId="0" applyFont="1" applyBorder="1" applyAlignment="1">
      <alignment horizontal="left" vertical="top" wrapText="1"/>
    </xf>
    <xf numFmtId="0" fontId="18" fillId="5" borderId="2" xfId="0" applyFont="1" applyFill="1" applyBorder="1" applyAlignment="1">
      <alignment horizontal="left" vertical="top"/>
    </xf>
    <xf numFmtId="0" fontId="18" fillId="3" borderId="2" xfId="0" applyFont="1" applyFill="1" applyBorder="1" applyAlignment="1">
      <alignment wrapText="1"/>
    </xf>
    <xf numFmtId="0" fontId="18" fillId="0" borderId="2" xfId="0" applyFont="1" applyFill="1" applyBorder="1" applyAlignment="1">
      <alignment horizontal="left" vertical="top"/>
    </xf>
    <xf numFmtId="0" fontId="19" fillId="0" borderId="2" xfId="0" applyFont="1" applyFill="1" applyBorder="1" applyAlignment="1">
      <alignment horizontal="left" vertical="top" wrapText="1"/>
    </xf>
    <xf numFmtId="0" fontId="18" fillId="0" borderId="2" xfId="0" applyFont="1" applyBorder="1" applyAlignment="1">
      <alignment wrapText="1"/>
    </xf>
    <xf numFmtId="0" fontId="18" fillId="0" borderId="2" xfId="0" applyFont="1" applyBorder="1" applyAlignment="1">
      <alignment vertical="top"/>
    </xf>
    <xf numFmtId="0" fontId="18" fillId="0" borderId="2" xfId="0" applyFont="1" applyBorder="1" applyAlignment="1">
      <alignment horizontal="left" vertical="top"/>
    </xf>
    <xf numFmtId="0" fontId="18" fillId="3" borderId="2" xfId="0" applyFont="1" applyFill="1" applyBorder="1" applyAlignment="1">
      <alignment vertical="top" wrapText="1"/>
    </xf>
    <xf numFmtId="0" fontId="19" fillId="0" borderId="2" xfId="0" applyFont="1" applyFill="1" applyBorder="1" applyAlignment="1">
      <alignment vertical="top" wrapText="1"/>
    </xf>
    <xf numFmtId="0" fontId="20" fillId="0" borderId="2" xfId="0" applyFont="1" applyFill="1" applyBorder="1" applyAlignment="1">
      <alignment horizontal="left" vertical="top" wrapText="1"/>
    </xf>
    <xf numFmtId="0" fontId="20" fillId="3" borderId="2" xfId="0" applyFont="1" applyFill="1" applyBorder="1" applyAlignment="1">
      <alignment vertical="top" wrapText="1"/>
    </xf>
    <xf numFmtId="0" fontId="18" fillId="3" borderId="2" xfId="0" applyFont="1" applyFill="1" applyBorder="1" applyAlignment="1">
      <alignment horizontal="left" vertical="top" wrapText="1"/>
    </xf>
    <xf numFmtId="0" fontId="20" fillId="3" borderId="2" xfId="0" applyFont="1" applyFill="1" applyBorder="1" applyAlignment="1">
      <alignment horizontal="left" vertical="top" wrapText="1"/>
    </xf>
    <xf numFmtId="0" fontId="19" fillId="0" borderId="2" xfId="0" applyFont="1" applyBorder="1" applyAlignment="1">
      <alignment vertical="top" wrapText="1"/>
    </xf>
    <xf numFmtId="0" fontId="21" fillId="3" borderId="2" xfId="0" applyFont="1" applyFill="1" applyBorder="1" applyAlignment="1">
      <alignment horizontal="left" vertical="top" wrapText="1"/>
    </xf>
    <xf numFmtId="0" fontId="20" fillId="3" borderId="2" xfId="0" applyFont="1" applyFill="1" applyBorder="1" applyAlignment="1">
      <alignment wrapText="1"/>
    </xf>
    <xf numFmtId="0" fontId="5" fillId="0" borderId="2" xfId="0" applyFont="1" applyFill="1" applyBorder="1" applyAlignment="1">
      <alignment horizontal="left" vertical="center"/>
    </xf>
    <xf numFmtId="0" fontId="14" fillId="0" borderId="2" xfId="2" applyFont="1" applyFill="1" applyBorder="1" applyAlignment="1">
      <alignment wrapText="1"/>
    </xf>
    <xf numFmtId="0" fontId="0" fillId="0" borderId="2" xfId="0" applyBorder="1" applyAlignment="1">
      <alignment horizontal="left" wrapText="1"/>
    </xf>
    <xf numFmtId="0" fontId="5" fillId="0" borderId="2" xfId="0" applyFont="1" applyFill="1" applyBorder="1" applyAlignment="1">
      <alignment horizontal="left" vertical="center" wrapText="1"/>
    </xf>
    <xf numFmtId="0" fontId="0" fillId="0" borderId="2" xfId="0" applyFill="1" applyBorder="1" applyAlignment="1">
      <alignment horizontal="left" wrapText="1"/>
    </xf>
    <xf numFmtId="0" fontId="1" fillId="0" borderId="2" xfId="0" applyFont="1" applyFill="1" applyBorder="1" applyAlignment="1">
      <alignment horizontal="left" vertical="center" wrapText="1"/>
    </xf>
    <xf numFmtId="0" fontId="0" fillId="0" borderId="2" xfId="0" applyFill="1" applyBorder="1" applyAlignment="1">
      <alignment horizontal="left" vertical="top" wrapText="1"/>
    </xf>
    <xf numFmtId="0" fontId="0" fillId="0" borderId="2" xfId="0" applyFont="1" applyBorder="1" applyAlignment="1">
      <alignment horizontal="left" wrapText="1"/>
    </xf>
    <xf numFmtId="0" fontId="0" fillId="7" borderId="2" xfId="0" applyFill="1" applyBorder="1"/>
    <xf numFmtId="0" fontId="0" fillId="0" borderId="2" xfId="0" applyBorder="1" applyAlignment="1">
      <alignment wrapText="1"/>
    </xf>
    <xf numFmtId="0" fontId="7" fillId="0" borderId="2" xfId="0" applyFont="1" applyBorder="1" applyAlignment="1">
      <alignment horizontal="left" vertical="center"/>
    </xf>
    <xf numFmtId="0" fontId="22" fillId="8" borderId="0" xfId="0" applyFont="1" applyFill="1" applyAlignment="1" applyProtection="1"/>
    <xf numFmtId="0" fontId="22" fillId="8" borderId="0" xfId="0" applyFont="1" applyFill="1" applyAlignment="1"/>
    <xf numFmtId="0" fontId="23" fillId="0" borderId="0" xfId="0" applyFont="1" applyAlignment="1"/>
    <xf numFmtId="0" fontId="23" fillId="0" borderId="0" xfId="0" applyFont="1" applyAlignment="1">
      <alignment horizontal="left"/>
    </xf>
    <xf numFmtId="10" fontId="0" fillId="0" borderId="0" xfId="0" applyNumberFormat="1"/>
  </cellXfs>
  <cellStyles count="3">
    <cellStyle name="Check Cell 2" xfId="1"/>
    <cellStyle name="Normal" xfId="0" builtinId="0"/>
    <cellStyle name="Normal 2" xfId="2"/>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087884\Downloads\OBIEE-CR-109(PM1.4).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ValidationData"/>
    </sheetNames>
    <sheetDataSet>
      <sheetData sheetId="0"/>
      <sheetData sheetId="1"/>
      <sheetData sheetId="2"/>
      <sheetData sheetId="3">
        <row r="1">
          <cell r="C1" t="str">
            <v>Passed</v>
          </cell>
        </row>
        <row r="2">
          <cell r="C2" t="str">
            <v>Not Run</v>
          </cell>
        </row>
        <row r="3">
          <cell r="C3" t="str">
            <v>In Progress</v>
          </cell>
        </row>
        <row r="4">
          <cell r="C4" t="str">
            <v>Failed</v>
          </cell>
        </row>
        <row r="5">
          <cell r="C5" t="str">
            <v>Blocked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614"/>
  <sheetViews>
    <sheetView tabSelected="1" workbookViewId="0"/>
  </sheetViews>
  <sheetFormatPr defaultRowHeight="15" x14ac:dyDescent="0.25"/>
  <cols>
    <col min="1" max="1" width="5.42578125" customWidth="1"/>
    <col min="2" max="2" width="7.140625" style="98" bestFit="1" customWidth="1"/>
    <col min="3" max="3" width="56.5703125" customWidth="1"/>
    <col min="4" max="4" width="13.42578125" style="98" customWidth="1"/>
    <col min="5" max="5" width="38.28515625" style="98" customWidth="1"/>
    <col min="6" max="6" width="44.7109375" style="98" customWidth="1"/>
    <col min="7" max="7" width="23.28515625" style="98" customWidth="1"/>
    <col min="8" max="8" width="90.42578125" style="98" customWidth="1"/>
    <col min="9" max="9" width="21.7109375" style="98" customWidth="1"/>
    <col min="10" max="10" width="46.140625" style="98" customWidth="1"/>
    <col min="11" max="11" width="66" style="98" customWidth="1"/>
    <col min="14" max="256" width="9.140625" style="98"/>
    <col min="257" max="257" width="12.140625" style="98" customWidth="1"/>
    <col min="258" max="258" width="12.85546875" style="98" customWidth="1"/>
    <col min="259" max="259" width="17.28515625" style="98" customWidth="1"/>
    <col min="260" max="260" width="19.28515625" style="98" customWidth="1"/>
    <col min="261" max="261" width="15.28515625" style="98" customWidth="1"/>
    <col min="262" max="262" width="18" style="98" customWidth="1"/>
    <col min="263" max="263" width="16" style="98" customWidth="1"/>
    <col min="264" max="264" width="13.42578125" style="98" bestFit="1" customWidth="1"/>
    <col min="265" max="265" width="66.140625" style="98" customWidth="1"/>
    <col min="266" max="512" width="9.140625" style="98"/>
    <col min="513" max="513" width="12.140625" style="98" customWidth="1"/>
    <col min="514" max="514" width="12.85546875" style="98" customWidth="1"/>
    <col min="515" max="515" width="17.28515625" style="98" customWidth="1"/>
    <col min="516" max="516" width="19.28515625" style="98" customWidth="1"/>
    <col min="517" max="517" width="15.28515625" style="98" customWidth="1"/>
    <col min="518" max="518" width="18" style="98" customWidth="1"/>
    <col min="519" max="519" width="16" style="98" customWidth="1"/>
    <col min="520" max="520" width="13.42578125" style="98" bestFit="1" customWidth="1"/>
    <col min="521" max="521" width="66.140625" style="98" customWidth="1"/>
    <col min="522" max="768" width="9.140625" style="98"/>
    <col min="769" max="769" width="12.140625" style="98" customWidth="1"/>
    <col min="770" max="770" width="12.85546875" style="98" customWidth="1"/>
    <col min="771" max="771" width="17.28515625" style="98" customWidth="1"/>
    <col min="772" max="772" width="19.28515625" style="98" customWidth="1"/>
    <col min="773" max="773" width="15.28515625" style="98" customWidth="1"/>
    <col min="774" max="774" width="18" style="98" customWidth="1"/>
    <col min="775" max="775" width="16" style="98" customWidth="1"/>
    <col min="776" max="776" width="13.42578125" style="98" bestFit="1" customWidth="1"/>
    <col min="777" max="777" width="66.140625" style="98" customWidth="1"/>
    <col min="778" max="1024" width="9.140625" style="98"/>
    <col min="1025" max="1025" width="12.140625" style="98" customWidth="1"/>
    <col min="1026" max="1026" width="12.85546875" style="98" customWidth="1"/>
    <col min="1027" max="1027" width="17.28515625" style="98" customWidth="1"/>
    <col min="1028" max="1028" width="19.28515625" style="98" customWidth="1"/>
    <col min="1029" max="1029" width="15.28515625" style="98" customWidth="1"/>
    <col min="1030" max="1030" width="18" style="98" customWidth="1"/>
    <col min="1031" max="1031" width="16" style="98" customWidth="1"/>
    <col min="1032" max="1032" width="13.42578125" style="98" bestFit="1" customWidth="1"/>
    <col min="1033" max="1033" width="66.140625" style="98" customWidth="1"/>
    <col min="1034" max="1280" width="9.140625" style="98"/>
    <col min="1281" max="1281" width="12.140625" style="98" customWidth="1"/>
    <col min="1282" max="1282" width="12.85546875" style="98" customWidth="1"/>
    <col min="1283" max="1283" width="17.28515625" style="98" customWidth="1"/>
    <col min="1284" max="1284" width="19.28515625" style="98" customWidth="1"/>
    <col min="1285" max="1285" width="15.28515625" style="98" customWidth="1"/>
    <col min="1286" max="1286" width="18" style="98" customWidth="1"/>
    <col min="1287" max="1287" width="16" style="98" customWidth="1"/>
    <col min="1288" max="1288" width="13.42578125" style="98" bestFit="1" customWidth="1"/>
    <col min="1289" max="1289" width="66.140625" style="98" customWidth="1"/>
    <col min="1290" max="1536" width="9.140625" style="98"/>
    <col min="1537" max="1537" width="12.140625" style="98" customWidth="1"/>
    <col min="1538" max="1538" width="12.85546875" style="98" customWidth="1"/>
    <col min="1539" max="1539" width="17.28515625" style="98" customWidth="1"/>
    <col min="1540" max="1540" width="19.28515625" style="98" customWidth="1"/>
    <col min="1541" max="1541" width="15.28515625" style="98" customWidth="1"/>
    <col min="1542" max="1542" width="18" style="98" customWidth="1"/>
    <col min="1543" max="1543" width="16" style="98" customWidth="1"/>
    <col min="1544" max="1544" width="13.42578125" style="98" bestFit="1" customWidth="1"/>
    <col min="1545" max="1545" width="66.140625" style="98" customWidth="1"/>
    <col min="1546" max="1792" width="9.140625" style="98"/>
    <col min="1793" max="1793" width="12.140625" style="98" customWidth="1"/>
    <col min="1794" max="1794" width="12.85546875" style="98" customWidth="1"/>
    <col min="1795" max="1795" width="17.28515625" style="98" customWidth="1"/>
    <col min="1796" max="1796" width="19.28515625" style="98" customWidth="1"/>
    <col min="1797" max="1797" width="15.28515625" style="98" customWidth="1"/>
    <col min="1798" max="1798" width="18" style="98" customWidth="1"/>
    <col min="1799" max="1799" width="16" style="98" customWidth="1"/>
    <col min="1800" max="1800" width="13.42578125" style="98" bestFit="1" customWidth="1"/>
    <col min="1801" max="1801" width="66.140625" style="98" customWidth="1"/>
    <col min="1802" max="2048" width="9.140625" style="98"/>
    <col min="2049" max="2049" width="12.140625" style="98" customWidth="1"/>
    <col min="2050" max="2050" width="12.85546875" style="98" customWidth="1"/>
    <col min="2051" max="2051" width="17.28515625" style="98" customWidth="1"/>
    <col min="2052" max="2052" width="19.28515625" style="98" customWidth="1"/>
    <col min="2053" max="2053" width="15.28515625" style="98" customWidth="1"/>
    <col min="2054" max="2054" width="18" style="98" customWidth="1"/>
    <col min="2055" max="2055" width="16" style="98" customWidth="1"/>
    <col min="2056" max="2056" width="13.42578125" style="98" bestFit="1" customWidth="1"/>
    <col min="2057" max="2057" width="66.140625" style="98" customWidth="1"/>
    <col min="2058" max="2304" width="9.140625" style="98"/>
    <col min="2305" max="2305" width="12.140625" style="98" customWidth="1"/>
    <col min="2306" max="2306" width="12.85546875" style="98" customWidth="1"/>
    <col min="2307" max="2307" width="17.28515625" style="98" customWidth="1"/>
    <col min="2308" max="2308" width="19.28515625" style="98" customWidth="1"/>
    <col min="2309" max="2309" width="15.28515625" style="98" customWidth="1"/>
    <col min="2310" max="2310" width="18" style="98" customWidth="1"/>
    <col min="2311" max="2311" width="16" style="98" customWidth="1"/>
    <col min="2312" max="2312" width="13.42578125" style="98" bestFit="1" customWidth="1"/>
    <col min="2313" max="2313" width="66.140625" style="98" customWidth="1"/>
    <col min="2314" max="2560" width="9.140625" style="98"/>
    <col min="2561" max="2561" width="12.140625" style="98" customWidth="1"/>
    <col min="2562" max="2562" width="12.85546875" style="98" customWidth="1"/>
    <col min="2563" max="2563" width="17.28515625" style="98" customWidth="1"/>
    <col min="2564" max="2564" width="19.28515625" style="98" customWidth="1"/>
    <col min="2565" max="2565" width="15.28515625" style="98" customWidth="1"/>
    <col min="2566" max="2566" width="18" style="98" customWidth="1"/>
    <col min="2567" max="2567" width="16" style="98" customWidth="1"/>
    <col min="2568" max="2568" width="13.42578125" style="98" bestFit="1" customWidth="1"/>
    <col min="2569" max="2569" width="66.140625" style="98" customWidth="1"/>
    <col min="2570" max="2816" width="9.140625" style="98"/>
    <col min="2817" max="2817" width="12.140625" style="98" customWidth="1"/>
    <col min="2818" max="2818" width="12.85546875" style="98" customWidth="1"/>
    <col min="2819" max="2819" width="17.28515625" style="98" customWidth="1"/>
    <col min="2820" max="2820" width="19.28515625" style="98" customWidth="1"/>
    <col min="2821" max="2821" width="15.28515625" style="98" customWidth="1"/>
    <col min="2822" max="2822" width="18" style="98" customWidth="1"/>
    <col min="2823" max="2823" width="16" style="98" customWidth="1"/>
    <col min="2824" max="2824" width="13.42578125" style="98" bestFit="1" customWidth="1"/>
    <col min="2825" max="2825" width="66.140625" style="98" customWidth="1"/>
    <col min="2826" max="3072" width="9.140625" style="98"/>
    <col min="3073" max="3073" width="12.140625" style="98" customWidth="1"/>
    <col min="3074" max="3074" width="12.85546875" style="98" customWidth="1"/>
    <col min="3075" max="3075" width="17.28515625" style="98" customWidth="1"/>
    <col min="3076" max="3076" width="19.28515625" style="98" customWidth="1"/>
    <col min="3077" max="3077" width="15.28515625" style="98" customWidth="1"/>
    <col min="3078" max="3078" width="18" style="98" customWidth="1"/>
    <col min="3079" max="3079" width="16" style="98" customWidth="1"/>
    <col min="3080" max="3080" width="13.42578125" style="98" bestFit="1" customWidth="1"/>
    <col min="3081" max="3081" width="66.140625" style="98" customWidth="1"/>
    <col min="3082" max="3328" width="9.140625" style="98"/>
    <col min="3329" max="3329" width="12.140625" style="98" customWidth="1"/>
    <col min="3330" max="3330" width="12.85546875" style="98" customWidth="1"/>
    <col min="3331" max="3331" width="17.28515625" style="98" customWidth="1"/>
    <col min="3332" max="3332" width="19.28515625" style="98" customWidth="1"/>
    <col min="3333" max="3333" width="15.28515625" style="98" customWidth="1"/>
    <col min="3334" max="3334" width="18" style="98" customWidth="1"/>
    <col min="3335" max="3335" width="16" style="98" customWidth="1"/>
    <col min="3336" max="3336" width="13.42578125" style="98" bestFit="1" customWidth="1"/>
    <col min="3337" max="3337" width="66.140625" style="98" customWidth="1"/>
    <col min="3338" max="3584" width="9.140625" style="98"/>
    <col min="3585" max="3585" width="12.140625" style="98" customWidth="1"/>
    <col min="3586" max="3586" width="12.85546875" style="98" customWidth="1"/>
    <col min="3587" max="3587" width="17.28515625" style="98" customWidth="1"/>
    <col min="3588" max="3588" width="19.28515625" style="98" customWidth="1"/>
    <col min="3589" max="3589" width="15.28515625" style="98" customWidth="1"/>
    <col min="3590" max="3590" width="18" style="98" customWidth="1"/>
    <col min="3591" max="3591" width="16" style="98" customWidth="1"/>
    <col min="3592" max="3592" width="13.42578125" style="98" bestFit="1" customWidth="1"/>
    <col min="3593" max="3593" width="66.140625" style="98" customWidth="1"/>
    <col min="3594" max="3840" width="9.140625" style="98"/>
    <col min="3841" max="3841" width="12.140625" style="98" customWidth="1"/>
    <col min="3842" max="3842" width="12.85546875" style="98" customWidth="1"/>
    <col min="3843" max="3843" width="17.28515625" style="98" customWidth="1"/>
    <col min="3844" max="3844" width="19.28515625" style="98" customWidth="1"/>
    <col min="3845" max="3845" width="15.28515625" style="98" customWidth="1"/>
    <col min="3846" max="3846" width="18" style="98" customWidth="1"/>
    <col min="3847" max="3847" width="16" style="98" customWidth="1"/>
    <col min="3848" max="3848" width="13.42578125" style="98" bestFit="1" customWidth="1"/>
    <col min="3849" max="3849" width="66.140625" style="98" customWidth="1"/>
    <col min="3850" max="4096" width="9.140625" style="98"/>
    <col min="4097" max="4097" width="12.140625" style="98" customWidth="1"/>
    <col min="4098" max="4098" width="12.85546875" style="98" customWidth="1"/>
    <col min="4099" max="4099" width="17.28515625" style="98" customWidth="1"/>
    <col min="4100" max="4100" width="19.28515625" style="98" customWidth="1"/>
    <col min="4101" max="4101" width="15.28515625" style="98" customWidth="1"/>
    <col min="4102" max="4102" width="18" style="98" customWidth="1"/>
    <col min="4103" max="4103" width="16" style="98" customWidth="1"/>
    <col min="4104" max="4104" width="13.42578125" style="98" bestFit="1" customWidth="1"/>
    <col min="4105" max="4105" width="66.140625" style="98" customWidth="1"/>
    <col min="4106" max="4352" width="9.140625" style="98"/>
    <col min="4353" max="4353" width="12.140625" style="98" customWidth="1"/>
    <col min="4354" max="4354" width="12.85546875" style="98" customWidth="1"/>
    <col min="4355" max="4355" width="17.28515625" style="98" customWidth="1"/>
    <col min="4356" max="4356" width="19.28515625" style="98" customWidth="1"/>
    <col min="4357" max="4357" width="15.28515625" style="98" customWidth="1"/>
    <col min="4358" max="4358" width="18" style="98" customWidth="1"/>
    <col min="4359" max="4359" width="16" style="98" customWidth="1"/>
    <col min="4360" max="4360" width="13.42578125" style="98" bestFit="1" customWidth="1"/>
    <col min="4361" max="4361" width="66.140625" style="98" customWidth="1"/>
    <col min="4362" max="4608" width="9.140625" style="98"/>
    <col min="4609" max="4609" width="12.140625" style="98" customWidth="1"/>
    <col min="4610" max="4610" width="12.85546875" style="98" customWidth="1"/>
    <col min="4611" max="4611" width="17.28515625" style="98" customWidth="1"/>
    <col min="4612" max="4612" width="19.28515625" style="98" customWidth="1"/>
    <col min="4613" max="4613" width="15.28515625" style="98" customWidth="1"/>
    <col min="4614" max="4614" width="18" style="98" customWidth="1"/>
    <col min="4615" max="4615" width="16" style="98" customWidth="1"/>
    <col min="4616" max="4616" width="13.42578125" style="98" bestFit="1" customWidth="1"/>
    <col min="4617" max="4617" width="66.140625" style="98" customWidth="1"/>
    <col min="4618" max="4864" width="9.140625" style="98"/>
    <col min="4865" max="4865" width="12.140625" style="98" customWidth="1"/>
    <col min="4866" max="4866" width="12.85546875" style="98" customWidth="1"/>
    <col min="4867" max="4867" width="17.28515625" style="98" customWidth="1"/>
    <col min="4868" max="4868" width="19.28515625" style="98" customWidth="1"/>
    <col min="4869" max="4869" width="15.28515625" style="98" customWidth="1"/>
    <col min="4870" max="4870" width="18" style="98" customWidth="1"/>
    <col min="4871" max="4871" width="16" style="98" customWidth="1"/>
    <col min="4872" max="4872" width="13.42578125" style="98" bestFit="1" customWidth="1"/>
    <col min="4873" max="4873" width="66.140625" style="98" customWidth="1"/>
    <col min="4874" max="5120" width="9.140625" style="98"/>
    <col min="5121" max="5121" width="12.140625" style="98" customWidth="1"/>
    <col min="5122" max="5122" width="12.85546875" style="98" customWidth="1"/>
    <col min="5123" max="5123" width="17.28515625" style="98" customWidth="1"/>
    <col min="5124" max="5124" width="19.28515625" style="98" customWidth="1"/>
    <col min="5125" max="5125" width="15.28515625" style="98" customWidth="1"/>
    <col min="5126" max="5126" width="18" style="98" customWidth="1"/>
    <col min="5127" max="5127" width="16" style="98" customWidth="1"/>
    <col min="5128" max="5128" width="13.42578125" style="98" bestFit="1" customWidth="1"/>
    <col min="5129" max="5129" width="66.140625" style="98" customWidth="1"/>
    <col min="5130" max="5376" width="9.140625" style="98"/>
    <col min="5377" max="5377" width="12.140625" style="98" customWidth="1"/>
    <col min="5378" max="5378" width="12.85546875" style="98" customWidth="1"/>
    <col min="5379" max="5379" width="17.28515625" style="98" customWidth="1"/>
    <col min="5380" max="5380" width="19.28515625" style="98" customWidth="1"/>
    <col min="5381" max="5381" width="15.28515625" style="98" customWidth="1"/>
    <col min="5382" max="5382" width="18" style="98" customWidth="1"/>
    <col min="5383" max="5383" width="16" style="98" customWidth="1"/>
    <col min="5384" max="5384" width="13.42578125" style="98" bestFit="1" customWidth="1"/>
    <col min="5385" max="5385" width="66.140625" style="98" customWidth="1"/>
    <col min="5386" max="5632" width="9.140625" style="98"/>
    <col min="5633" max="5633" width="12.140625" style="98" customWidth="1"/>
    <col min="5634" max="5634" width="12.85546875" style="98" customWidth="1"/>
    <col min="5635" max="5635" width="17.28515625" style="98" customWidth="1"/>
    <col min="5636" max="5636" width="19.28515625" style="98" customWidth="1"/>
    <col min="5637" max="5637" width="15.28515625" style="98" customWidth="1"/>
    <col min="5638" max="5638" width="18" style="98" customWidth="1"/>
    <col min="5639" max="5639" width="16" style="98" customWidth="1"/>
    <col min="5640" max="5640" width="13.42578125" style="98" bestFit="1" customWidth="1"/>
    <col min="5641" max="5641" width="66.140625" style="98" customWidth="1"/>
    <col min="5642" max="5888" width="9.140625" style="98"/>
    <col min="5889" max="5889" width="12.140625" style="98" customWidth="1"/>
    <col min="5890" max="5890" width="12.85546875" style="98" customWidth="1"/>
    <col min="5891" max="5891" width="17.28515625" style="98" customWidth="1"/>
    <col min="5892" max="5892" width="19.28515625" style="98" customWidth="1"/>
    <col min="5893" max="5893" width="15.28515625" style="98" customWidth="1"/>
    <col min="5894" max="5894" width="18" style="98" customWidth="1"/>
    <col min="5895" max="5895" width="16" style="98" customWidth="1"/>
    <col min="5896" max="5896" width="13.42578125" style="98" bestFit="1" customWidth="1"/>
    <col min="5897" max="5897" width="66.140625" style="98" customWidth="1"/>
    <col min="5898" max="6144" width="9.140625" style="98"/>
    <col min="6145" max="6145" width="12.140625" style="98" customWidth="1"/>
    <col min="6146" max="6146" width="12.85546875" style="98" customWidth="1"/>
    <col min="6147" max="6147" width="17.28515625" style="98" customWidth="1"/>
    <col min="6148" max="6148" width="19.28515625" style="98" customWidth="1"/>
    <col min="6149" max="6149" width="15.28515625" style="98" customWidth="1"/>
    <col min="6150" max="6150" width="18" style="98" customWidth="1"/>
    <col min="6151" max="6151" width="16" style="98" customWidth="1"/>
    <col min="6152" max="6152" width="13.42578125" style="98" bestFit="1" customWidth="1"/>
    <col min="6153" max="6153" width="66.140625" style="98" customWidth="1"/>
    <col min="6154" max="6400" width="9.140625" style="98"/>
    <col min="6401" max="6401" width="12.140625" style="98" customWidth="1"/>
    <col min="6402" max="6402" width="12.85546875" style="98" customWidth="1"/>
    <col min="6403" max="6403" width="17.28515625" style="98" customWidth="1"/>
    <col min="6404" max="6404" width="19.28515625" style="98" customWidth="1"/>
    <col min="6405" max="6405" width="15.28515625" style="98" customWidth="1"/>
    <col min="6406" max="6406" width="18" style="98" customWidth="1"/>
    <col min="6407" max="6407" width="16" style="98" customWidth="1"/>
    <col min="6408" max="6408" width="13.42578125" style="98" bestFit="1" customWidth="1"/>
    <col min="6409" max="6409" width="66.140625" style="98" customWidth="1"/>
    <col min="6410" max="6656" width="9.140625" style="98"/>
    <col min="6657" max="6657" width="12.140625" style="98" customWidth="1"/>
    <col min="6658" max="6658" width="12.85546875" style="98" customWidth="1"/>
    <col min="6659" max="6659" width="17.28515625" style="98" customWidth="1"/>
    <col min="6660" max="6660" width="19.28515625" style="98" customWidth="1"/>
    <col min="6661" max="6661" width="15.28515625" style="98" customWidth="1"/>
    <col min="6662" max="6662" width="18" style="98" customWidth="1"/>
    <col min="6663" max="6663" width="16" style="98" customWidth="1"/>
    <col min="6664" max="6664" width="13.42578125" style="98" bestFit="1" customWidth="1"/>
    <col min="6665" max="6665" width="66.140625" style="98" customWidth="1"/>
    <col min="6666" max="6912" width="9.140625" style="98"/>
    <col min="6913" max="6913" width="12.140625" style="98" customWidth="1"/>
    <col min="6914" max="6914" width="12.85546875" style="98" customWidth="1"/>
    <col min="6915" max="6915" width="17.28515625" style="98" customWidth="1"/>
    <col min="6916" max="6916" width="19.28515625" style="98" customWidth="1"/>
    <col min="6917" max="6917" width="15.28515625" style="98" customWidth="1"/>
    <col min="6918" max="6918" width="18" style="98" customWidth="1"/>
    <col min="6919" max="6919" width="16" style="98" customWidth="1"/>
    <col min="6920" max="6920" width="13.42578125" style="98" bestFit="1" customWidth="1"/>
    <col min="6921" max="6921" width="66.140625" style="98" customWidth="1"/>
    <col min="6922" max="7168" width="9.140625" style="98"/>
    <col min="7169" max="7169" width="12.140625" style="98" customWidth="1"/>
    <col min="7170" max="7170" width="12.85546875" style="98" customWidth="1"/>
    <col min="7171" max="7171" width="17.28515625" style="98" customWidth="1"/>
    <col min="7172" max="7172" width="19.28515625" style="98" customWidth="1"/>
    <col min="7173" max="7173" width="15.28515625" style="98" customWidth="1"/>
    <col min="7174" max="7174" width="18" style="98" customWidth="1"/>
    <col min="7175" max="7175" width="16" style="98" customWidth="1"/>
    <col min="7176" max="7176" width="13.42578125" style="98" bestFit="1" customWidth="1"/>
    <col min="7177" max="7177" width="66.140625" style="98" customWidth="1"/>
    <col min="7178" max="7424" width="9.140625" style="98"/>
    <col min="7425" max="7425" width="12.140625" style="98" customWidth="1"/>
    <col min="7426" max="7426" width="12.85546875" style="98" customWidth="1"/>
    <col min="7427" max="7427" width="17.28515625" style="98" customWidth="1"/>
    <col min="7428" max="7428" width="19.28515625" style="98" customWidth="1"/>
    <col min="7429" max="7429" width="15.28515625" style="98" customWidth="1"/>
    <col min="7430" max="7430" width="18" style="98" customWidth="1"/>
    <col min="7431" max="7431" width="16" style="98" customWidth="1"/>
    <col min="7432" max="7432" width="13.42578125" style="98" bestFit="1" customWidth="1"/>
    <col min="7433" max="7433" width="66.140625" style="98" customWidth="1"/>
    <col min="7434" max="7680" width="9.140625" style="98"/>
    <col min="7681" max="7681" width="12.140625" style="98" customWidth="1"/>
    <col min="7682" max="7682" width="12.85546875" style="98" customWidth="1"/>
    <col min="7683" max="7683" width="17.28515625" style="98" customWidth="1"/>
    <col min="7684" max="7684" width="19.28515625" style="98" customWidth="1"/>
    <col min="7685" max="7685" width="15.28515625" style="98" customWidth="1"/>
    <col min="7686" max="7686" width="18" style="98" customWidth="1"/>
    <col min="7687" max="7687" width="16" style="98" customWidth="1"/>
    <col min="7688" max="7688" width="13.42578125" style="98" bestFit="1" customWidth="1"/>
    <col min="7689" max="7689" width="66.140625" style="98" customWidth="1"/>
    <col min="7690" max="7936" width="9.140625" style="98"/>
    <col min="7937" max="7937" width="12.140625" style="98" customWidth="1"/>
    <col min="7938" max="7938" width="12.85546875" style="98" customWidth="1"/>
    <col min="7939" max="7939" width="17.28515625" style="98" customWidth="1"/>
    <col min="7940" max="7940" width="19.28515625" style="98" customWidth="1"/>
    <col min="7941" max="7941" width="15.28515625" style="98" customWidth="1"/>
    <col min="7942" max="7942" width="18" style="98" customWidth="1"/>
    <col min="7943" max="7943" width="16" style="98" customWidth="1"/>
    <col min="7944" max="7944" width="13.42578125" style="98" bestFit="1" customWidth="1"/>
    <col min="7945" max="7945" width="66.140625" style="98" customWidth="1"/>
    <col min="7946" max="8192" width="9.140625" style="98"/>
    <col min="8193" max="8193" width="12.140625" style="98" customWidth="1"/>
    <col min="8194" max="8194" width="12.85546875" style="98" customWidth="1"/>
    <col min="8195" max="8195" width="17.28515625" style="98" customWidth="1"/>
    <col min="8196" max="8196" width="19.28515625" style="98" customWidth="1"/>
    <col min="8197" max="8197" width="15.28515625" style="98" customWidth="1"/>
    <col min="8198" max="8198" width="18" style="98" customWidth="1"/>
    <col min="8199" max="8199" width="16" style="98" customWidth="1"/>
    <col min="8200" max="8200" width="13.42578125" style="98" bestFit="1" customWidth="1"/>
    <col min="8201" max="8201" width="66.140625" style="98" customWidth="1"/>
    <col min="8202" max="8448" width="9.140625" style="98"/>
    <col min="8449" max="8449" width="12.140625" style="98" customWidth="1"/>
    <col min="8450" max="8450" width="12.85546875" style="98" customWidth="1"/>
    <col min="8451" max="8451" width="17.28515625" style="98" customWidth="1"/>
    <col min="8452" max="8452" width="19.28515625" style="98" customWidth="1"/>
    <col min="8453" max="8453" width="15.28515625" style="98" customWidth="1"/>
    <col min="8454" max="8454" width="18" style="98" customWidth="1"/>
    <col min="8455" max="8455" width="16" style="98" customWidth="1"/>
    <col min="8456" max="8456" width="13.42578125" style="98" bestFit="1" customWidth="1"/>
    <col min="8457" max="8457" width="66.140625" style="98" customWidth="1"/>
    <col min="8458" max="8704" width="9.140625" style="98"/>
    <col min="8705" max="8705" width="12.140625" style="98" customWidth="1"/>
    <col min="8706" max="8706" width="12.85546875" style="98" customWidth="1"/>
    <col min="8707" max="8707" width="17.28515625" style="98" customWidth="1"/>
    <col min="8708" max="8708" width="19.28515625" style="98" customWidth="1"/>
    <col min="8709" max="8709" width="15.28515625" style="98" customWidth="1"/>
    <col min="8710" max="8710" width="18" style="98" customWidth="1"/>
    <col min="8711" max="8711" width="16" style="98" customWidth="1"/>
    <col min="8712" max="8712" width="13.42578125" style="98" bestFit="1" customWidth="1"/>
    <col min="8713" max="8713" width="66.140625" style="98" customWidth="1"/>
    <col min="8714" max="8960" width="9.140625" style="98"/>
    <col min="8961" max="8961" width="12.140625" style="98" customWidth="1"/>
    <col min="8962" max="8962" width="12.85546875" style="98" customWidth="1"/>
    <col min="8963" max="8963" width="17.28515625" style="98" customWidth="1"/>
    <col min="8964" max="8964" width="19.28515625" style="98" customWidth="1"/>
    <col min="8965" max="8965" width="15.28515625" style="98" customWidth="1"/>
    <col min="8966" max="8966" width="18" style="98" customWidth="1"/>
    <col min="8967" max="8967" width="16" style="98" customWidth="1"/>
    <col min="8968" max="8968" width="13.42578125" style="98" bestFit="1" customWidth="1"/>
    <col min="8969" max="8969" width="66.140625" style="98" customWidth="1"/>
    <col min="8970" max="9216" width="9.140625" style="98"/>
    <col min="9217" max="9217" width="12.140625" style="98" customWidth="1"/>
    <col min="9218" max="9218" width="12.85546875" style="98" customWidth="1"/>
    <col min="9219" max="9219" width="17.28515625" style="98" customWidth="1"/>
    <col min="9220" max="9220" width="19.28515625" style="98" customWidth="1"/>
    <col min="9221" max="9221" width="15.28515625" style="98" customWidth="1"/>
    <col min="9222" max="9222" width="18" style="98" customWidth="1"/>
    <col min="9223" max="9223" width="16" style="98" customWidth="1"/>
    <col min="9224" max="9224" width="13.42578125" style="98" bestFit="1" customWidth="1"/>
    <col min="9225" max="9225" width="66.140625" style="98" customWidth="1"/>
    <col min="9226" max="9472" width="9.140625" style="98"/>
    <col min="9473" max="9473" width="12.140625" style="98" customWidth="1"/>
    <col min="9474" max="9474" width="12.85546875" style="98" customWidth="1"/>
    <col min="9475" max="9475" width="17.28515625" style="98" customWidth="1"/>
    <col min="9476" max="9476" width="19.28515625" style="98" customWidth="1"/>
    <col min="9477" max="9477" width="15.28515625" style="98" customWidth="1"/>
    <col min="9478" max="9478" width="18" style="98" customWidth="1"/>
    <col min="9479" max="9479" width="16" style="98" customWidth="1"/>
    <col min="9480" max="9480" width="13.42578125" style="98" bestFit="1" customWidth="1"/>
    <col min="9481" max="9481" width="66.140625" style="98" customWidth="1"/>
    <col min="9482" max="9728" width="9.140625" style="98"/>
    <col min="9729" max="9729" width="12.140625" style="98" customWidth="1"/>
    <col min="9730" max="9730" width="12.85546875" style="98" customWidth="1"/>
    <col min="9731" max="9731" width="17.28515625" style="98" customWidth="1"/>
    <col min="9732" max="9732" width="19.28515625" style="98" customWidth="1"/>
    <col min="9733" max="9733" width="15.28515625" style="98" customWidth="1"/>
    <col min="9734" max="9734" width="18" style="98" customWidth="1"/>
    <col min="9735" max="9735" width="16" style="98" customWidth="1"/>
    <col min="9736" max="9736" width="13.42578125" style="98" bestFit="1" customWidth="1"/>
    <col min="9737" max="9737" width="66.140625" style="98" customWidth="1"/>
    <col min="9738" max="9984" width="9.140625" style="98"/>
    <col min="9985" max="9985" width="12.140625" style="98" customWidth="1"/>
    <col min="9986" max="9986" width="12.85546875" style="98" customWidth="1"/>
    <col min="9987" max="9987" width="17.28515625" style="98" customWidth="1"/>
    <col min="9988" max="9988" width="19.28515625" style="98" customWidth="1"/>
    <col min="9989" max="9989" width="15.28515625" style="98" customWidth="1"/>
    <col min="9990" max="9990" width="18" style="98" customWidth="1"/>
    <col min="9991" max="9991" width="16" style="98" customWidth="1"/>
    <col min="9992" max="9992" width="13.42578125" style="98" bestFit="1" customWidth="1"/>
    <col min="9993" max="9993" width="66.140625" style="98" customWidth="1"/>
    <col min="9994" max="10240" width="9.140625" style="98"/>
    <col min="10241" max="10241" width="12.140625" style="98" customWidth="1"/>
    <col min="10242" max="10242" width="12.85546875" style="98" customWidth="1"/>
    <col min="10243" max="10243" width="17.28515625" style="98" customWidth="1"/>
    <col min="10244" max="10244" width="19.28515625" style="98" customWidth="1"/>
    <col min="10245" max="10245" width="15.28515625" style="98" customWidth="1"/>
    <col min="10246" max="10246" width="18" style="98" customWidth="1"/>
    <col min="10247" max="10247" width="16" style="98" customWidth="1"/>
    <col min="10248" max="10248" width="13.42578125" style="98" bestFit="1" customWidth="1"/>
    <col min="10249" max="10249" width="66.140625" style="98" customWidth="1"/>
    <col min="10250" max="10496" width="9.140625" style="98"/>
    <col min="10497" max="10497" width="12.140625" style="98" customWidth="1"/>
    <col min="10498" max="10498" width="12.85546875" style="98" customWidth="1"/>
    <col min="10499" max="10499" width="17.28515625" style="98" customWidth="1"/>
    <col min="10500" max="10500" width="19.28515625" style="98" customWidth="1"/>
    <col min="10501" max="10501" width="15.28515625" style="98" customWidth="1"/>
    <col min="10502" max="10502" width="18" style="98" customWidth="1"/>
    <col min="10503" max="10503" width="16" style="98" customWidth="1"/>
    <col min="10504" max="10504" width="13.42578125" style="98" bestFit="1" customWidth="1"/>
    <col min="10505" max="10505" width="66.140625" style="98" customWidth="1"/>
    <col min="10506" max="10752" width="9.140625" style="98"/>
    <col min="10753" max="10753" width="12.140625" style="98" customWidth="1"/>
    <col min="10754" max="10754" width="12.85546875" style="98" customWidth="1"/>
    <col min="10755" max="10755" width="17.28515625" style="98" customWidth="1"/>
    <col min="10756" max="10756" width="19.28515625" style="98" customWidth="1"/>
    <col min="10757" max="10757" width="15.28515625" style="98" customWidth="1"/>
    <col min="10758" max="10758" width="18" style="98" customWidth="1"/>
    <col min="10759" max="10759" width="16" style="98" customWidth="1"/>
    <col min="10760" max="10760" width="13.42578125" style="98" bestFit="1" customWidth="1"/>
    <col min="10761" max="10761" width="66.140625" style="98" customWidth="1"/>
    <col min="10762" max="11008" width="9.140625" style="98"/>
    <col min="11009" max="11009" width="12.140625" style="98" customWidth="1"/>
    <col min="11010" max="11010" width="12.85546875" style="98" customWidth="1"/>
    <col min="11011" max="11011" width="17.28515625" style="98" customWidth="1"/>
    <col min="11012" max="11012" width="19.28515625" style="98" customWidth="1"/>
    <col min="11013" max="11013" width="15.28515625" style="98" customWidth="1"/>
    <col min="11014" max="11014" width="18" style="98" customWidth="1"/>
    <col min="11015" max="11015" width="16" style="98" customWidth="1"/>
    <col min="11016" max="11016" width="13.42578125" style="98" bestFit="1" customWidth="1"/>
    <col min="11017" max="11017" width="66.140625" style="98" customWidth="1"/>
    <col min="11018" max="11264" width="9.140625" style="98"/>
    <col min="11265" max="11265" width="12.140625" style="98" customWidth="1"/>
    <col min="11266" max="11266" width="12.85546875" style="98" customWidth="1"/>
    <col min="11267" max="11267" width="17.28515625" style="98" customWidth="1"/>
    <col min="11268" max="11268" width="19.28515625" style="98" customWidth="1"/>
    <col min="11269" max="11269" width="15.28515625" style="98" customWidth="1"/>
    <col min="11270" max="11270" width="18" style="98" customWidth="1"/>
    <col min="11271" max="11271" width="16" style="98" customWidth="1"/>
    <col min="11272" max="11272" width="13.42578125" style="98" bestFit="1" customWidth="1"/>
    <col min="11273" max="11273" width="66.140625" style="98" customWidth="1"/>
    <col min="11274" max="11520" width="9.140625" style="98"/>
    <col min="11521" max="11521" width="12.140625" style="98" customWidth="1"/>
    <col min="11522" max="11522" width="12.85546875" style="98" customWidth="1"/>
    <col min="11523" max="11523" width="17.28515625" style="98" customWidth="1"/>
    <col min="11524" max="11524" width="19.28515625" style="98" customWidth="1"/>
    <col min="11525" max="11525" width="15.28515625" style="98" customWidth="1"/>
    <col min="11526" max="11526" width="18" style="98" customWidth="1"/>
    <col min="11527" max="11527" width="16" style="98" customWidth="1"/>
    <col min="11528" max="11528" width="13.42578125" style="98" bestFit="1" customWidth="1"/>
    <col min="11529" max="11529" width="66.140625" style="98" customWidth="1"/>
    <col min="11530" max="11776" width="9.140625" style="98"/>
    <col min="11777" max="11777" width="12.140625" style="98" customWidth="1"/>
    <col min="11778" max="11778" width="12.85546875" style="98" customWidth="1"/>
    <col min="11779" max="11779" width="17.28515625" style="98" customWidth="1"/>
    <col min="11780" max="11780" width="19.28515625" style="98" customWidth="1"/>
    <col min="11781" max="11781" width="15.28515625" style="98" customWidth="1"/>
    <col min="11782" max="11782" width="18" style="98" customWidth="1"/>
    <col min="11783" max="11783" width="16" style="98" customWidth="1"/>
    <col min="11784" max="11784" width="13.42578125" style="98" bestFit="1" customWidth="1"/>
    <col min="11785" max="11785" width="66.140625" style="98" customWidth="1"/>
    <col min="11786" max="12032" width="9.140625" style="98"/>
    <col min="12033" max="12033" width="12.140625" style="98" customWidth="1"/>
    <col min="12034" max="12034" width="12.85546875" style="98" customWidth="1"/>
    <col min="12035" max="12035" width="17.28515625" style="98" customWidth="1"/>
    <col min="12036" max="12036" width="19.28515625" style="98" customWidth="1"/>
    <col min="12037" max="12037" width="15.28515625" style="98" customWidth="1"/>
    <col min="12038" max="12038" width="18" style="98" customWidth="1"/>
    <col min="12039" max="12039" width="16" style="98" customWidth="1"/>
    <col min="12040" max="12040" width="13.42578125" style="98" bestFit="1" customWidth="1"/>
    <col min="12041" max="12041" width="66.140625" style="98" customWidth="1"/>
    <col min="12042" max="12288" width="9.140625" style="98"/>
    <col min="12289" max="12289" width="12.140625" style="98" customWidth="1"/>
    <col min="12290" max="12290" width="12.85546875" style="98" customWidth="1"/>
    <col min="12291" max="12291" width="17.28515625" style="98" customWidth="1"/>
    <col min="12292" max="12292" width="19.28515625" style="98" customWidth="1"/>
    <col min="12293" max="12293" width="15.28515625" style="98" customWidth="1"/>
    <col min="12294" max="12294" width="18" style="98" customWidth="1"/>
    <col min="12295" max="12295" width="16" style="98" customWidth="1"/>
    <col min="12296" max="12296" width="13.42578125" style="98" bestFit="1" customWidth="1"/>
    <col min="12297" max="12297" width="66.140625" style="98" customWidth="1"/>
    <col min="12298" max="12544" width="9.140625" style="98"/>
    <col min="12545" max="12545" width="12.140625" style="98" customWidth="1"/>
    <col min="12546" max="12546" width="12.85546875" style="98" customWidth="1"/>
    <col min="12547" max="12547" width="17.28515625" style="98" customWidth="1"/>
    <col min="12548" max="12548" width="19.28515625" style="98" customWidth="1"/>
    <col min="12549" max="12549" width="15.28515625" style="98" customWidth="1"/>
    <col min="12550" max="12550" width="18" style="98" customWidth="1"/>
    <col min="12551" max="12551" width="16" style="98" customWidth="1"/>
    <col min="12552" max="12552" width="13.42578125" style="98" bestFit="1" customWidth="1"/>
    <col min="12553" max="12553" width="66.140625" style="98" customWidth="1"/>
    <col min="12554" max="12800" width="9.140625" style="98"/>
    <col min="12801" max="12801" width="12.140625" style="98" customWidth="1"/>
    <col min="12802" max="12802" width="12.85546875" style="98" customWidth="1"/>
    <col min="12803" max="12803" width="17.28515625" style="98" customWidth="1"/>
    <col min="12804" max="12804" width="19.28515625" style="98" customWidth="1"/>
    <col min="12805" max="12805" width="15.28515625" style="98" customWidth="1"/>
    <col min="12806" max="12806" width="18" style="98" customWidth="1"/>
    <col min="12807" max="12807" width="16" style="98" customWidth="1"/>
    <col min="12808" max="12808" width="13.42578125" style="98" bestFit="1" customWidth="1"/>
    <col min="12809" max="12809" width="66.140625" style="98" customWidth="1"/>
    <col min="12810" max="13056" width="9.140625" style="98"/>
    <col min="13057" max="13057" width="12.140625" style="98" customWidth="1"/>
    <col min="13058" max="13058" width="12.85546875" style="98" customWidth="1"/>
    <col min="13059" max="13059" width="17.28515625" style="98" customWidth="1"/>
    <col min="13060" max="13060" width="19.28515625" style="98" customWidth="1"/>
    <col min="13061" max="13061" width="15.28515625" style="98" customWidth="1"/>
    <col min="13062" max="13062" width="18" style="98" customWidth="1"/>
    <col min="13063" max="13063" width="16" style="98" customWidth="1"/>
    <col min="13064" max="13064" width="13.42578125" style="98" bestFit="1" customWidth="1"/>
    <col min="13065" max="13065" width="66.140625" style="98" customWidth="1"/>
    <col min="13066" max="13312" width="9.140625" style="98"/>
    <col min="13313" max="13313" width="12.140625" style="98" customWidth="1"/>
    <col min="13314" max="13314" width="12.85546875" style="98" customWidth="1"/>
    <col min="13315" max="13315" width="17.28515625" style="98" customWidth="1"/>
    <col min="13316" max="13316" width="19.28515625" style="98" customWidth="1"/>
    <col min="13317" max="13317" width="15.28515625" style="98" customWidth="1"/>
    <col min="13318" max="13318" width="18" style="98" customWidth="1"/>
    <col min="13319" max="13319" width="16" style="98" customWidth="1"/>
    <col min="13320" max="13320" width="13.42578125" style="98" bestFit="1" customWidth="1"/>
    <col min="13321" max="13321" width="66.140625" style="98" customWidth="1"/>
    <col min="13322" max="13568" width="9.140625" style="98"/>
    <col min="13569" max="13569" width="12.140625" style="98" customWidth="1"/>
    <col min="13570" max="13570" width="12.85546875" style="98" customWidth="1"/>
    <col min="13571" max="13571" width="17.28515625" style="98" customWidth="1"/>
    <col min="13572" max="13572" width="19.28515625" style="98" customWidth="1"/>
    <col min="13573" max="13573" width="15.28515625" style="98" customWidth="1"/>
    <col min="13574" max="13574" width="18" style="98" customWidth="1"/>
    <col min="13575" max="13575" width="16" style="98" customWidth="1"/>
    <col min="13576" max="13576" width="13.42578125" style="98" bestFit="1" customWidth="1"/>
    <col min="13577" max="13577" width="66.140625" style="98" customWidth="1"/>
    <col min="13578" max="13824" width="9.140625" style="98"/>
    <col min="13825" max="13825" width="12.140625" style="98" customWidth="1"/>
    <col min="13826" max="13826" width="12.85546875" style="98" customWidth="1"/>
    <col min="13827" max="13827" width="17.28515625" style="98" customWidth="1"/>
    <col min="13828" max="13828" width="19.28515625" style="98" customWidth="1"/>
    <col min="13829" max="13829" width="15.28515625" style="98" customWidth="1"/>
    <col min="13830" max="13830" width="18" style="98" customWidth="1"/>
    <col min="13831" max="13831" width="16" style="98" customWidth="1"/>
    <col min="13832" max="13832" width="13.42578125" style="98" bestFit="1" customWidth="1"/>
    <col min="13833" max="13833" width="66.140625" style="98" customWidth="1"/>
    <col min="13834" max="14080" width="9.140625" style="98"/>
    <col min="14081" max="14081" width="12.140625" style="98" customWidth="1"/>
    <col min="14082" max="14082" width="12.85546875" style="98" customWidth="1"/>
    <col min="14083" max="14083" width="17.28515625" style="98" customWidth="1"/>
    <col min="14084" max="14084" width="19.28515625" style="98" customWidth="1"/>
    <col min="14085" max="14085" width="15.28515625" style="98" customWidth="1"/>
    <col min="14086" max="14086" width="18" style="98" customWidth="1"/>
    <col min="14087" max="14087" width="16" style="98" customWidth="1"/>
    <col min="14088" max="14088" width="13.42578125" style="98" bestFit="1" customWidth="1"/>
    <col min="14089" max="14089" width="66.140625" style="98" customWidth="1"/>
    <col min="14090" max="14336" width="9.140625" style="98"/>
    <col min="14337" max="14337" width="12.140625" style="98" customWidth="1"/>
    <col min="14338" max="14338" width="12.85546875" style="98" customWidth="1"/>
    <col min="14339" max="14339" width="17.28515625" style="98" customWidth="1"/>
    <col min="14340" max="14340" width="19.28515625" style="98" customWidth="1"/>
    <col min="14341" max="14341" width="15.28515625" style="98" customWidth="1"/>
    <col min="14342" max="14342" width="18" style="98" customWidth="1"/>
    <col min="14343" max="14343" width="16" style="98" customWidth="1"/>
    <col min="14344" max="14344" width="13.42578125" style="98" bestFit="1" customWidth="1"/>
    <col min="14345" max="14345" width="66.140625" style="98" customWidth="1"/>
    <col min="14346" max="14592" width="9.140625" style="98"/>
    <col min="14593" max="14593" width="12.140625" style="98" customWidth="1"/>
    <col min="14594" max="14594" width="12.85546875" style="98" customWidth="1"/>
    <col min="14595" max="14595" width="17.28515625" style="98" customWidth="1"/>
    <col min="14596" max="14596" width="19.28515625" style="98" customWidth="1"/>
    <col min="14597" max="14597" width="15.28515625" style="98" customWidth="1"/>
    <col min="14598" max="14598" width="18" style="98" customWidth="1"/>
    <col min="14599" max="14599" width="16" style="98" customWidth="1"/>
    <col min="14600" max="14600" width="13.42578125" style="98" bestFit="1" customWidth="1"/>
    <col min="14601" max="14601" width="66.140625" style="98" customWidth="1"/>
    <col min="14602" max="14848" width="9.140625" style="98"/>
    <col min="14849" max="14849" width="12.140625" style="98" customWidth="1"/>
    <col min="14850" max="14850" width="12.85546875" style="98" customWidth="1"/>
    <col min="14851" max="14851" width="17.28515625" style="98" customWidth="1"/>
    <col min="14852" max="14852" width="19.28515625" style="98" customWidth="1"/>
    <col min="14853" max="14853" width="15.28515625" style="98" customWidth="1"/>
    <col min="14854" max="14854" width="18" style="98" customWidth="1"/>
    <col min="14855" max="14855" width="16" style="98" customWidth="1"/>
    <col min="14856" max="14856" width="13.42578125" style="98" bestFit="1" customWidth="1"/>
    <col min="14857" max="14857" width="66.140625" style="98" customWidth="1"/>
    <col min="14858" max="15104" width="9.140625" style="98"/>
    <col min="15105" max="15105" width="12.140625" style="98" customWidth="1"/>
    <col min="15106" max="15106" width="12.85546875" style="98" customWidth="1"/>
    <col min="15107" max="15107" width="17.28515625" style="98" customWidth="1"/>
    <col min="15108" max="15108" width="19.28515625" style="98" customWidth="1"/>
    <col min="15109" max="15109" width="15.28515625" style="98" customWidth="1"/>
    <col min="15110" max="15110" width="18" style="98" customWidth="1"/>
    <col min="15111" max="15111" width="16" style="98" customWidth="1"/>
    <col min="15112" max="15112" width="13.42578125" style="98" bestFit="1" customWidth="1"/>
    <col min="15113" max="15113" width="66.140625" style="98" customWidth="1"/>
    <col min="15114" max="15360" width="9.140625" style="98"/>
    <col min="15361" max="15361" width="12.140625" style="98" customWidth="1"/>
    <col min="15362" max="15362" width="12.85546875" style="98" customWidth="1"/>
    <col min="15363" max="15363" width="17.28515625" style="98" customWidth="1"/>
    <col min="15364" max="15364" width="19.28515625" style="98" customWidth="1"/>
    <col min="15365" max="15365" width="15.28515625" style="98" customWidth="1"/>
    <col min="15366" max="15366" width="18" style="98" customWidth="1"/>
    <col min="15367" max="15367" width="16" style="98" customWidth="1"/>
    <col min="15368" max="15368" width="13.42578125" style="98" bestFit="1" customWidth="1"/>
    <col min="15369" max="15369" width="66.140625" style="98" customWidth="1"/>
    <col min="15370" max="15616" width="9.140625" style="98"/>
    <col min="15617" max="15617" width="12.140625" style="98" customWidth="1"/>
    <col min="15618" max="15618" width="12.85546875" style="98" customWidth="1"/>
    <col min="15619" max="15619" width="17.28515625" style="98" customWidth="1"/>
    <col min="15620" max="15620" width="19.28515625" style="98" customWidth="1"/>
    <col min="15621" max="15621" width="15.28515625" style="98" customWidth="1"/>
    <col min="15622" max="15622" width="18" style="98" customWidth="1"/>
    <col min="15623" max="15623" width="16" style="98" customWidth="1"/>
    <col min="15624" max="15624" width="13.42578125" style="98" bestFit="1" customWidth="1"/>
    <col min="15625" max="15625" width="66.140625" style="98" customWidth="1"/>
    <col min="15626" max="15872" width="9.140625" style="98"/>
    <col min="15873" max="15873" width="12.140625" style="98" customWidth="1"/>
    <col min="15874" max="15874" width="12.85546875" style="98" customWidth="1"/>
    <col min="15875" max="15875" width="17.28515625" style="98" customWidth="1"/>
    <col min="15876" max="15876" width="19.28515625" style="98" customWidth="1"/>
    <col min="15877" max="15877" width="15.28515625" style="98" customWidth="1"/>
    <col min="15878" max="15878" width="18" style="98" customWidth="1"/>
    <col min="15879" max="15879" width="16" style="98" customWidth="1"/>
    <col min="15880" max="15880" width="13.42578125" style="98" bestFit="1" customWidth="1"/>
    <col min="15881" max="15881" width="66.140625" style="98" customWidth="1"/>
    <col min="15882" max="16128" width="9.140625" style="98"/>
    <col min="16129" max="16129" width="12.140625" style="98" customWidth="1"/>
    <col min="16130" max="16130" width="12.85546875" style="98" customWidth="1"/>
    <col min="16131" max="16131" width="17.28515625" style="98" customWidth="1"/>
    <col min="16132" max="16132" width="19.28515625" style="98" customWidth="1"/>
    <col min="16133" max="16133" width="15.28515625" style="98" customWidth="1"/>
    <col min="16134" max="16134" width="18" style="98" customWidth="1"/>
    <col min="16135" max="16135" width="16" style="98" customWidth="1"/>
    <col min="16136" max="16136" width="13.42578125" style="98" bestFit="1" customWidth="1"/>
    <col min="16137" max="16137" width="66.140625" style="98" customWidth="1"/>
    <col min="16138" max="16384" width="9.140625" style="98"/>
  </cols>
  <sheetData>
    <row r="1" spans="1:14" customFormat="1" x14ac:dyDescent="0.25"/>
    <row r="2" spans="1:14" customFormat="1" x14ac:dyDescent="0.25"/>
    <row r="3" spans="1:14" customFormat="1" x14ac:dyDescent="0.25"/>
    <row r="4" spans="1:14" customFormat="1" x14ac:dyDescent="0.25"/>
    <row r="5" spans="1:14" customFormat="1" x14ac:dyDescent="0.25"/>
    <row r="6" spans="1:14" customFormat="1" x14ac:dyDescent="0.25"/>
    <row r="7" spans="1:14" customFormat="1" x14ac:dyDescent="0.25"/>
    <row r="8" spans="1:14" customFormat="1" x14ac:dyDescent="0.25"/>
    <row r="9" spans="1:14" customFormat="1" x14ac:dyDescent="0.25"/>
    <row r="10" spans="1:14" customFormat="1" x14ac:dyDescent="0.25"/>
    <row r="11" spans="1:14" customFormat="1" x14ac:dyDescent="0.25"/>
    <row r="12" spans="1:14" customFormat="1" x14ac:dyDescent="0.25"/>
    <row r="13" spans="1:14" customFormat="1" x14ac:dyDescent="0.25"/>
    <row r="14" spans="1:14" customFormat="1" x14ac:dyDescent="0.25"/>
    <row r="15" spans="1:14" s="97" customFormat="1" x14ac:dyDescent="0.25">
      <c r="A15"/>
      <c r="B15" s="96" t="s">
        <v>844</v>
      </c>
      <c r="C15" s="96" t="s">
        <v>625</v>
      </c>
      <c r="D15" s="96" t="s">
        <v>905</v>
      </c>
      <c r="E15" s="96" t="s">
        <v>629</v>
      </c>
      <c r="F15" s="96" t="s">
        <v>842</v>
      </c>
      <c r="G15" s="96" t="s">
        <v>843</v>
      </c>
      <c r="H15" s="96" t="s">
        <v>629</v>
      </c>
      <c r="I15" s="96" t="s">
        <v>626</v>
      </c>
      <c r="J15" s="96" t="s">
        <v>627</v>
      </c>
      <c r="K15" s="96" t="s">
        <v>628</v>
      </c>
    </row>
    <row r="16" spans="1:14" x14ac:dyDescent="0.25">
      <c r="B16" s="98" t="s">
        <v>845</v>
      </c>
      <c r="C16" s="98" t="s">
        <v>618</v>
      </c>
      <c r="D16" s="98" t="s">
        <v>631</v>
      </c>
      <c r="E16" s="98" t="s">
        <v>265</v>
      </c>
      <c r="F16" s="98" t="s">
        <v>632</v>
      </c>
      <c r="G16" s="98">
        <v>1</v>
      </c>
      <c r="H16" s="98" t="str">
        <f t="shared" ref="H16:H21" si="0">HYPERLINK("http://rms/perspective.req?projectId=233&amp;docId=959495","BSS-TC-23223 TC_OBI_017_CR109_PM1.4_Exempted_CH_detail_Report_Filters_multi selection Validation")</f>
        <v>BSS-TC-23223 TC_OBI_017_CR109_PM1.4_Exempted_CH_detail_Report_Filters_multi selection Validation</v>
      </c>
      <c r="I16" s="98" t="s">
        <v>630</v>
      </c>
      <c r="J16" s="98" t="s">
        <v>266</v>
      </c>
      <c r="K16" s="98" t="s">
        <v>631</v>
      </c>
      <c r="L16" s="3"/>
      <c r="M16" s="3"/>
      <c r="N16" s="100"/>
    </row>
    <row r="17" spans="2:14" x14ac:dyDescent="0.25">
      <c r="B17" s="98" t="s">
        <v>845</v>
      </c>
      <c r="C17" s="98" t="s">
        <v>618</v>
      </c>
      <c r="D17" s="98" t="s">
        <v>631</v>
      </c>
      <c r="E17" s="98" t="s">
        <v>267</v>
      </c>
      <c r="F17" s="98" t="s">
        <v>632</v>
      </c>
      <c r="G17" s="98">
        <v>2</v>
      </c>
      <c r="H17" s="98" t="str">
        <f t="shared" si="0"/>
        <v>BSS-TC-23223 TC_OBI_017_CR109_PM1.4_Exempted_CH_detail_Report_Filters_multi selection Validation</v>
      </c>
      <c r="I17" s="98" t="s">
        <v>630</v>
      </c>
      <c r="J17" s="98" t="s">
        <v>27</v>
      </c>
      <c r="K17" s="98" t="s">
        <v>631</v>
      </c>
      <c r="L17" s="3"/>
      <c r="M17" s="3"/>
      <c r="N17" s="100"/>
    </row>
    <row r="18" spans="2:14" x14ac:dyDescent="0.25">
      <c r="B18" s="98" t="s">
        <v>845</v>
      </c>
      <c r="C18" s="98" t="s">
        <v>618</v>
      </c>
      <c r="D18" s="98" t="s">
        <v>631</v>
      </c>
      <c r="E18" s="98" t="s">
        <v>268</v>
      </c>
      <c r="F18" s="98" t="s">
        <v>632</v>
      </c>
      <c r="G18" s="98">
        <v>3</v>
      </c>
      <c r="H18" s="98" t="str">
        <f t="shared" si="0"/>
        <v>BSS-TC-23223 TC_OBI_017_CR109_PM1.4_Exempted_CH_detail_Report_Filters_multi selection Validation</v>
      </c>
      <c r="I18" s="98" t="s">
        <v>630</v>
      </c>
      <c r="J18" s="98" t="s">
        <v>270</v>
      </c>
      <c r="K18" s="98" t="s">
        <v>269</v>
      </c>
      <c r="L18" s="3"/>
      <c r="M18" s="3"/>
      <c r="N18" s="100"/>
    </row>
    <row r="19" spans="2:14" x14ac:dyDescent="0.25">
      <c r="B19" s="98" t="s">
        <v>845</v>
      </c>
      <c r="C19" s="98" t="s">
        <v>618</v>
      </c>
      <c r="D19" s="98" t="s">
        <v>631</v>
      </c>
      <c r="E19" s="98" t="s">
        <v>271</v>
      </c>
      <c r="F19" s="98" t="s">
        <v>632</v>
      </c>
      <c r="G19" s="98">
        <v>4</v>
      </c>
      <c r="H19" s="98" t="str">
        <f t="shared" si="0"/>
        <v>BSS-TC-23223 TC_OBI_017_CR109_PM1.4_Exempted_CH_detail_Report_Filters_multi selection Validation</v>
      </c>
      <c r="I19" s="98" t="s">
        <v>630</v>
      </c>
      <c r="J19" s="98" t="s">
        <v>53</v>
      </c>
      <c r="K19" s="98" t="s">
        <v>272</v>
      </c>
      <c r="L19" s="3"/>
      <c r="M19" s="3"/>
      <c r="N19" s="100"/>
    </row>
    <row r="20" spans="2:14" x14ac:dyDescent="0.25">
      <c r="B20" s="98" t="s">
        <v>845</v>
      </c>
      <c r="C20" s="98" t="s">
        <v>618</v>
      </c>
      <c r="D20" s="98" t="s">
        <v>631</v>
      </c>
      <c r="E20" s="98" t="s">
        <v>273</v>
      </c>
      <c r="F20" s="98" t="s">
        <v>632</v>
      </c>
      <c r="G20" s="98">
        <v>5</v>
      </c>
      <c r="H20" s="98" t="str">
        <f t="shared" si="0"/>
        <v>BSS-TC-23223 TC_OBI_017_CR109_PM1.4_Exempted_CH_detail_Report_Filters_multi selection Validation</v>
      </c>
      <c r="I20" s="98" t="s">
        <v>630</v>
      </c>
      <c r="J20" s="98" t="s">
        <v>633</v>
      </c>
      <c r="K20" s="98" t="s">
        <v>274</v>
      </c>
      <c r="L20" s="3"/>
      <c r="M20" s="3"/>
      <c r="N20" s="100"/>
    </row>
    <row r="21" spans="2:14" x14ac:dyDescent="0.25">
      <c r="B21" s="98" t="s">
        <v>845</v>
      </c>
      <c r="C21" s="98" t="s">
        <v>618</v>
      </c>
      <c r="D21" s="98" t="s">
        <v>631</v>
      </c>
      <c r="E21" s="98" t="s">
        <v>276</v>
      </c>
      <c r="F21" s="98" t="s">
        <v>632</v>
      </c>
      <c r="G21" s="98">
        <v>6</v>
      </c>
      <c r="H21" s="98" t="str">
        <f t="shared" si="0"/>
        <v>BSS-TC-23223 TC_OBI_017_CR109_PM1.4_Exempted_CH_detail_Report_Filters_multi selection Validation</v>
      </c>
      <c r="I21" s="98" t="s">
        <v>630</v>
      </c>
      <c r="J21" s="98" t="s">
        <v>634</v>
      </c>
      <c r="K21" s="98" t="s">
        <v>277</v>
      </c>
      <c r="L21" s="3"/>
      <c r="M21" s="3"/>
      <c r="N21" s="100"/>
    </row>
    <row r="22" spans="2:14" x14ac:dyDescent="0.25">
      <c r="B22" s="98" t="s">
        <v>846</v>
      </c>
      <c r="C22" s="98" t="s">
        <v>192</v>
      </c>
      <c r="D22" s="98" t="s">
        <v>631</v>
      </c>
      <c r="E22" s="98" t="s">
        <v>635</v>
      </c>
      <c r="F22" s="98" t="s">
        <v>636</v>
      </c>
      <c r="G22" s="98">
        <v>1</v>
      </c>
      <c r="H22" s="98" t="str">
        <f t="shared" ref="H22:H38" si="1">HYPERLINK("http://rms/perspective.req?projectId=233&amp;docId=959422","BSS-TC-23193 TC_OBI_PM1.4_005_CH_Manual PM override_ Total to Missed")</f>
        <v>BSS-TC-23193 TC_OBI_PM1.4_005_CH_Manual PM override_ Total to Missed</v>
      </c>
      <c r="I22" s="98" t="s">
        <v>630</v>
      </c>
      <c r="J22" s="98" t="s">
        <v>631</v>
      </c>
      <c r="K22" s="98" t="s">
        <v>523</v>
      </c>
      <c r="L22" s="3"/>
      <c r="M22" s="3"/>
      <c r="N22" s="100"/>
    </row>
    <row r="23" spans="2:14" x14ac:dyDescent="0.25">
      <c r="B23" s="98" t="s">
        <v>846</v>
      </c>
      <c r="C23" s="98" t="s">
        <v>192</v>
      </c>
      <c r="D23" s="98" t="s">
        <v>631</v>
      </c>
      <c r="E23" s="98" t="s">
        <v>18</v>
      </c>
      <c r="F23" s="98" t="s">
        <v>636</v>
      </c>
      <c r="G23" s="98">
        <v>2</v>
      </c>
      <c r="H23" s="98" t="str">
        <f t="shared" si="1"/>
        <v>BSS-TC-23193 TC_OBI_PM1.4_005_CH_Manual PM override_ Total to Missed</v>
      </c>
      <c r="I23" s="98" t="s">
        <v>630</v>
      </c>
      <c r="J23" s="98" t="s">
        <v>20</v>
      </c>
      <c r="K23" s="98" t="s">
        <v>631</v>
      </c>
      <c r="L23" s="3"/>
      <c r="M23" s="3"/>
      <c r="N23" s="100"/>
    </row>
    <row r="24" spans="2:14" x14ac:dyDescent="0.25">
      <c r="B24" s="98" t="s">
        <v>846</v>
      </c>
      <c r="C24" s="98" t="s">
        <v>192</v>
      </c>
      <c r="D24" s="98" t="s">
        <v>631</v>
      </c>
      <c r="E24" s="98" t="s">
        <v>21</v>
      </c>
      <c r="F24" s="98" t="s">
        <v>636</v>
      </c>
      <c r="G24" s="98">
        <v>3</v>
      </c>
      <c r="H24" s="98" t="str">
        <f t="shared" si="1"/>
        <v>BSS-TC-23193 TC_OBI_PM1.4_005_CH_Manual PM override_ Total to Missed</v>
      </c>
      <c r="I24" s="98" t="s">
        <v>630</v>
      </c>
      <c r="J24" s="98" t="s">
        <v>22</v>
      </c>
      <c r="K24" s="98" t="s">
        <v>631</v>
      </c>
      <c r="L24" s="3"/>
      <c r="M24" s="3"/>
      <c r="N24" s="100"/>
    </row>
    <row r="25" spans="2:14" x14ac:dyDescent="0.25">
      <c r="B25" s="98" t="s">
        <v>846</v>
      </c>
      <c r="C25" s="98" t="s">
        <v>192</v>
      </c>
      <c r="D25" s="98" t="s">
        <v>631</v>
      </c>
      <c r="E25" s="98" t="s">
        <v>155</v>
      </c>
      <c r="F25" s="98" t="s">
        <v>636</v>
      </c>
      <c r="G25" s="98">
        <v>4</v>
      </c>
      <c r="H25" s="98" t="str">
        <f t="shared" si="1"/>
        <v>BSS-TC-23193 TC_OBI_PM1.4_005_CH_Manual PM override_ Total to Missed</v>
      </c>
      <c r="I25" s="98" t="s">
        <v>630</v>
      </c>
      <c r="J25" s="98" t="s">
        <v>156</v>
      </c>
      <c r="K25" s="98" t="s">
        <v>631</v>
      </c>
      <c r="L25" s="3"/>
      <c r="M25" s="3"/>
      <c r="N25" s="100"/>
    </row>
    <row r="26" spans="2:14" x14ac:dyDescent="0.25">
      <c r="B26" s="98" t="s">
        <v>846</v>
      </c>
      <c r="C26" s="98" t="s">
        <v>192</v>
      </c>
      <c r="D26" s="98" t="s">
        <v>631</v>
      </c>
      <c r="E26" s="98" t="s">
        <v>169</v>
      </c>
      <c r="F26" s="98" t="s">
        <v>636</v>
      </c>
      <c r="G26" s="98">
        <v>5</v>
      </c>
      <c r="H26" s="98" t="str">
        <f t="shared" si="1"/>
        <v>BSS-TC-23193 TC_OBI_PM1.4_005_CH_Manual PM override_ Total to Missed</v>
      </c>
      <c r="I26" s="98" t="s">
        <v>630</v>
      </c>
      <c r="J26" s="98" t="s">
        <v>170</v>
      </c>
      <c r="K26" s="98" t="s">
        <v>631</v>
      </c>
      <c r="L26" s="3"/>
      <c r="M26" s="3"/>
      <c r="N26" s="100"/>
    </row>
    <row r="27" spans="2:14" x14ac:dyDescent="0.25">
      <c r="B27" s="98" t="s">
        <v>846</v>
      </c>
      <c r="C27" s="98" t="s">
        <v>192</v>
      </c>
      <c r="D27" s="98" t="s">
        <v>631</v>
      </c>
      <c r="E27" s="98" t="s">
        <v>171</v>
      </c>
      <c r="F27" s="98" t="s">
        <v>636</v>
      </c>
      <c r="G27" s="98">
        <v>6</v>
      </c>
      <c r="H27" s="98" t="str">
        <f t="shared" si="1"/>
        <v>BSS-TC-23193 TC_OBI_PM1.4_005_CH_Manual PM override_ Total to Missed</v>
      </c>
      <c r="I27" s="98" t="s">
        <v>630</v>
      </c>
      <c r="J27" s="98" t="s">
        <v>172</v>
      </c>
      <c r="K27" s="98" t="s">
        <v>631</v>
      </c>
      <c r="L27" s="3"/>
      <c r="M27" s="3"/>
      <c r="N27" s="100"/>
    </row>
    <row r="28" spans="2:14" x14ac:dyDescent="0.25">
      <c r="B28" s="98" t="s">
        <v>846</v>
      </c>
      <c r="C28" s="98" t="s">
        <v>192</v>
      </c>
      <c r="D28" s="98" t="s">
        <v>631</v>
      </c>
      <c r="E28" s="98" t="s">
        <v>45</v>
      </c>
      <c r="F28" s="98" t="s">
        <v>636</v>
      </c>
      <c r="G28" s="98">
        <v>7</v>
      </c>
      <c r="H28" s="98" t="str">
        <f t="shared" si="1"/>
        <v>BSS-TC-23193 TC_OBI_PM1.4_005_CH_Manual PM override_ Total to Missed</v>
      </c>
      <c r="I28" s="98" t="s">
        <v>630</v>
      </c>
      <c r="J28" s="98" t="s">
        <v>42</v>
      </c>
      <c r="K28" s="98" t="s">
        <v>631</v>
      </c>
      <c r="L28" s="3"/>
      <c r="M28" s="3"/>
      <c r="N28" s="100"/>
    </row>
    <row r="29" spans="2:14" x14ac:dyDescent="0.25">
      <c r="B29" s="98" t="s">
        <v>846</v>
      </c>
      <c r="C29" s="98" t="s">
        <v>192</v>
      </c>
      <c r="D29" s="98" t="s">
        <v>631</v>
      </c>
      <c r="E29" s="98" t="s">
        <v>568</v>
      </c>
      <c r="F29" s="98" t="s">
        <v>636</v>
      </c>
      <c r="G29" s="98">
        <v>8</v>
      </c>
      <c r="H29" s="98" t="str">
        <f t="shared" si="1"/>
        <v>BSS-TC-23193 TC_OBI_PM1.4_005_CH_Manual PM override_ Total to Missed</v>
      </c>
      <c r="I29" s="98" t="s">
        <v>630</v>
      </c>
      <c r="J29" s="98" t="s">
        <v>637</v>
      </c>
      <c r="K29" s="98" t="s">
        <v>78</v>
      </c>
      <c r="L29" s="3"/>
      <c r="M29" s="3"/>
      <c r="N29" s="100"/>
    </row>
    <row r="30" spans="2:14" x14ac:dyDescent="0.25">
      <c r="B30" s="98" t="s">
        <v>846</v>
      </c>
      <c r="C30" s="98" t="s">
        <v>192</v>
      </c>
      <c r="D30" s="98" t="s">
        <v>631</v>
      </c>
      <c r="E30" s="98" t="s">
        <v>552</v>
      </c>
      <c r="F30" s="98" t="s">
        <v>636</v>
      </c>
      <c r="G30" s="98">
        <v>9</v>
      </c>
      <c r="H30" s="98" t="str">
        <f t="shared" si="1"/>
        <v>BSS-TC-23193 TC_OBI_PM1.4_005_CH_Manual PM override_ Total to Missed</v>
      </c>
      <c r="I30" s="98" t="s">
        <v>630</v>
      </c>
      <c r="J30" s="98" t="s">
        <v>157</v>
      </c>
      <c r="K30" s="98" t="s">
        <v>631</v>
      </c>
      <c r="L30" s="3"/>
      <c r="M30" s="3"/>
      <c r="N30" s="100"/>
    </row>
    <row r="31" spans="2:14" x14ac:dyDescent="0.25">
      <c r="B31" s="98" t="s">
        <v>846</v>
      </c>
      <c r="C31" s="98" t="s">
        <v>192</v>
      </c>
      <c r="D31" s="98" t="s">
        <v>631</v>
      </c>
      <c r="E31" s="98" t="s">
        <v>194</v>
      </c>
      <c r="F31" s="98" t="s">
        <v>636</v>
      </c>
      <c r="G31" s="98">
        <v>10</v>
      </c>
      <c r="H31" s="98" t="str">
        <f t="shared" si="1"/>
        <v>BSS-TC-23193 TC_OBI_PM1.4_005_CH_Manual PM override_ Total to Missed</v>
      </c>
      <c r="I31" s="98" t="s">
        <v>630</v>
      </c>
      <c r="J31" s="98" t="s">
        <v>631</v>
      </c>
      <c r="K31" s="98" t="s">
        <v>159</v>
      </c>
      <c r="L31" s="3"/>
      <c r="M31" s="3"/>
      <c r="N31" s="100"/>
    </row>
    <row r="32" spans="2:14" x14ac:dyDescent="0.25">
      <c r="B32" s="98" t="s">
        <v>846</v>
      </c>
      <c r="C32" s="98" t="s">
        <v>192</v>
      </c>
      <c r="D32" s="98" t="s">
        <v>631</v>
      </c>
      <c r="E32" s="98" t="s">
        <v>18</v>
      </c>
      <c r="F32" s="98" t="s">
        <v>636</v>
      </c>
      <c r="G32" s="98">
        <v>11</v>
      </c>
      <c r="H32" s="98" t="str">
        <f t="shared" si="1"/>
        <v>BSS-TC-23193 TC_OBI_PM1.4_005_CH_Manual PM override_ Total to Missed</v>
      </c>
      <c r="I32" s="98" t="s">
        <v>630</v>
      </c>
      <c r="J32" s="98" t="s">
        <v>20</v>
      </c>
      <c r="K32" s="98" t="s">
        <v>631</v>
      </c>
      <c r="L32" s="3"/>
      <c r="M32" s="3"/>
      <c r="N32" s="100"/>
    </row>
    <row r="33" spans="2:14" x14ac:dyDescent="0.25">
      <c r="B33" s="98" t="s">
        <v>846</v>
      </c>
      <c r="C33" s="98" t="s">
        <v>192</v>
      </c>
      <c r="D33" s="98" t="s">
        <v>631</v>
      </c>
      <c r="E33" s="98" t="s">
        <v>21</v>
      </c>
      <c r="F33" s="98" t="s">
        <v>636</v>
      </c>
      <c r="G33" s="98">
        <v>12</v>
      </c>
      <c r="H33" s="98" t="str">
        <f t="shared" si="1"/>
        <v>BSS-TC-23193 TC_OBI_PM1.4_005_CH_Manual PM override_ Total to Missed</v>
      </c>
      <c r="I33" s="98" t="s">
        <v>630</v>
      </c>
      <c r="J33" s="98" t="s">
        <v>22</v>
      </c>
      <c r="K33" s="98" t="s">
        <v>631</v>
      </c>
      <c r="L33" s="3"/>
      <c r="M33" s="3"/>
      <c r="N33" s="100"/>
    </row>
    <row r="34" spans="2:14" x14ac:dyDescent="0.25">
      <c r="B34" s="98" t="s">
        <v>846</v>
      </c>
      <c r="C34" s="98" t="s">
        <v>192</v>
      </c>
      <c r="D34" s="98" t="s">
        <v>631</v>
      </c>
      <c r="E34" s="98" t="s">
        <v>23</v>
      </c>
      <c r="F34" s="98" t="s">
        <v>636</v>
      </c>
      <c r="G34" s="98">
        <v>13</v>
      </c>
      <c r="H34" s="98" t="str">
        <f t="shared" si="1"/>
        <v>BSS-TC-23193 TC_OBI_PM1.4_005_CH_Manual PM override_ Total to Missed</v>
      </c>
      <c r="I34" s="98" t="s">
        <v>630</v>
      </c>
      <c r="J34" s="98" t="s">
        <v>41</v>
      </c>
      <c r="K34" s="98" t="s">
        <v>631</v>
      </c>
      <c r="L34" s="3"/>
      <c r="M34" s="3"/>
      <c r="N34" s="100"/>
    </row>
    <row r="35" spans="2:14" x14ac:dyDescent="0.25">
      <c r="B35" s="98" t="s">
        <v>846</v>
      </c>
      <c r="C35" s="98" t="s">
        <v>192</v>
      </c>
      <c r="D35" s="98" t="s">
        <v>631</v>
      </c>
      <c r="E35" s="98" t="s">
        <v>76</v>
      </c>
      <c r="F35" s="98" t="s">
        <v>636</v>
      </c>
      <c r="G35" s="98">
        <v>14</v>
      </c>
      <c r="H35" s="98" t="str">
        <f t="shared" si="1"/>
        <v>BSS-TC-23193 TC_OBI_PM1.4_005_CH_Manual PM override_ Total to Missed</v>
      </c>
      <c r="I35" s="98" t="s">
        <v>630</v>
      </c>
      <c r="J35" s="98" t="s">
        <v>44</v>
      </c>
      <c r="K35" s="98" t="s">
        <v>631</v>
      </c>
      <c r="L35" s="3"/>
      <c r="M35" s="3"/>
      <c r="N35" s="100"/>
    </row>
    <row r="36" spans="2:14" x14ac:dyDescent="0.25">
      <c r="B36" s="98" t="s">
        <v>846</v>
      </c>
      <c r="C36" s="98" t="s">
        <v>192</v>
      </c>
      <c r="D36" s="98" t="s">
        <v>631</v>
      </c>
      <c r="E36" s="98" t="s">
        <v>25</v>
      </c>
      <c r="F36" s="98" t="s">
        <v>636</v>
      </c>
      <c r="G36" s="98">
        <v>15</v>
      </c>
      <c r="H36" s="98" t="str">
        <f t="shared" si="1"/>
        <v>BSS-TC-23193 TC_OBI_PM1.4_005_CH_Manual PM override_ Total to Missed</v>
      </c>
      <c r="I36" s="98" t="s">
        <v>630</v>
      </c>
      <c r="J36" s="98" t="s">
        <v>27</v>
      </c>
      <c r="K36" s="98" t="s">
        <v>631</v>
      </c>
      <c r="L36" s="3"/>
      <c r="M36" s="3"/>
      <c r="N36" s="100"/>
    </row>
    <row r="37" spans="2:14" x14ac:dyDescent="0.25">
      <c r="B37" s="98" t="s">
        <v>846</v>
      </c>
      <c r="C37" s="98" t="s">
        <v>192</v>
      </c>
      <c r="D37" s="98" t="s">
        <v>631</v>
      </c>
      <c r="E37" s="98" t="s">
        <v>45</v>
      </c>
      <c r="F37" s="98" t="s">
        <v>636</v>
      </c>
      <c r="G37" s="98">
        <v>16</v>
      </c>
      <c r="H37" s="98" t="str">
        <f t="shared" si="1"/>
        <v>BSS-TC-23193 TC_OBI_PM1.4_005_CH_Manual PM override_ Total to Missed</v>
      </c>
      <c r="I37" s="98" t="s">
        <v>630</v>
      </c>
      <c r="J37" s="98" t="s">
        <v>42</v>
      </c>
      <c r="K37" s="98" t="s">
        <v>631</v>
      </c>
      <c r="L37" s="3"/>
      <c r="M37" s="3"/>
      <c r="N37" s="100"/>
    </row>
    <row r="38" spans="2:14" x14ac:dyDescent="0.25">
      <c r="B38" s="98" t="s">
        <v>846</v>
      </c>
      <c r="C38" s="98" t="s">
        <v>192</v>
      </c>
      <c r="D38" s="98" t="s">
        <v>631</v>
      </c>
      <c r="E38" s="98" t="s">
        <v>568</v>
      </c>
      <c r="F38" s="98" t="s">
        <v>636</v>
      </c>
      <c r="G38" s="98">
        <v>17</v>
      </c>
      <c r="H38" s="98" t="str">
        <f t="shared" si="1"/>
        <v>BSS-TC-23193 TC_OBI_PM1.4_005_CH_Manual PM override_ Total to Missed</v>
      </c>
      <c r="I38" s="98" t="s">
        <v>630</v>
      </c>
      <c r="J38" s="98" t="s">
        <v>638</v>
      </c>
      <c r="K38" s="98" t="s">
        <v>631</v>
      </c>
      <c r="L38" s="3"/>
      <c r="M38" s="3"/>
      <c r="N38" s="100"/>
    </row>
    <row r="39" spans="2:14" x14ac:dyDescent="0.25">
      <c r="B39" s="98" t="s">
        <v>847</v>
      </c>
      <c r="C39" s="98" t="s">
        <v>454</v>
      </c>
      <c r="D39" s="98" t="s">
        <v>631</v>
      </c>
      <c r="E39" s="98" t="s">
        <v>456</v>
      </c>
      <c r="F39" s="98" t="s">
        <v>455</v>
      </c>
      <c r="G39" s="98">
        <v>1</v>
      </c>
      <c r="H39" s="98" t="str">
        <f t="shared" ref="H39:H51" si="2">HYPERLINK("http://rms/perspective.req?projectId=233&amp;docId=959412","BSS-TC-23183 TC_OBI_PMRBE_002_CR_109_PM 1.4_Summary report_Email Functionality_ ASL&lt;TSL")</f>
        <v>BSS-TC-23183 TC_OBI_PMRBE_002_CR_109_PM 1.4_Summary report_Email Functionality_ ASL&lt;TSL</v>
      </c>
      <c r="I39" s="98" t="s">
        <v>630</v>
      </c>
      <c r="J39" s="98" t="s">
        <v>80</v>
      </c>
      <c r="K39" s="98" t="s">
        <v>631</v>
      </c>
      <c r="L39" s="3"/>
      <c r="M39" s="3"/>
      <c r="N39" s="100"/>
    </row>
    <row r="40" spans="2:14" x14ac:dyDescent="0.25">
      <c r="B40" s="98" t="s">
        <v>847</v>
      </c>
      <c r="C40" s="98" t="s">
        <v>454</v>
      </c>
      <c r="D40" s="98" t="s">
        <v>631</v>
      </c>
      <c r="E40" s="98" t="s">
        <v>435</v>
      </c>
      <c r="F40" s="98" t="s">
        <v>455</v>
      </c>
      <c r="G40" s="98">
        <v>2</v>
      </c>
      <c r="H40" s="98" t="str">
        <f t="shared" si="2"/>
        <v>BSS-TC-23183 TC_OBI_PMRBE_002_CR_109_PM 1.4_Summary report_Email Functionality_ ASL&lt;TSL</v>
      </c>
      <c r="I40" s="98" t="s">
        <v>630</v>
      </c>
      <c r="J40" s="98" t="s">
        <v>80</v>
      </c>
      <c r="K40" s="98" t="s">
        <v>631</v>
      </c>
      <c r="L40" s="3"/>
      <c r="M40" s="3"/>
      <c r="N40" s="100"/>
    </row>
    <row r="41" spans="2:14" x14ac:dyDescent="0.25">
      <c r="B41" s="98" t="s">
        <v>847</v>
      </c>
      <c r="C41" s="98" t="s">
        <v>454</v>
      </c>
      <c r="D41" s="98" t="s">
        <v>631</v>
      </c>
      <c r="E41" s="98" t="s">
        <v>639</v>
      </c>
      <c r="F41" s="98" t="s">
        <v>455</v>
      </c>
      <c r="G41" s="98">
        <v>3</v>
      </c>
      <c r="H41" s="98" t="str">
        <f t="shared" si="2"/>
        <v>BSS-TC-23183 TC_OBI_PMRBE_002_CR_109_PM 1.4_Summary report_Email Functionality_ ASL&lt;TSL</v>
      </c>
      <c r="I41" s="98" t="s">
        <v>630</v>
      </c>
      <c r="J41" s="98" t="s">
        <v>80</v>
      </c>
      <c r="K41" s="98" t="s">
        <v>631</v>
      </c>
      <c r="L41" s="3"/>
      <c r="M41" s="3"/>
      <c r="N41" s="100"/>
    </row>
    <row r="42" spans="2:14" x14ac:dyDescent="0.25">
      <c r="B42" s="98" t="s">
        <v>847</v>
      </c>
      <c r="C42" s="98" t="s">
        <v>454</v>
      </c>
      <c r="D42" s="98" t="s">
        <v>631</v>
      </c>
      <c r="E42" s="98" t="s">
        <v>437</v>
      </c>
      <c r="F42" s="98" t="s">
        <v>455</v>
      </c>
      <c r="G42" s="98">
        <v>4</v>
      </c>
      <c r="H42" s="98" t="str">
        <f t="shared" si="2"/>
        <v>BSS-TC-23183 TC_OBI_PMRBE_002_CR_109_PM 1.4_Summary report_Email Functionality_ ASL&lt;TSL</v>
      </c>
      <c r="I42" s="98" t="s">
        <v>630</v>
      </c>
      <c r="J42" s="98" t="s">
        <v>640</v>
      </c>
      <c r="K42" s="98" t="s">
        <v>631</v>
      </c>
      <c r="L42" s="3"/>
      <c r="M42" s="3"/>
      <c r="N42" s="100"/>
    </row>
    <row r="43" spans="2:14" x14ac:dyDescent="0.25">
      <c r="B43" s="98" t="s">
        <v>847</v>
      </c>
      <c r="C43" s="98" t="s">
        <v>454</v>
      </c>
      <c r="D43" s="98" t="s">
        <v>631</v>
      </c>
      <c r="E43" s="98" t="s">
        <v>439</v>
      </c>
      <c r="F43" s="98" t="s">
        <v>455</v>
      </c>
      <c r="G43" s="98">
        <v>5</v>
      </c>
      <c r="H43" s="98" t="str">
        <f t="shared" si="2"/>
        <v>BSS-TC-23183 TC_OBI_PMRBE_002_CR_109_PM 1.4_Summary report_Email Functionality_ ASL&lt;TSL</v>
      </c>
      <c r="I43" s="98" t="s">
        <v>630</v>
      </c>
      <c r="J43" s="98" t="s">
        <v>641</v>
      </c>
      <c r="K43" s="98" t="s">
        <v>631</v>
      </c>
      <c r="L43" s="3"/>
      <c r="M43" s="3"/>
      <c r="N43" s="100"/>
    </row>
    <row r="44" spans="2:14" x14ac:dyDescent="0.25">
      <c r="B44" s="98" t="s">
        <v>847</v>
      </c>
      <c r="C44" s="98" t="s">
        <v>454</v>
      </c>
      <c r="D44" s="98" t="s">
        <v>631</v>
      </c>
      <c r="E44" s="98" t="s">
        <v>441</v>
      </c>
      <c r="F44" s="98" t="s">
        <v>455</v>
      </c>
      <c r="G44" s="98">
        <v>6</v>
      </c>
      <c r="H44" s="98" t="str">
        <f t="shared" si="2"/>
        <v>BSS-TC-23183 TC_OBI_PMRBE_002_CR_109_PM 1.4_Summary report_Email Functionality_ ASL&lt;TSL</v>
      </c>
      <c r="I44" s="98" t="s">
        <v>630</v>
      </c>
      <c r="J44" s="98" t="s">
        <v>442</v>
      </c>
      <c r="K44" s="98" t="s">
        <v>631</v>
      </c>
      <c r="L44" s="3"/>
      <c r="M44" s="3"/>
      <c r="N44" s="100"/>
    </row>
    <row r="45" spans="2:14" x14ac:dyDescent="0.25">
      <c r="B45" s="98" t="s">
        <v>847</v>
      </c>
      <c r="C45" s="98" t="s">
        <v>454</v>
      </c>
      <c r="D45" s="98" t="s">
        <v>631</v>
      </c>
      <c r="E45" s="98" t="s">
        <v>443</v>
      </c>
      <c r="F45" s="98" t="s">
        <v>455</v>
      </c>
      <c r="G45" s="98">
        <v>7</v>
      </c>
      <c r="H45" s="98" t="str">
        <f t="shared" si="2"/>
        <v>BSS-TC-23183 TC_OBI_PMRBE_002_CR_109_PM 1.4_Summary report_Email Functionality_ ASL&lt;TSL</v>
      </c>
      <c r="I45" s="98" t="s">
        <v>630</v>
      </c>
      <c r="J45" s="98" t="s">
        <v>642</v>
      </c>
      <c r="K45" s="98" t="s">
        <v>631</v>
      </c>
      <c r="L45" s="3"/>
      <c r="M45" s="3"/>
      <c r="N45" s="100"/>
    </row>
    <row r="46" spans="2:14" x14ac:dyDescent="0.25">
      <c r="B46" s="98" t="s">
        <v>847</v>
      </c>
      <c r="C46" s="98" t="s">
        <v>454</v>
      </c>
      <c r="D46" s="98" t="s">
        <v>631</v>
      </c>
      <c r="E46" s="98" t="s">
        <v>445</v>
      </c>
      <c r="F46" s="98" t="s">
        <v>455</v>
      </c>
      <c r="G46" s="98">
        <v>8</v>
      </c>
      <c r="H46" s="98" t="str">
        <f t="shared" si="2"/>
        <v>BSS-TC-23183 TC_OBI_PMRBE_002_CR_109_PM 1.4_Summary report_Email Functionality_ ASL&lt;TSL</v>
      </c>
      <c r="I46" s="98" t="s">
        <v>630</v>
      </c>
      <c r="J46" s="98" t="s">
        <v>447</v>
      </c>
      <c r="K46" s="98" t="s">
        <v>446</v>
      </c>
      <c r="L46" s="3"/>
      <c r="M46" s="3"/>
      <c r="N46" s="100"/>
    </row>
    <row r="47" spans="2:14" x14ac:dyDescent="0.25">
      <c r="B47" s="98" t="s">
        <v>847</v>
      </c>
      <c r="C47" s="98" t="s">
        <v>454</v>
      </c>
      <c r="D47" s="98" t="s">
        <v>631</v>
      </c>
      <c r="E47" s="98" t="s">
        <v>18</v>
      </c>
      <c r="F47" s="98" t="s">
        <v>455</v>
      </c>
      <c r="G47" s="98">
        <v>9</v>
      </c>
      <c r="H47" s="98" t="str">
        <f t="shared" si="2"/>
        <v>BSS-TC-23183 TC_OBI_PMRBE_002_CR_109_PM 1.4_Summary report_Email Functionality_ ASL&lt;TSL</v>
      </c>
      <c r="I47" s="98" t="s">
        <v>630</v>
      </c>
      <c r="J47" s="98" t="s">
        <v>20</v>
      </c>
      <c r="K47" s="98" t="s">
        <v>631</v>
      </c>
      <c r="L47" s="3"/>
      <c r="M47" s="3"/>
      <c r="N47" s="100"/>
    </row>
    <row r="48" spans="2:14" x14ac:dyDescent="0.25">
      <c r="B48" s="98" t="s">
        <v>847</v>
      </c>
      <c r="C48" s="98" t="s">
        <v>454</v>
      </c>
      <c r="D48" s="98" t="s">
        <v>631</v>
      </c>
      <c r="E48" s="98" t="s">
        <v>21</v>
      </c>
      <c r="F48" s="98" t="s">
        <v>455</v>
      </c>
      <c r="G48" s="98">
        <v>10</v>
      </c>
      <c r="H48" s="98" t="str">
        <f t="shared" si="2"/>
        <v>BSS-TC-23183 TC_OBI_PMRBE_002_CR_109_PM 1.4_Summary report_Email Functionality_ ASL&lt;TSL</v>
      </c>
      <c r="I48" s="98" t="s">
        <v>630</v>
      </c>
      <c r="J48" s="98" t="s">
        <v>448</v>
      </c>
      <c r="K48" s="98" t="s">
        <v>631</v>
      </c>
      <c r="L48" s="3"/>
      <c r="M48" s="3"/>
      <c r="N48" s="100"/>
    </row>
    <row r="49" spans="2:14" x14ac:dyDescent="0.25">
      <c r="B49" s="98" t="s">
        <v>847</v>
      </c>
      <c r="C49" s="98" t="s">
        <v>454</v>
      </c>
      <c r="D49" s="98" t="s">
        <v>631</v>
      </c>
      <c r="E49" s="98" t="s">
        <v>449</v>
      </c>
      <c r="F49" s="98" t="s">
        <v>455</v>
      </c>
      <c r="G49" s="98">
        <v>11</v>
      </c>
      <c r="H49" s="98" t="str">
        <f t="shared" si="2"/>
        <v>BSS-TC-23183 TC_OBI_PMRBE_002_CR_109_PM 1.4_Summary report_Email Functionality_ ASL&lt;TSL</v>
      </c>
      <c r="I49" s="98" t="s">
        <v>630</v>
      </c>
      <c r="J49" s="98" t="s">
        <v>450</v>
      </c>
      <c r="K49" s="98" t="s">
        <v>631</v>
      </c>
      <c r="L49" s="3"/>
      <c r="M49" s="3"/>
      <c r="N49" s="100"/>
    </row>
    <row r="50" spans="2:14" x14ac:dyDescent="0.25">
      <c r="B50" s="98" t="s">
        <v>847</v>
      </c>
      <c r="C50" s="98" t="s">
        <v>454</v>
      </c>
      <c r="D50" s="98" t="s">
        <v>631</v>
      </c>
      <c r="E50" s="98" t="s">
        <v>171</v>
      </c>
      <c r="F50" s="98" t="s">
        <v>455</v>
      </c>
      <c r="G50" s="98">
        <v>12</v>
      </c>
      <c r="H50" s="98" t="str">
        <f t="shared" si="2"/>
        <v>BSS-TC-23183 TC_OBI_PMRBE_002_CR_109_PM 1.4_Summary report_Email Functionality_ ASL&lt;TSL</v>
      </c>
      <c r="I50" s="98" t="s">
        <v>630</v>
      </c>
      <c r="J50" s="98" t="s">
        <v>172</v>
      </c>
      <c r="K50" s="98" t="s">
        <v>631</v>
      </c>
      <c r="L50" s="3"/>
      <c r="M50" s="3"/>
      <c r="N50" s="100"/>
    </row>
    <row r="51" spans="2:14" x14ac:dyDescent="0.25">
      <c r="B51" s="98" t="s">
        <v>847</v>
      </c>
      <c r="C51" s="98" t="s">
        <v>454</v>
      </c>
      <c r="D51" s="98" t="s">
        <v>631</v>
      </c>
      <c r="E51" s="98" t="s">
        <v>451</v>
      </c>
      <c r="F51" s="98" t="s">
        <v>455</v>
      </c>
      <c r="G51" s="98">
        <v>13</v>
      </c>
      <c r="H51" s="98" t="str">
        <f t="shared" si="2"/>
        <v>BSS-TC-23183 TC_OBI_PMRBE_002_CR_109_PM 1.4_Summary report_Email Functionality_ ASL&lt;TSL</v>
      </c>
      <c r="I51" s="98" t="s">
        <v>630</v>
      </c>
      <c r="J51" s="98" t="s">
        <v>458</v>
      </c>
      <c r="K51" s="98" t="s">
        <v>452</v>
      </c>
      <c r="L51" s="3"/>
      <c r="M51" s="3"/>
      <c r="N51" s="100"/>
    </row>
    <row r="52" spans="2:14" x14ac:dyDescent="0.25">
      <c r="B52" s="98" t="s">
        <v>848</v>
      </c>
      <c r="C52" s="98" t="s">
        <v>459</v>
      </c>
      <c r="D52" s="98" t="s">
        <v>631</v>
      </c>
      <c r="E52" s="98" t="s">
        <v>461</v>
      </c>
      <c r="F52" s="98" t="s">
        <v>460</v>
      </c>
      <c r="G52" s="98">
        <v>1</v>
      </c>
      <c r="H52" s="98" t="str">
        <f t="shared" ref="H52:H65" si="3">HYPERLINK("http://rms/perspective.req?projectId=233&amp;docId=959413","BSS-TC-23184 TC_OBI_PMRBE_003_CR_109_PM 1.4_Missed detail report_Email Functionality_ ASL&lt;TSL")</f>
        <v>BSS-TC-23184 TC_OBI_PMRBE_003_CR_109_PM 1.4_Missed detail report_Email Functionality_ ASL&lt;TSL</v>
      </c>
      <c r="I52" s="98" t="s">
        <v>630</v>
      </c>
      <c r="J52" s="98" t="s">
        <v>80</v>
      </c>
      <c r="K52" s="98" t="s">
        <v>631</v>
      </c>
      <c r="L52" s="3"/>
      <c r="M52" s="3"/>
      <c r="N52" s="100"/>
    </row>
    <row r="53" spans="2:14" x14ac:dyDescent="0.25">
      <c r="B53" s="98" t="s">
        <v>848</v>
      </c>
      <c r="C53" s="98" t="s">
        <v>459</v>
      </c>
      <c r="D53" s="98" t="s">
        <v>631</v>
      </c>
      <c r="E53" s="98" t="s">
        <v>435</v>
      </c>
      <c r="F53" s="98" t="s">
        <v>460</v>
      </c>
      <c r="G53" s="98">
        <v>2</v>
      </c>
      <c r="H53" s="98" t="str">
        <f t="shared" si="3"/>
        <v>BSS-TC-23184 TC_OBI_PMRBE_003_CR_109_PM 1.4_Missed detail report_Email Functionality_ ASL&lt;TSL</v>
      </c>
      <c r="I53" s="98" t="s">
        <v>630</v>
      </c>
      <c r="J53" s="98" t="s">
        <v>80</v>
      </c>
      <c r="K53" s="98" t="s">
        <v>631</v>
      </c>
      <c r="L53" s="3"/>
      <c r="M53" s="3"/>
      <c r="N53" s="100"/>
    </row>
    <row r="54" spans="2:14" x14ac:dyDescent="0.25">
      <c r="B54" s="98" t="s">
        <v>848</v>
      </c>
      <c r="C54" s="98" t="s">
        <v>459</v>
      </c>
      <c r="D54" s="98" t="s">
        <v>631</v>
      </c>
      <c r="E54" s="98" t="s">
        <v>639</v>
      </c>
      <c r="F54" s="98" t="s">
        <v>460</v>
      </c>
      <c r="G54" s="98">
        <v>3</v>
      </c>
      <c r="H54" s="98" t="str">
        <f t="shared" si="3"/>
        <v>BSS-TC-23184 TC_OBI_PMRBE_003_CR_109_PM 1.4_Missed detail report_Email Functionality_ ASL&lt;TSL</v>
      </c>
      <c r="I54" s="98" t="s">
        <v>630</v>
      </c>
      <c r="J54" s="98" t="s">
        <v>80</v>
      </c>
      <c r="K54" s="98" t="s">
        <v>631</v>
      </c>
      <c r="L54" s="3"/>
      <c r="M54" s="3"/>
      <c r="N54" s="100"/>
    </row>
    <row r="55" spans="2:14" x14ac:dyDescent="0.25">
      <c r="B55" s="98" t="s">
        <v>848</v>
      </c>
      <c r="C55" s="98" t="s">
        <v>459</v>
      </c>
      <c r="D55" s="98" t="s">
        <v>631</v>
      </c>
      <c r="E55" s="98" t="s">
        <v>462</v>
      </c>
      <c r="F55" s="98" t="s">
        <v>460</v>
      </c>
      <c r="G55" s="98">
        <v>4</v>
      </c>
      <c r="H55" s="98" t="str">
        <f t="shared" si="3"/>
        <v>BSS-TC-23184 TC_OBI_PMRBE_003_CR_109_PM 1.4_Missed detail report_Email Functionality_ ASL&lt;TSL</v>
      </c>
      <c r="I55" s="98" t="s">
        <v>630</v>
      </c>
      <c r="J55" s="98" t="s">
        <v>643</v>
      </c>
      <c r="K55" s="98" t="s">
        <v>631</v>
      </c>
      <c r="L55" s="3"/>
      <c r="M55" s="3"/>
      <c r="N55" s="100"/>
    </row>
    <row r="56" spans="2:14" x14ac:dyDescent="0.25">
      <c r="B56" s="98" t="s">
        <v>848</v>
      </c>
      <c r="C56" s="98" t="s">
        <v>459</v>
      </c>
      <c r="D56" s="98" t="s">
        <v>631</v>
      </c>
      <c r="E56" s="98" t="s">
        <v>439</v>
      </c>
      <c r="F56" s="98" t="s">
        <v>460</v>
      </c>
      <c r="G56" s="98">
        <v>5</v>
      </c>
      <c r="H56" s="98" t="str">
        <f t="shared" si="3"/>
        <v>BSS-TC-23184 TC_OBI_PMRBE_003_CR_109_PM 1.4_Missed detail report_Email Functionality_ ASL&lt;TSL</v>
      </c>
      <c r="I56" s="98" t="s">
        <v>630</v>
      </c>
      <c r="J56" s="98" t="s">
        <v>644</v>
      </c>
      <c r="K56" s="98" t="s">
        <v>631</v>
      </c>
      <c r="L56" s="3"/>
      <c r="M56" s="3"/>
      <c r="N56" s="100"/>
    </row>
    <row r="57" spans="2:14" x14ac:dyDescent="0.25">
      <c r="B57" s="98" t="s">
        <v>848</v>
      </c>
      <c r="C57" s="98" t="s">
        <v>459</v>
      </c>
      <c r="D57" s="98" t="s">
        <v>631</v>
      </c>
      <c r="E57" s="98" t="s">
        <v>465</v>
      </c>
      <c r="F57" s="98" t="s">
        <v>460</v>
      </c>
      <c r="G57" s="98">
        <v>6</v>
      </c>
      <c r="H57" s="98" t="str">
        <f t="shared" si="3"/>
        <v>BSS-TC-23184 TC_OBI_PMRBE_003_CR_109_PM 1.4_Missed detail report_Email Functionality_ ASL&lt;TSL</v>
      </c>
      <c r="I57" s="98" t="s">
        <v>630</v>
      </c>
      <c r="J57" s="98" t="s">
        <v>466</v>
      </c>
      <c r="K57" s="98" t="s">
        <v>631</v>
      </c>
      <c r="L57" s="3"/>
      <c r="M57" s="3"/>
      <c r="N57" s="100"/>
    </row>
    <row r="58" spans="2:14" x14ac:dyDescent="0.25">
      <c r="B58" s="98" t="s">
        <v>848</v>
      </c>
      <c r="C58" s="98" t="s">
        <v>459</v>
      </c>
      <c r="D58" s="98" t="s">
        <v>631</v>
      </c>
      <c r="E58" s="98" t="s">
        <v>445</v>
      </c>
      <c r="F58" s="98" t="s">
        <v>460</v>
      </c>
      <c r="G58" s="98">
        <v>7</v>
      </c>
      <c r="H58" s="98" t="str">
        <f t="shared" si="3"/>
        <v>BSS-TC-23184 TC_OBI_PMRBE_003_CR_109_PM 1.4_Missed detail report_Email Functionality_ ASL&lt;TSL</v>
      </c>
      <c r="I58" s="98" t="s">
        <v>630</v>
      </c>
      <c r="J58" s="98" t="s">
        <v>447</v>
      </c>
      <c r="K58" s="98" t="s">
        <v>446</v>
      </c>
      <c r="L58" s="3"/>
      <c r="M58" s="3"/>
      <c r="N58" s="100"/>
    </row>
    <row r="59" spans="2:14" x14ac:dyDescent="0.25">
      <c r="B59" s="98" t="s">
        <v>848</v>
      </c>
      <c r="C59" s="98" t="s">
        <v>459</v>
      </c>
      <c r="D59" s="98" t="s">
        <v>631</v>
      </c>
      <c r="E59" s="98" t="s">
        <v>18</v>
      </c>
      <c r="F59" s="98" t="s">
        <v>460</v>
      </c>
      <c r="G59" s="98">
        <v>8</v>
      </c>
      <c r="H59" s="98" t="str">
        <f t="shared" si="3"/>
        <v>BSS-TC-23184 TC_OBI_PMRBE_003_CR_109_PM 1.4_Missed detail report_Email Functionality_ ASL&lt;TSL</v>
      </c>
      <c r="I59" s="98" t="s">
        <v>630</v>
      </c>
      <c r="J59" s="98" t="s">
        <v>20</v>
      </c>
      <c r="K59" s="98" t="s">
        <v>631</v>
      </c>
      <c r="L59" s="3"/>
      <c r="M59" s="3"/>
      <c r="N59" s="100"/>
    </row>
    <row r="60" spans="2:14" x14ac:dyDescent="0.25">
      <c r="B60" s="98" t="s">
        <v>848</v>
      </c>
      <c r="C60" s="98" t="s">
        <v>459</v>
      </c>
      <c r="D60" s="98" t="s">
        <v>631</v>
      </c>
      <c r="E60" s="98" t="s">
        <v>21</v>
      </c>
      <c r="F60" s="98" t="s">
        <v>460</v>
      </c>
      <c r="G60" s="98">
        <v>9</v>
      </c>
      <c r="H60" s="98" t="str">
        <f t="shared" si="3"/>
        <v>BSS-TC-23184 TC_OBI_PMRBE_003_CR_109_PM 1.4_Missed detail report_Email Functionality_ ASL&lt;TSL</v>
      </c>
      <c r="I60" s="98" t="s">
        <v>630</v>
      </c>
      <c r="J60" s="98" t="s">
        <v>448</v>
      </c>
      <c r="K60" s="98" t="s">
        <v>631</v>
      </c>
      <c r="L60" s="3"/>
      <c r="M60" s="3"/>
      <c r="N60" s="100"/>
    </row>
    <row r="61" spans="2:14" x14ac:dyDescent="0.25">
      <c r="B61" s="98" t="s">
        <v>848</v>
      </c>
      <c r="C61" s="98" t="s">
        <v>459</v>
      </c>
      <c r="D61" s="98" t="s">
        <v>631</v>
      </c>
      <c r="E61" s="98" t="s">
        <v>449</v>
      </c>
      <c r="F61" s="98" t="s">
        <v>460</v>
      </c>
      <c r="G61" s="98">
        <v>10</v>
      </c>
      <c r="H61" s="98" t="str">
        <f t="shared" si="3"/>
        <v>BSS-TC-23184 TC_OBI_PMRBE_003_CR_109_PM 1.4_Missed detail report_Email Functionality_ ASL&lt;TSL</v>
      </c>
      <c r="I61" s="98" t="s">
        <v>630</v>
      </c>
      <c r="J61" s="98" t="s">
        <v>467</v>
      </c>
      <c r="K61" s="98" t="s">
        <v>631</v>
      </c>
      <c r="L61" s="3"/>
      <c r="M61" s="3"/>
      <c r="N61" s="100"/>
    </row>
    <row r="62" spans="2:14" x14ac:dyDescent="0.25">
      <c r="B62" s="98" t="s">
        <v>848</v>
      </c>
      <c r="C62" s="98" t="s">
        <v>459</v>
      </c>
      <c r="D62" s="98" t="s">
        <v>631</v>
      </c>
      <c r="E62" s="98" t="s">
        <v>468</v>
      </c>
      <c r="F62" s="98" t="s">
        <v>460</v>
      </c>
      <c r="G62" s="98">
        <v>11</v>
      </c>
      <c r="H62" s="98" t="str">
        <f t="shared" si="3"/>
        <v>BSS-TC-23184 TC_OBI_PMRBE_003_CR_109_PM 1.4_Missed detail report_Email Functionality_ ASL&lt;TSL</v>
      </c>
      <c r="I62" s="98" t="s">
        <v>630</v>
      </c>
      <c r="J62" s="98" t="s">
        <v>469</v>
      </c>
      <c r="K62" s="98" t="s">
        <v>631</v>
      </c>
      <c r="L62" s="3"/>
      <c r="M62" s="3"/>
      <c r="N62" s="100"/>
    </row>
    <row r="63" spans="2:14" x14ac:dyDescent="0.25">
      <c r="B63" s="98" t="s">
        <v>848</v>
      </c>
      <c r="C63" s="98" t="s">
        <v>459</v>
      </c>
      <c r="D63" s="98" t="s">
        <v>631</v>
      </c>
      <c r="E63" s="98" t="s">
        <v>470</v>
      </c>
      <c r="F63" s="98" t="s">
        <v>460</v>
      </c>
      <c r="G63" s="98">
        <v>12</v>
      </c>
      <c r="H63" s="98" t="str">
        <f t="shared" si="3"/>
        <v>BSS-TC-23184 TC_OBI_PMRBE_003_CR_109_PM 1.4_Missed detail report_Email Functionality_ ASL&lt;TSL</v>
      </c>
      <c r="I63" s="98" t="s">
        <v>630</v>
      </c>
      <c r="J63" s="98" t="s">
        <v>471</v>
      </c>
      <c r="K63" s="98" t="s">
        <v>631</v>
      </c>
      <c r="L63" s="3"/>
      <c r="M63" s="3"/>
      <c r="N63" s="100"/>
    </row>
    <row r="64" spans="2:14" x14ac:dyDescent="0.25">
      <c r="B64" s="98" t="s">
        <v>848</v>
      </c>
      <c r="C64" s="98" t="s">
        <v>459</v>
      </c>
      <c r="D64" s="98" t="s">
        <v>631</v>
      </c>
      <c r="E64" s="98" t="s">
        <v>472</v>
      </c>
      <c r="F64" s="98" t="s">
        <v>460</v>
      </c>
      <c r="G64" s="98">
        <v>13</v>
      </c>
      <c r="H64" s="98" t="str">
        <f t="shared" si="3"/>
        <v>BSS-TC-23184 TC_OBI_PMRBE_003_CR_109_PM 1.4_Missed detail report_Email Functionality_ ASL&lt;TSL</v>
      </c>
      <c r="I64" s="98" t="s">
        <v>630</v>
      </c>
      <c r="J64" s="98" t="s">
        <v>473</v>
      </c>
      <c r="K64" s="98" t="s">
        <v>631</v>
      </c>
      <c r="L64" s="3"/>
      <c r="M64" s="3"/>
      <c r="N64" s="100"/>
    </row>
    <row r="65" spans="2:14" x14ac:dyDescent="0.25">
      <c r="B65" s="98" t="s">
        <v>848</v>
      </c>
      <c r="C65" s="98" t="s">
        <v>459</v>
      </c>
      <c r="D65" s="98" t="s">
        <v>631</v>
      </c>
      <c r="E65" s="98" t="s">
        <v>474</v>
      </c>
      <c r="F65" s="98" t="s">
        <v>460</v>
      </c>
      <c r="G65" s="98">
        <v>14</v>
      </c>
      <c r="H65" s="98" t="str">
        <f t="shared" si="3"/>
        <v>BSS-TC-23184 TC_OBI_PMRBE_003_CR_109_PM 1.4_Missed detail report_Email Functionality_ ASL&lt;TSL</v>
      </c>
      <c r="I65" s="98" t="s">
        <v>630</v>
      </c>
      <c r="J65" s="98" t="s">
        <v>476</v>
      </c>
      <c r="K65" s="98" t="s">
        <v>475</v>
      </c>
      <c r="L65" s="3"/>
      <c r="M65" s="3"/>
      <c r="N65" s="100"/>
    </row>
    <row r="66" spans="2:14" x14ac:dyDescent="0.25">
      <c r="B66" s="98" t="s">
        <v>849</v>
      </c>
      <c r="C66" s="98" t="s">
        <v>645</v>
      </c>
      <c r="D66" s="98" t="s">
        <v>631</v>
      </c>
      <c r="E66" s="98" t="s">
        <v>646</v>
      </c>
      <c r="F66" s="98" t="s">
        <v>481</v>
      </c>
      <c r="G66" s="98">
        <v>1</v>
      </c>
      <c r="H66" s="98" t="str">
        <f t="shared" ref="H66:H74" si="4">HYPERLINK("http://rms/perspective.req?projectId=233&amp;docId=959415","BSS-TC-23186 TC_OBI_PMRBE_005_CR109_PM 1.4_Summary report_Email Functionality_No condition")</f>
        <v>BSS-TC-23186 TC_OBI_PMRBE_005_CR109_PM 1.4_Summary report_Email Functionality_No condition</v>
      </c>
      <c r="I66" s="98" t="s">
        <v>630</v>
      </c>
      <c r="J66" s="98" t="s">
        <v>80</v>
      </c>
      <c r="K66" s="98" t="s">
        <v>631</v>
      </c>
      <c r="L66" s="3"/>
      <c r="M66" s="3"/>
      <c r="N66" s="100"/>
    </row>
    <row r="67" spans="2:14" x14ac:dyDescent="0.25">
      <c r="B67" s="98" t="s">
        <v>849</v>
      </c>
      <c r="C67" s="98" t="s">
        <v>645</v>
      </c>
      <c r="D67" s="98" t="s">
        <v>631</v>
      </c>
      <c r="E67" s="98" t="s">
        <v>435</v>
      </c>
      <c r="F67" s="98" t="s">
        <v>481</v>
      </c>
      <c r="G67" s="98">
        <v>2</v>
      </c>
      <c r="H67" s="98" t="str">
        <f t="shared" si="4"/>
        <v>BSS-TC-23186 TC_OBI_PMRBE_005_CR109_PM 1.4_Summary report_Email Functionality_No condition</v>
      </c>
      <c r="I67" s="98" t="s">
        <v>630</v>
      </c>
      <c r="J67" s="98" t="s">
        <v>80</v>
      </c>
      <c r="K67" s="98" t="s">
        <v>631</v>
      </c>
      <c r="L67" s="3"/>
      <c r="M67" s="3"/>
      <c r="N67" s="100"/>
    </row>
    <row r="68" spans="2:14" x14ac:dyDescent="0.25">
      <c r="B68" s="98" t="s">
        <v>849</v>
      </c>
      <c r="C68" s="98" t="s">
        <v>645</v>
      </c>
      <c r="D68" s="98" t="s">
        <v>631</v>
      </c>
      <c r="E68" s="98" t="s">
        <v>482</v>
      </c>
      <c r="F68" s="98" t="s">
        <v>481</v>
      </c>
      <c r="G68" s="98">
        <v>3</v>
      </c>
      <c r="H68" s="98" t="str">
        <f t="shared" si="4"/>
        <v>BSS-TC-23186 TC_OBI_PMRBE_005_CR109_PM 1.4_Summary report_Email Functionality_No condition</v>
      </c>
      <c r="I68" s="98" t="s">
        <v>630</v>
      </c>
      <c r="J68" s="98" t="s">
        <v>80</v>
      </c>
      <c r="K68" s="98" t="s">
        <v>631</v>
      </c>
      <c r="L68" s="3"/>
      <c r="M68" s="3"/>
      <c r="N68" s="100"/>
    </row>
    <row r="69" spans="2:14" x14ac:dyDescent="0.25">
      <c r="B69" s="98" t="s">
        <v>849</v>
      </c>
      <c r="C69" s="98" t="s">
        <v>645</v>
      </c>
      <c r="D69" s="98" t="s">
        <v>631</v>
      </c>
      <c r="E69" s="98" t="s">
        <v>437</v>
      </c>
      <c r="F69" s="98" t="s">
        <v>481</v>
      </c>
      <c r="G69" s="98">
        <v>4</v>
      </c>
      <c r="H69" s="98" t="str">
        <f t="shared" si="4"/>
        <v>BSS-TC-23186 TC_OBI_PMRBE_005_CR109_PM 1.4_Summary report_Email Functionality_No condition</v>
      </c>
      <c r="I69" s="98" t="s">
        <v>630</v>
      </c>
      <c r="J69" s="98" t="s">
        <v>483</v>
      </c>
      <c r="K69" s="98" t="s">
        <v>631</v>
      </c>
      <c r="L69" s="3"/>
      <c r="M69" s="3"/>
      <c r="N69" s="100"/>
    </row>
    <row r="70" spans="2:14" x14ac:dyDescent="0.25">
      <c r="B70" s="98" t="s">
        <v>849</v>
      </c>
      <c r="C70" s="98" t="s">
        <v>645</v>
      </c>
      <c r="D70" s="98" t="s">
        <v>631</v>
      </c>
      <c r="E70" s="98" t="s">
        <v>18</v>
      </c>
      <c r="F70" s="98" t="s">
        <v>481</v>
      </c>
      <c r="G70" s="98">
        <v>5</v>
      </c>
      <c r="H70" s="98" t="str">
        <f t="shared" si="4"/>
        <v>BSS-TC-23186 TC_OBI_PMRBE_005_CR109_PM 1.4_Summary report_Email Functionality_No condition</v>
      </c>
      <c r="I70" s="98" t="s">
        <v>630</v>
      </c>
      <c r="J70" s="98" t="s">
        <v>20</v>
      </c>
      <c r="K70" s="98" t="s">
        <v>631</v>
      </c>
      <c r="L70" s="3"/>
      <c r="M70" s="3"/>
      <c r="N70" s="100"/>
    </row>
    <row r="71" spans="2:14" x14ac:dyDescent="0.25">
      <c r="B71" s="98" t="s">
        <v>849</v>
      </c>
      <c r="C71" s="98" t="s">
        <v>645</v>
      </c>
      <c r="D71" s="98" t="s">
        <v>631</v>
      </c>
      <c r="E71" s="98" t="s">
        <v>21</v>
      </c>
      <c r="F71" s="98" t="s">
        <v>481</v>
      </c>
      <c r="G71" s="98">
        <v>6</v>
      </c>
      <c r="H71" s="98" t="str">
        <f t="shared" si="4"/>
        <v>BSS-TC-23186 TC_OBI_PMRBE_005_CR109_PM 1.4_Summary report_Email Functionality_No condition</v>
      </c>
      <c r="I71" s="98" t="s">
        <v>630</v>
      </c>
      <c r="J71" s="98" t="s">
        <v>448</v>
      </c>
      <c r="K71" s="98" t="s">
        <v>631</v>
      </c>
      <c r="L71" s="3"/>
      <c r="M71" s="3"/>
      <c r="N71" s="100"/>
    </row>
    <row r="72" spans="2:14" x14ac:dyDescent="0.25">
      <c r="B72" s="98" t="s">
        <v>849</v>
      </c>
      <c r="C72" s="98" t="s">
        <v>645</v>
      </c>
      <c r="D72" s="98" t="s">
        <v>631</v>
      </c>
      <c r="E72" s="98" t="s">
        <v>449</v>
      </c>
      <c r="F72" s="98" t="s">
        <v>481</v>
      </c>
      <c r="G72" s="98">
        <v>7</v>
      </c>
      <c r="H72" s="98" t="str">
        <f t="shared" si="4"/>
        <v>BSS-TC-23186 TC_OBI_PMRBE_005_CR109_PM 1.4_Summary report_Email Functionality_No condition</v>
      </c>
      <c r="I72" s="98" t="s">
        <v>630</v>
      </c>
      <c r="J72" s="98" t="s">
        <v>450</v>
      </c>
      <c r="K72" s="98" t="s">
        <v>631</v>
      </c>
      <c r="L72" s="3"/>
      <c r="M72" s="3"/>
      <c r="N72" s="100"/>
    </row>
    <row r="73" spans="2:14" x14ac:dyDescent="0.25">
      <c r="B73" s="98" t="s">
        <v>849</v>
      </c>
      <c r="C73" s="98" t="s">
        <v>645</v>
      </c>
      <c r="D73" s="98" t="s">
        <v>631</v>
      </c>
      <c r="E73" s="98" t="s">
        <v>171</v>
      </c>
      <c r="F73" s="98" t="s">
        <v>481</v>
      </c>
      <c r="G73" s="98">
        <v>8</v>
      </c>
      <c r="H73" s="98" t="str">
        <f t="shared" si="4"/>
        <v>BSS-TC-23186 TC_OBI_PMRBE_005_CR109_PM 1.4_Summary report_Email Functionality_No condition</v>
      </c>
      <c r="I73" s="98" t="s">
        <v>630</v>
      </c>
      <c r="J73" s="98" t="s">
        <v>172</v>
      </c>
      <c r="K73" s="98" t="s">
        <v>631</v>
      </c>
      <c r="L73" s="3"/>
      <c r="M73" s="3"/>
      <c r="N73" s="100"/>
    </row>
    <row r="74" spans="2:14" x14ac:dyDescent="0.25">
      <c r="B74" s="98" t="s">
        <v>849</v>
      </c>
      <c r="C74" s="98" t="s">
        <v>645</v>
      </c>
      <c r="D74" s="98" t="s">
        <v>631</v>
      </c>
      <c r="E74" s="98" t="s">
        <v>451</v>
      </c>
      <c r="F74" s="98" t="s">
        <v>481</v>
      </c>
      <c r="G74" s="98">
        <v>9</v>
      </c>
      <c r="H74" s="98" t="str">
        <f t="shared" si="4"/>
        <v>BSS-TC-23186 TC_OBI_PMRBE_005_CR109_PM 1.4_Summary report_Email Functionality_No condition</v>
      </c>
      <c r="I74" s="98" t="s">
        <v>630</v>
      </c>
      <c r="J74" s="98" t="s">
        <v>458</v>
      </c>
      <c r="K74" s="98" t="s">
        <v>452</v>
      </c>
      <c r="L74" s="3"/>
      <c r="M74" s="3"/>
      <c r="N74" s="100"/>
    </row>
    <row r="75" spans="2:14" x14ac:dyDescent="0.25">
      <c r="B75" s="98" t="s">
        <v>850</v>
      </c>
      <c r="C75" s="98" t="s">
        <v>647</v>
      </c>
      <c r="D75" s="98" t="s">
        <v>631</v>
      </c>
      <c r="E75" s="98" t="s">
        <v>461</v>
      </c>
      <c r="F75" s="98" t="s">
        <v>460</v>
      </c>
      <c r="G75" s="98">
        <v>1</v>
      </c>
      <c r="H75" s="98" t="str">
        <f t="shared" ref="H75:H85" si="5">HYPERLINK("http://rms/perspective.req?projectId=233&amp;docId=959416","BSS-TC-23187 TC_OBI_PMRBE_006_CR109_PM 1.4_Missed detail report_Email Functionality_No condition")</f>
        <v>BSS-TC-23187 TC_OBI_PMRBE_006_CR109_PM 1.4_Missed detail report_Email Functionality_No condition</v>
      </c>
      <c r="I75" s="98" t="s">
        <v>630</v>
      </c>
      <c r="J75" s="98" t="s">
        <v>80</v>
      </c>
      <c r="K75" s="98" t="s">
        <v>631</v>
      </c>
      <c r="L75" s="3"/>
      <c r="M75" s="3"/>
      <c r="N75" s="100"/>
    </row>
    <row r="76" spans="2:14" x14ac:dyDescent="0.25">
      <c r="B76" s="98" t="s">
        <v>850</v>
      </c>
      <c r="C76" s="98" t="s">
        <v>647</v>
      </c>
      <c r="D76" s="98" t="s">
        <v>631</v>
      </c>
      <c r="E76" s="98" t="s">
        <v>435</v>
      </c>
      <c r="F76" s="98" t="s">
        <v>460</v>
      </c>
      <c r="G76" s="98">
        <v>2</v>
      </c>
      <c r="H76" s="98" t="str">
        <f t="shared" si="5"/>
        <v>BSS-TC-23187 TC_OBI_PMRBE_006_CR109_PM 1.4_Missed detail report_Email Functionality_No condition</v>
      </c>
      <c r="I76" s="98" t="s">
        <v>630</v>
      </c>
      <c r="J76" s="98" t="s">
        <v>80</v>
      </c>
      <c r="K76" s="98" t="s">
        <v>631</v>
      </c>
    </row>
    <row r="77" spans="2:14" x14ac:dyDescent="0.25">
      <c r="B77" s="98" t="s">
        <v>850</v>
      </c>
      <c r="C77" s="99" t="s">
        <v>647</v>
      </c>
      <c r="D77" s="98" t="s">
        <v>631</v>
      </c>
      <c r="E77" s="98" t="s">
        <v>457</v>
      </c>
      <c r="F77" s="98" t="s">
        <v>460</v>
      </c>
      <c r="G77" s="98">
        <v>3</v>
      </c>
      <c r="H77" s="98" t="str">
        <f t="shared" si="5"/>
        <v>BSS-TC-23187 TC_OBI_PMRBE_006_CR109_PM 1.4_Missed detail report_Email Functionality_No condition</v>
      </c>
      <c r="I77" s="98" t="s">
        <v>630</v>
      </c>
      <c r="J77" s="98" t="s">
        <v>80</v>
      </c>
      <c r="K77" s="98" t="s">
        <v>631</v>
      </c>
    </row>
    <row r="78" spans="2:14" x14ac:dyDescent="0.25">
      <c r="B78" s="98" t="s">
        <v>850</v>
      </c>
      <c r="C78" s="98" t="s">
        <v>647</v>
      </c>
      <c r="D78" s="98" t="s">
        <v>631</v>
      </c>
      <c r="E78" s="98" t="s">
        <v>462</v>
      </c>
      <c r="F78" s="98" t="s">
        <v>460</v>
      </c>
      <c r="G78" s="98">
        <v>4</v>
      </c>
      <c r="H78" s="98" t="str">
        <f t="shared" si="5"/>
        <v>BSS-TC-23187 TC_OBI_PMRBE_006_CR109_PM 1.4_Missed detail report_Email Functionality_No condition</v>
      </c>
      <c r="I78" s="98" t="s">
        <v>630</v>
      </c>
      <c r="J78" s="98" t="s">
        <v>483</v>
      </c>
      <c r="K78" s="98" t="s">
        <v>631</v>
      </c>
    </row>
    <row r="79" spans="2:14" x14ac:dyDescent="0.25">
      <c r="B79" s="98" t="s">
        <v>850</v>
      </c>
      <c r="C79" s="98" t="s">
        <v>647</v>
      </c>
      <c r="D79" s="98" t="s">
        <v>631</v>
      </c>
      <c r="E79" s="98" t="s">
        <v>18</v>
      </c>
      <c r="F79" s="98" t="s">
        <v>460</v>
      </c>
      <c r="G79" s="98">
        <v>5</v>
      </c>
      <c r="H79" s="98" t="str">
        <f t="shared" si="5"/>
        <v>BSS-TC-23187 TC_OBI_PMRBE_006_CR109_PM 1.4_Missed detail report_Email Functionality_No condition</v>
      </c>
      <c r="I79" s="98" t="s">
        <v>630</v>
      </c>
      <c r="J79" s="98" t="s">
        <v>20</v>
      </c>
      <c r="K79" s="98" t="s">
        <v>631</v>
      </c>
    </row>
    <row r="80" spans="2:14" x14ac:dyDescent="0.25">
      <c r="B80" s="98" t="s">
        <v>850</v>
      </c>
      <c r="C80" s="98" t="s">
        <v>647</v>
      </c>
      <c r="D80" s="98" t="s">
        <v>631</v>
      </c>
      <c r="E80" s="98" t="s">
        <v>21</v>
      </c>
      <c r="F80" s="98" t="s">
        <v>460</v>
      </c>
      <c r="G80" s="98">
        <v>6</v>
      </c>
      <c r="H80" s="98" t="str">
        <f t="shared" si="5"/>
        <v>BSS-TC-23187 TC_OBI_PMRBE_006_CR109_PM 1.4_Missed detail report_Email Functionality_No condition</v>
      </c>
      <c r="I80" s="98" t="s">
        <v>630</v>
      </c>
      <c r="J80" s="98" t="s">
        <v>448</v>
      </c>
      <c r="K80" s="98" t="s">
        <v>631</v>
      </c>
    </row>
    <row r="81" spans="2:11" x14ac:dyDescent="0.25">
      <c r="B81" s="98" t="s">
        <v>850</v>
      </c>
      <c r="C81" s="98" t="s">
        <v>647</v>
      </c>
      <c r="D81" s="98" t="s">
        <v>631</v>
      </c>
      <c r="E81" s="98" t="s">
        <v>449</v>
      </c>
      <c r="F81" s="98" t="s">
        <v>460</v>
      </c>
      <c r="G81" s="98">
        <v>7</v>
      </c>
      <c r="H81" s="98" t="str">
        <f t="shared" si="5"/>
        <v>BSS-TC-23187 TC_OBI_PMRBE_006_CR109_PM 1.4_Missed detail report_Email Functionality_No condition</v>
      </c>
      <c r="I81" s="98" t="s">
        <v>630</v>
      </c>
      <c r="J81" s="98" t="s">
        <v>467</v>
      </c>
      <c r="K81" s="98" t="s">
        <v>631</v>
      </c>
    </row>
    <row r="82" spans="2:11" x14ac:dyDescent="0.25">
      <c r="B82" s="98" t="s">
        <v>850</v>
      </c>
      <c r="C82" s="98" t="s">
        <v>647</v>
      </c>
      <c r="D82" s="98" t="s">
        <v>631</v>
      </c>
      <c r="E82" s="98" t="s">
        <v>468</v>
      </c>
      <c r="F82" s="98" t="s">
        <v>460</v>
      </c>
      <c r="G82" s="98">
        <v>8</v>
      </c>
      <c r="H82" s="98" t="str">
        <f t="shared" si="5"/>
        <v>BSS-TC-23187 TC_OBI_PMRBE_006_CR109_PM 1.4_Missed detail report_Email Functionality_No condition</v>
      </c>
      <c r="I82" s="98" t="s">
        <v>630</v>
      </c>
      <c r="J82" s="98" t="s">
        <v>469</v>
      </c>
      <c r="K82" s="98" t="s">
        <v>631</v>
      </c>
    </row>
    <row r="83" spans="2:11" x14ac:dyDescent="0.25">
      <c r="B83" s="98" t="s">
        <v>850</v>
      </c>
      <c r="C83" s="98" t="s">
        <v>647</v>
      </c>
      <c r="D83" s="98" t="s">
        <v>631</v>
      </c>
      <c r="E83" s="98" t="s">
        <v>470</v>
      </c>
      <c r="F83" s="98" t="s">
        <v>460</v>
      </c>
      <c r="G83" s="98">
        <v>9</v>
      </c>
      <c r="H83" s="98" t="str">
        <f t="shared" si="5"/>
        <v>BSS-TC-23187 TC_OBI_PMRBE_006_CR109_PM 1.4_Missed detail report_Email Functionality_No condition</v>
      </c>
      <c r="I83" s="98" t="s">
        <v>630</v>
      </c>
      <c r="J83" s="98" t="s">
        <v>471</v>
      </c>
      <c r="K83" s="98" t="s">
        <v>631</v>
      </c>
    </row>
    <row r="84" spans="2:11" x14ac:dyDescent="0.25">
      <c r="B84" s="98" t="s">
        <v>850</v>
      </c>
      <c r="C84" s="98" t="s">
        <v>647</v>
      </c>
      <c r="D84" s="98" t="s">
        <v>631</v>
      </c>
      <c r="E84" s="98" t="s">
        <v>472</v>
      </c>
      <c r="F84" s="98" t="s">
        <v>460</v>
      </c>
      <c r="G84" s="98">
        <v>10</v>
      </c>
      <c r="H84" s="98" t="str">
        <f t="shared" si="5"/>
        <v>BSS-TC-23187 TC_OBI_PMRBE_006_CR109_PM 1.4_Missed detail report_Email Functionality_No condition</v>
      </c>
      <c r="I84" s="98" t="s">
        <v>630</v>
      </c>
      <c r="J84" s="98" t="s">
        <v>473</v>
      </c>
      <c r="K84" s="98" t="s">
        <v>631</v>
      </c>
    </row>
    <row r="85" spans="2:11" x14ac:dyDescent="0.25">
      <c r="B85" s="98" t="s">
        <v>850</v>
      </c>
      <c r="C85" s="98" t="s">
        <v>647</v>
      </c>
      <c r="D85" s="98" t="s">
        <v>631</v>
      </c>
      <c r="E85" s="98" t="s">
        <v>474</v>
      </c>
      <c r="F85" s="98" t="s">
        <v>460</v>
      </c>
      <c r="G85" s="98">
        <v>11</v>
      </c>
      <c r="H85" s="98" t="str">
        <f t="shared" si="5"/>
        <v>BSS-TC-23187 TC_OBI_PMRBE_006_CR109_PM 1.4_Missed detail report_Email Functionality_No condition</v>
      </c>
      <c r="I85" s="98" t="s">
        <v>630</v>
      </c>
      <c r="J85" s="98" t="s">
        <v>476</v>
      </c>
      <c r="K85" s="98" t="s">
        <v>475</v>
      </c>
    </row>
    <row r="86" spans="2:11" x14ac:dyDescent="0.25">
      <c r="B86" s="98" t="s">
        <v>851</v>
      </c>
      <c r="C86" s="98" t="s">
        <v>224</v>
      </c>
      <c r="D86" s="98" t="s">
        <v>648</v>
      </c>
      <c r="E86" s="98" t="s">
        <v>649</v>
      </c>
      <c r="F86" s="98" t="s">
        <v>225</v>
      </c>
      <c r="G86" s="98">
        <v>1</v>
      </c>
      <c r="H86" s="98" t="str">
        <f t="shared" ref="H86:H93" si="6">HYPERLINK("http://rms/perspective.req?projectId=233&amp;docId=959368","BSS-TC-23152 TC_OBI_PM 1.4_009_Missed detail report _Days taken to re-assign incident to SU_field validation")</f>
        <v>BSS-TC-23152 TC_OBI_PM 1.4_009_Missed detail report _Days taken to re-assign incident to SU_field validation</v>
      </c>
      <c r="I86" s="98" t="s">
        <v>630</v>
      </c>
      <c r="J86" s="98" t="s">
        <v>80</v>
      </c>
      <c r="K86" s="98" t="s">
        <v>517</v>
      </c>
    </row>
    <row r="87" spans="2:11" x14ac:dyDescent="0.25">
      <c r="B87" s="98" t="s">
        <v>851</v>
      </c>
      <c r="C87" s="98" t="s">
        <v>224</v>
      </c>
      <c r="D87" s="98" t="s">
        <v>648</v>
      </c>
      <c r="E87" s="98" t="s">
        <v>18</v>
      </c>
      <c r="F87" s="98" t="s">
        <v>225</v>
      </c>
      <c r="G87" s="98">
        <v>2</v>
      </c>
      <c r="H87" s="98" t="str">
        <f t="shared" si="6"/>
        <v>BSS-TC-23152 TC_OBI_PM 1.4_009_Missed detail report _Days taken to re-assign incident to SU_field validation</v>
      </c>
      <c r="I87" s="98" t="s">
        <v>630</v>
      </c>
      <c r="J87" s="98" t="s">
        <v>20</v>
      </c>
      <c r="K87" s="98" t="s">
        <v>631</v>
      </c>
    </row>
    <row r="88" spans="2:11" x14ac:dyDescent="0.25">
      <c r="B88" s="98" t="s">
        <v>851</v>
      </c>
      <c r="C88" s="98" t="s">
        <v>224</v>
      </c>
      <c r="D88" s="98" t="s">
        <v>648</v>
      </c>
      <c r="E88" s="98" t="s">
        <v>21</v>
      </c>
      <c r="F88" s="98" t="s">
        <v>225</v>
      </c>
      <c r="G88" s="98">
        <v>3</v>
      </c>
      <c r="H88" s="98" t="str">
        <f t="shared" si="6"/>
        <v>BSS-TC-23152 TC_OBI_PM 1.4_009_Missed detail report _Days taken to re-assign incident to SU_field validation</v>
      </c>
      <c r="I88" s="98" t="s">
        <v>630</v>
      </c>
      <c r="J88" s="98" t="s">
        <v>22</v>
      </c>
      <c r="K88" s="98" t="s">
        <v>631</v>
      </c>
    </row>
    <row r="89" spans="2:11" x14ac:dyDescent="0.25">
      <c r="B89" s="98" t="s">
        <v>851</v>
      </c>
      <c r="C89" s="98" t="s">
        <v>224</v>
      </c>
      <c r="D89" s="98" t="s">
        <v>648</v>
      </c>
      <c r="E89" s="98" t="s">
        <v>23</v>
      </c>
      <c r="F89" s="98" t="s">
        <v>225</v>
      </c>
      <c r="G89" s="98">
        <v>4</v>
      </c>
      <c r="H89" s="98" t="str">
        <f t="shared" si="6"/>
        <v>BSS-TC-23152 TC_OBI_PM 1.4_009_Missed detail report _Days taken to re-assign incident to SU_field validation</v>
      </c>
      <c r="I89" s="98" t="s">
        <v>630</v>
      </c>
      <c r="J89" s="98" t="s">
        <v>41</v>
      </c>
      <c r="K89" s="98" t="s">
        <v>631</v>
      </c>
    </row>
    <row r="90" spans="2:11" x14ac:dyDescent="0.25">
      <c r="B90" s="98" t="s">
        <v>851</v>
      </c>
      <c r="C90" s="98" t="s">
        <v>224</v>
      </c>
      <c r="D90" s="98" t="s">
        <v>648</v>
      </c>
      <c r="E90" s="98" t="s">
        <v>43</v>
      </c>
      <c r="F90" s="98" t="s">
        <v>225</v>
      </c>
      <c r="G90" s="98">
        <v>5</v>
      </c>
      <c r="H90" s="98" t="str">
        <f t="shared" si="6"/>
        <v>BSS-TC-23152 TC_OBI_PM 1.4_009_Missed detail report _Days taken to re-assign incident to SU_field validation</v>
      </c>
      <c r="I90" s="98" t="s">
        <v>630</v>
      </c>
      <c r="J90" s="98" t="s">
        <v>44</v>
      </c>
      <c r="K90" s="98" t="s">
        <v>631</v>
      </c>
    </row>
    <row r="91" spans="2:11" x14ac:dyDescent="0.25">
      <c r="B91" s="98" t="s">
        <v>851</v>
      </c>
      <c r="C91" s="98" t="s">
        <v>224</v>
      </c>
      <c r="D91" s="98" t="s">
        <v>648</v>
      </c>
      <c r="E91" s="98" t="s">
        <v>25</v>
      </c>
      <c r="F91" s="98" t="s">
        <v>225</v>
      </c>
      <c r="G91" s="98">
        <v>6</v>
      </c>
      <c r="H91" s="98" t="str">
        <f t="shared" si="6"/>
        <v>BSS-TC-23152 TC_OBI_PM 1.4_009_Missed detail report _Days taken to re-assign incident to SU_field validation</v>
      </c>
      <c r="I91" s="98" t="s">
        <v>630</v>
      </c>
      <c r="J91" s="98" t="s">
        <v>27</v>
      </c>
      <c r="K91" s="98" t="s">
        <v>631</v>
      </c>
    </row>
    <row r="92" spans="2:11" x14ac:dyDescent="0.25">
      <c r="B92" s="98" t="s">
        <v>851</v>
      </c>
      <c r="C92" s="98" t="s">
        <v>224</v>
      </c>
      <c r="D92" s="98" t="s">
        <v>648</v>
      </c>
      <c r="E92" s="98" t="s">
        <v>50</v>
      </c>
      <c r="F92" s="98" t="s">
        <v>225</v>
      </c>
      <c r="G92" s="98">
        <v>7</v>
      </c>
      <c r="H92" s="98" t="str">
        <f t="shared" si="6"/>
        <v>BSS-TC-23152 TC_OBI_PM 1.4_009_Missed detail report _Days taken to re-assign incident to SU_field validation</v>
      </c>
      <c r="I92" s="98" t="s">
        <v>630</v>
      </c>
      <c r="J92" s="98" t="s">
        <v>226</v>
      </c>
      <c r="K92" s="98" t="s">
        <v>631</v>
      </c>
    </row>
    <row r="93" spans="2:11" x14ac:dyDescent="0.25">
      <c r="B93" s="98" t="s">
        <v>851</v>
      </c>
      <c r="C93" s="98" t="s">
        <v>224</v>
      </c>
      <c r="D93" s="98" t="s">
        <v>648</v>
      </c>
      <c r="E93" s="98" t="s">
        <v>650</v>
      </c>
      <c r="F93" s="98" t="s">
        <v>225</v>
      </c>
      <c r="G93" s="98">
        <v>8</v>
      </c>
      <c r="H93" s="98" t="str">
        <f t="shared" si="6"/>
        <v>BSS-TC-23152 TC_OBI_PM 1.4_009_Missed detail report _Days taken to re-assign incident to SU_field validation</v>
      </c>
      <c r="I93" s="98" t="s">
        <v>630</v>
      </c>
      <c r="J93" s="98" t="s">
        <v>651</v>
      </c>
      <c r="K93" s="98" t="s">
        <v>147</v>
      </c>
    </row>
    <row r="94" spans="2:11" x14ac:dyDescent="0.25">
      <c r="B94" s="98" t="s">
        <v>852</v>
      </c>
      <c r="C94" s="98" t="s">
        <v>235</v>
      </c>
      <c r="D94" s="98" t="s">
        <v>631</v>
      </c>
      <c r="E94" s="98" t="s">
        <v>652</v>
      </c>
      <c r="F94" s="98" t="s">
        <v>234</v>
      </c>
      <c r="G94" s="98">
        <v>1</v>
      </c>
      <c r="H94" s="98" t="str">
        <f t="shared" ref="H94:H101" si="7">HYPERLINK("http://rms/perspective.req?projectId=233&amp;docId=959369","BSS-TC-23153 TC_OBI_PM 1.4_010_Missed detail report _Incident first assigned to SU_field validation")</f>
        <v>BSS-TC-23153 TC_OBI_PM 1.4_010_Missed detail report _Incident first assigned to SU_field validation</v>
      </c>
      <c r="I94" s="98" t="s">
        <v>630</v>
      </c>
      <c r="J94" s="98" t="s">
        <v>80</v>
      </c>
      <c r="K94" s="98" t="s">
        <v>517</v>
      </c>
    </row>
    <row r="95" spans="2:11" x14ac:dyDescent="0.25">
      <c r="B95" s="98" t="s">
        <v>852</v>
      </c>
      <c r="C95" s="98" t="s">
        <v>235</v>
      </c>
      <c r="D95" s="98" t="s">
        <v>631</v>
      </c>
      <c r="E95" s="98" t="s">
        <v>18</v>
      </c>
      <c r="F95" s="98" t="s">
        <v>234</v>
      </c>
      <c r="G95" s="98">
        <v>2</v>
      </c>
      <c r="H95" s="98" t="str">
        <f t="shared" si="7"/>
        <v>BSS-TC-23153 TC_OBI_PM 1.4_010_Missed detail report _Incident first assigned to SU_field validation</v>
      </c>
      <c r="I95" s="98" t="s">
        <v>630</v>
      </c>
      <c r="J95" s="98" t="s">
        <v>20</v>
      </c>
      <c r="K95" s="98" t="s">
        <v>631</v>
      </c>
    </row>
    <row r="96" spans="2:11" x14ac:dyDescent="0.25">
      <c r="B96" s="98" t="s">
        <v>852</v>
      </c>
      <c r="C96" s="98" t="s">
        <v>235</v>
      </c>
      <c r="D96" s="98" t="s">
        <v>631</v>
      </c>
      <c r="E96" s="98" t="s">
        <v>21</v>
      </c>
      <c r="F96" s="98" t="s">
        <v>234</v>
      </c>
      <c r="G96" s="98">
        <v>3</v>
      </c>
      <c r="H96" s="98" t="str">
        <f t="shared" si="7"/>
        <v>BSS-TC-23153 TC_OBI_PM 1.4_010_Missed detail report _Incident first assigned to SU_field validation</v>
      </c>
      <c r="I96" s="98" t="s">
        <v>630</v>
      </c>
      <c r="J96" s="98" t="s">
        <v>22</v>
      </c>
      <c r="K96" s="98" t="s">
        <v>631</v>
      </c>
    </row>
    <row r="97" spans="2:11" x14ac:dyDescent="0.25">
      <c r="B97" s="98" t="s">
        <v>852</v>
      </c>
      <c r="C97" s="98" t="s">
        <v>235</v>
      </c>
      <c r="D97" s="98" t="s">
        <v>631</v>
      </c>
      <c r="E97" s="98" t="s">
        <v>23</v>
      </c>
      <c r="F97" s="98" t="s">
        <v>234</v>
      </c>
      <c r="G97" s="98">
        <v>4</v>
      </c>
      <c r="H97" s="98" t="str">
        <f t="shared" si="7"/>
        <v>BSS-TC-23153 TC_OBI_PM 1.4_010_Missed detail report _Incident first assigned to SU_field validation</v>
      </c>
      <c r="I97" s="98" t="s">
        <v>630</v>
      </c>
      <c r="J97" s="98" t="s">
        <v>41</v>
      </c>
      <c r="K97" s="98" t="s">
        <v>631</v>
      </c>
    </row>
    <row r="98" spans="2:11" x14ac:dyDescent="0.25">
      <c r="B98" s="98" t="s">
        <v>852</v>
      </c>
      <c r="C98" s="98" t="s">
        <v>235</v>
      </c>
      <c r="D98" s="98" t="s">
        <v>631</v>
      </c>
      <c r="E98" s="98" t="s">
        <v>43</v>
      </c>
      <c r="F98" s="98" t="s">
        <v>234</v>
      </c>
      <c r="G98" s="98">
        <v>5</v>
      </c>
      <c r="H98" s="98" t="str">
        <f t="shared" si="7"/>
        <v>BSS-TC-23153 TC_OBI_PM 1.4_010_Missed detail report _Incident first assigned to SU_field validation</v>
      </c>
      <c r="I98" s="98" t="s">
        <v>630</v>
      </c>
      <c r="J98" s="98" t="s">
        <v>44</v>
      </c>
      <c r="K98" s="98" t="s">
        <v>631</v>
      </c>
    </row>
    <row r="99" spans="2:11" x14ac:dyDescent="0.25">
      <c r="B99" s="98" t="s">
        <v>852</v>
      </c>
      <c r="C99" s="98" t="s">
        <v>235</v>
      </c>
      <c r="D99" s="98" t="s">
        <v>631</v>
      </c>
      <c r="E99" s="98" t="s">
        <v>25</v>
      </c>
      <c r="F99" s="98" t="s">
        <v>234</v>
      </c>
      <c r="G99" s="98">
        <v>6</v>
      </c>
      <c r="H99" s="98" t="str">
        <f t="shared" si="7"/>
        <v>BSS-TC-23153 TC_OBI_PM 1.4_010_Missed detail report _Incident first assigned to SU_field validation</v>
      </c>
      <c r="I99" s="98" t="s">
        <v>630</v>
      </c>
      <c r="J99" s="98" t="s">
        <v>27</v>
      </c>
      <c r="K99" s="98" t="s">
        <v>631</v>
      </c>
    </row>
    <row r="100" spans="2:11" x14ac:dyDescent="0.25">
      <c r="B100" s="98" t="s">
        <v>852</v>
      </c>
      <c r="C100" s="98" t="s">
        <v>235</v>
      </c>
      <c r="D100" s="98" t="s">
        <v>631</v>
      </c>
      <c r="E100" s="98" t="s">
        <v>50</v>
      </c>
      <c r="F100" s="98" t="s">
        <v>234</v>
      </c>
      <c r="G100" s="98">
        <v>7</v>
      </c>
      <c r="H100" s="98" t="str">
        <f t="shared" si="7"/>
        <v>BSS-TC-23153 TC_OBI_PM 1.4_010_Missed detail report _Incident first assigned to SU_field validation</v>
      </c>
      <c r="I100" s="98" t="s">
        <v>630</v>
      </c>
      <c r="J100" s="98" t="s">
        <v>226</v>
      </c>
      <c r="K100" s="98" t="s">
        <v>631</v>
      </c>
    </row>
    <row r="101" spans="2:11" x14ac:dyDescent="0.25">
      <c r="B101" s="98" t="s">
        <v>852</v>
      </c>
      <c r="C101" s="98" t="s">
        <v>235</v>
      </c>
      <c r="D101" s="98" t="s">
        <v>631</v>
      </c>
      <c r="E101" s="98" t="s">
        <v>650</v>
      </c>
      <c r="F101" s="98" t="s">
        <v>234</v>
      </c>
      <c r="G101" s="98">
        <v>8</v>
      </c>
      <c r="H101" s="98" t="str">
        <f t="shared" si="7"/>
        <v>BSS-TC-23153 TC_OBI_PM 1.4_010_Missed detail report _Incident first assigned to SU_field validation</v>
      </c>
      <c r="I101" s="98" t="s">
        <v>630</v>
      </c>
      <c r="J101" s="98" t="s">
        <v>651</v>
      </c>
      <c r="K101" s="98" t="s">
        <v>147</v>
      </c>
    </row>
    <row r="102" spans="2:11" x14ac:dyDescent="0.25">
      <c r="B102" s="98" t="s">
        <v>853</v>
      </c>
      <c r="C102" s="98" t="s">
        <v>653</v>
      </c>
      <c r="D102" s="98" t="s">
        <v>631</v>
      </c>
      <c r="E102" s="98" t="s">
        <v>18</v>
      </c>
      <c r="F102" s="98" t="s">
        <v>654</v>
      </c>
      <c r="G102" s="98">
        <v>1</v>
      </c>
      <c r="H102" s="98" t="str">
        <f t="shared" ref="H102:H117" si="8">HYPERLINK("http://rms/perspective.req?projectId=233&amp;docId=976497","BSS-TC-25087 TC_OBI_PM 1.4_001_Summary_Midlevel_Detail_Level _Reports_report_Footer Validation")</f>
        <v>BSS-TC-25087 TC_OBI_PM 1.4_001_Summary_Midlevel_Detail_Level _Reports_report_Footer Validation</v>
      </c>
      <c r="I102" s="98" t="s">
        <v>630</v>
      </c>
      <c r="J102" s="98" t="s">
        <v>20</v>
      </c>
      <c r="K102" s="98" t="s">
        <v>631</v>
      </c>
    </row>
    <row r="103" spans="2:11" x14ac:dyDescent="0.25">
      <c r="B103" s="98" t="s">
        <v>853</v>
      </c>
      <c r="C103" s="98" t="s">
        <v>653</v>
      </c>
      <c r="D103" s="98" t="s">
        <v>631</v>
      </c>
      <c r="E103" s="98" t="s">
        <v>21</v>
      </c>
      <c r="F103" s="98" t="s">
        <v>654</v>
      </c>
      <c r="G103" s="98">
        <v>2</v>
      </c>
      <c r="H103" s="98" t="str">
        <f t="shared" si="8"/>
        <v>BSS-TC-25087 TC_OBI_PM 1.4_001_Summary_Midlevel_Detail_Level _Reports_report_Footer Validation</v>
      </c>
      <c r="I103" s="98" t="s">
        <v>630</v>
      </c>
      <c r="J103" s="98" t="s">
        <v>22</v>
      </c>
      <c r="K103" s="98" t="s">
        <v>631</v>
      </c>
    </row>
    <row r="104" spans="2:11" x14ac:dyDescent="0.25">
      <c r="B104" s="98" t="s">
        <v>853</v>
      </c>
      <c r="C104" s="98" t="s">
        <v>653</v>
      </c>
      <c r="D104" s="98" t="s">
        <v>631</v>
      </c>
      <c r="E104" s="98" t="s">
        <v>655</v>
      </c>
      <c r="F104" s="98" t="s">
        <v>654</v>
      </c>
      <c r="G104" s="98">
        <v>3</v>
      </c>
      <c r="H104" s="98" t="str">
        <f t="shared" si="8"/>
        <v>BSS-TC-25087 TC_OBI_PM 1.4_001_Summary_Midlevel_Detail_Level _Reports_report_Footer Validation</v>
      </c>
      <c r="I104" s="98" t="s">
        <v>630</v>
      </c>
      <c r="J104" s="98" t="s">
        <v>24</v>
      </c>
      <c r="K104" s="98" t="s">
        <v>631</v>
      </c>
    </row>
    <row r="105" spans="2:11" x14ac:dyDescent="0.25">
      <c r="B105" s="98" t="s">
        <v>853</v>
      </c>
      <c r="C105" s="98" t="s">
        <v>653</v>
      </c>
      <c r="D105" s="98" t="s">
        <v>631</v>
      </c>
      <c r="E105" s="98" t="s">
        <v>25</v>
      </c>
      <c r="F105" s="98" t="s">
        <v>654</v>
      </c>
      <c r="G105" s="98">
        <v>4</v>
      </c>
      <c r="H105" s="98" t="str">
        <f t="shared" si="8"/>
        <v>BSS-TC-25087 TC_OBI_PM 1.4_001_Summary_Midlevel_Detail_Level _Reports_report_Footer Validation</v>
      </c>
      <c r="I105" s="98" t="s">
        <v>630</v>
      </c>
      <c r="J105" s="98" t="s">
        <v>27</v>
      </c>
      <c r="K105" s="98" t="s">
        <v>631</v>
      </c>
    </row>
    <row r="106" spans="2:11" x14ac:dyDescent="0.25">
      <c r="B106" s="98" t="s">
        <v>853</v>
      </c>
      <c r="C106" s="98" t="s">
        <v>653</v>
      </c>
      <c r="D106" s="98" t="s">
        <v>631</v>
      </c>
      <c r="E106" s="98" t="s">
        <v>656</v>
      </c>
      <c r="F106" s="98" t="s">
        <v>654</v>
      </c>
      <c r="G106" s="98">
        <v>5</v>
      </c>
      <c r="H106" s="98" t="str">
        <f t="shared" si="8"/>
        <v>BSS-TC-25087 TC_OBI_PM 1.4_001_Summary_Midlevel_Detail_Level _Reports_report_Footer Validation</v>
      </c>
      <c r="I106" s="98" t="s">
        <v>630</v>
      </c>
      <c r="J106" s="98" t="s">
        <v>657</v>
      </c>
      <c r="K106" s="98" t="s">
        <v>658</v>
      </c>
    </row>
    <row r="107" spans="2:11" x14ac:dyDescent="0.25">
      <c r="B107" s="98" t="s">
        <v>853</v>
      </c>
      <c r="C107" s="98" t="s">
        <v>653</v>
      </c>
      <c r="D107" s="98" t="s">
        <v>631</v>
      </c>
      <c r="E107" s="98" t="s">
        <v>659</v>
      </c>
      <c r="F107" s="98" t="s">
        <v>654</v>
      </c>
      <c r="G107" s="98">
        <v>6</v>
      </c>
      <c r="H107" s="98" t="str">
        <f t="shared" si="8"/>
        <v>BSS-TC-25087 TC_OBI_PM 1.4_001_Summary_Midlevel_Detail_Level _Reports_report_Footer Validation</v>
      </c>
      <c r="I107" s="98" t="s">
        <v>630</v>
      </c>
      <c r="J107" s="98" t="s">
        <v>660</v>
      </c>
      <c r="K107" s="98" t="s">
        <v>661</v>
      </c>
    </row>
    <row r="108" spans="2:11" x14ac:dyDescent="0.25">
      <c r="B108" s="98" t="s">
        <v>853</v>
      </c>
      <c r="C108" s="98" t="s">
        <v>653</v>
      </c>
      <c r="D108" s="98" t="s">
        <v>631</v>
      </c>
      <c r="E108" s="98" t="s">
        <v>662</v>
      </c>
      <c r="F108" s="98" t="s">
        <v>654</v>
      </c>
      <c r="G108" s="98">
        <v>7</v>
      </c>
      <c r="H108" s="98" t="str">
        <f t="shared" si="8"/>
        <v>BSS-TC-25087 TC_OBI_PM 1.4_001_Summary_Midlevel_Detail_Level _Reports_report_Footer Validation</v>
      </c>
      <c r="I108" s="98" t="s">
        <v>630</v>
      </c>
      <c r="J108" s="98" t="s">
        <v>284</v>
      </c>
      <c r="K108" s="98" t="s">
        <v>631</v>
      </c>
    </row>
    <row r="109" spans="2:11" x14ac:dyDescent="0.25">
      <c r="B109" s="98" t="s">
        <v>853</v>
      </c>
      <c r="C109" s="98" t="s">
        <v>653</v>
      </c>
      <c r="D109" s="98" t="s">
        <v>631</v>
      </c>
      <c r="E109" s="98" t="s">
        <v>656</v>
      </c>
      <c r="F109" s="98" t="s">
        <v>654</v>
      </c>
      <c r="G109" s="98">
        <v>8</v>
      </c>
      <c r="H109" s="98" t="str">
        <f t="shared" si="8"/>
        <v>BSS-TC-25087 TC_OBI_PM 1.4_001_Summary_Midlevel_Detail_Level _Reports_report_Footer Validation</v>
      </c>
      <c r="I109" s="98" t="s">
        <v>630</v>
      </c>
      <c r="J109" s="98" t="s">
        <v>657</v>
      </c>
      <c r="K109" s="98" t="s">
        <v>663</v>
      </c>
    </row>
    <row r="110" spans="2:11" x14ac:dyDescent="0.25">
      <c r="B110" s="98" t="s">
        <v>853</v>
      </c>
      <c r="C110" s="98" t="s">
        <v>653</v>
      </c>
      <c r="D110" s="98" t="s">
        <v>631</v>
      </c>
      <c r="E110" s="98" t="s">
        <v>659</v>
      </c>
      <c r="F110" s="98" t="s">
        <v>654</v>
      </c>
      <c r="G110" s="98">
        <v>9</v>
      </c>
      <c r="H110" s="98" t="str">
        <f t="shared" si="8"/>
        <v>BSS-TC-25087 TC_OBI_PM 1.4_001_Summary_Midlevel_Detail_Level _Reports_report_Footer Validation</v>
      </c>
      <c r="I110" s="98" t="s">
        <v>630</v>
      </c>
      <c r="J110" s="98" t="s">
        <v>660</v>
      </c>
      <c r="K110" s="98" t="s">
        <v>664</v>
      </c>
    </row>
    <row r="111" spans="2:11" x14ac:dyDescent="0.25">
      <c r="B111" s="98" t="s">
        <v>853</v>
      </c>
      <c r="C111" s="98" t="s">
        <v>653</v>
      </c>
      <c r="D111" s="98" t="s">
        <v>631</v>
      </c>
      <c r="E111" s="98" t="s">
        <v>352</v>
      </c>
      <c r="F111" s="98" t="s">
        <v>654</v>
      </c>
      <c r="G111" s="98">
        <v>10</v>
      </c>
      <c r="H111" s="98" t="str">
        <f t="shared" si="8"/>
        <v>BSS-TC-25087 TC_OBI_PM 1.4_001_Summary_Midlevel_Detail_Level _Reports_report_Footer Validation</v>
      </c>
      <c r="I111" s="98" t="s">
        <v>630</v>
      </c>
      <c r="J111" s="98" t="s">
        <v>665</v>
      </c>
      <c r="K111" s="98" t="s">
        <v>631</v>
      </c>
    </row>
    <row r="112" spans="2:11" x14ac:dyDescent="0.25">
      <c r="B112" s="98" t="s">
        <v>853</v>
      </c>
      <c r="C112" s="98" t="s">
        <v>653</v>
      </c>
      <c r="D112" s="98" t="s">
        <v>631</v>
      </c>
      <c r="E112" s="98" t="s">
        <v>656</v>
      </c>
      <c r="F112" s="98" t="s">
        <v>654</v>
      </c>
      <c r="G112" s="98">
        <v>11</v>
      </c>
      <c r="H112" s="98" t="str">
        <f t="shared" si="8"/>
        <v>BSS-TC-25087 TC_OBI_PM 1.4_001_Summary_Midlevel_Detail_Level _Reports_report_Footer Validation</v>
      </c>
      <c r="I112" s="98" t="s">
        <v>630</v>
      </c>
      <c r="J112" s="98" t="s">
        <v>657</v>
      </c>
      <c r="K112" s="98" t="s">
        <v>666</v>
      </c>
    </row>
    <row r="113" spans="2:11" x14ac:dyDescent="0.25">
      <c r="B113" s="98" t="s">
        <v>853</v>
      </c>
      <c r="C113" s="98" t="s">
        <v>653</v>
      </c>
      <c r="D113" s="98" t="s">
        <v>631</v>
      </c>
      <c r="E113" s="98" t="s">
        <v>659</v>
      </c>
      <c r="F113" s="98" t="s">
        <v>654</v>
      </c>
      <c r="G113" s="98">
        <v>12</v>
      </c>
      <c r="H113" s="98" t="str">
        <f t="shared" si="8"/>
        <v>BSS-TC-25087 TC_OBI_PM 1.4_001_Summary_Midlevel_Detail_Level _Reports_report_Footer Validation</v>
      </c>
      <c r="I113" s="98" t="s">
        <v>630</v>
      </c>
      <c r="J113" s="98" t="s">
        <v>660</v>
      </c>
      <c r="K113" s="98" t="s">
        <v>667</v>
      </c>
    </row>
    <row r="114" spans="2:11" x14ac:dyDescent="0.25">
      <c r="B114" s="98" t="s">
        <v>853</v>
      </c>
      <c r="C114" s="98" t="s">
        <v>653</v>
      </c>
      <c r="D114" s="98" t="s">
        <v>631</v>
      </c>
      <c r="E114" s="98" t="s">
        <v>668</v>
      </c>
      <c r="F114" s="98" t="s">
        <v>654</v>
      </c>
      <c r="G114" s="98">
        <v>13</v>
      </c>
      <c r="H114" s="98" t="str">
        <f t="shared" si="8"/>
        <v>BSS-TC-25087 TC_OBI_PM 1.4_001_Summary_Midlevel_Detail_Level _Reports_report_Footer Validation</v>
      </c>
      <c r="I114" s="98" t="s">
        <v>630</v>
      </c>
      <c r="J114" s="98" t="s">
        <v>669</v>
      </c>
      <c r="K114" s="98" t="s">
        <v>631</v>
      </c>
    </row>
    <row r="115" spans="2:11" x14ac:dyDescent="0.25">
      <c r="B115" s="98" t="s">
        <v>853</v>
      </c>
      <c r="C115" s="98" t="s">
        <v>653</v>
      </c>
      <c r="D115" s="98" t="s">
        <v>631</v>
      </c>
      <c r="E115" s="98" t="s">
        <v>271</v>
      </c>
      <c r="F115" s="98" t="s">
        <v>654</v>
      </c>
      <c r="G115" s="98">
        <v>14</v>
      </c>
      <c r="H115" s="98" t="str">
        <f t="shared" si="8"/>
        <v>BSS-TC-25087 TC_OBI_PM 1.4_001_Summary_Midlevel_Detail_Level _Reports_report_Footer Validation</v>
      </c>
      <c r="I115" s="98" t="s">
        <v>630</v>
      </c>
      <c r="J115" s="98" t="s">
        <v>53</v>
      </c>
      <c r="K115" s="98" t="s">
        <v>631</v>
      </c>
    </row>
    <row r="116" spans="2:11" x14ac:dyDescent="0.25">
      <c r="B116" s="98" t="s">
        <v>853</v>
      </c>
      <c r="C116" s="98" t="s">
        <v>653</v>
      </c>
      <c r="D116" s="98" t="s">
        <v>631</v>
      </c>
      <c r="E116" s="98" t="s">
        <v>656</v>
      </c>
      <c r="F116" s="98" t="s">
        <v>654</v>
      </c>
      <c r="G116" s="98">
        <v>15</v>
      </c>
      <c r="H116" s="98" t="str">
        <f t="shared" si="8"/>
        <v>BSS-TC-25087 TC_OBI_PM 1.4_001_Summary_Midlevel_Detail_Level _Reports_report_Footer Validation</v>
      </c>
      <c r="I116" s="98" t="s">
        <v>630</v>
      </c>
      <c r="J116" s="98" t="s">
        <v>657</v>
      </c>
      <c r="K116" s="98" t="s">
        <v>670</v>
      </c>
    </row>
    <row r="117" spans="2:11" x14ac:dyDescent="0.25">
      <c r="B117" s="98" t="s">
        <v>853</v>
      </c>
      <c r="C117" s="98" t="s">
        <v>653</v>
      </c>
      <c r="D117" s="98" t="s">
        <v>631</v>
      </c>
      <c r="E117" s="98" t="s">
        <v>659</v>
      </c>
      <c r="F117" s="98" t="s">
        <v>654</v>
      </c>
      <c r="G117" s="98">
        <v>16</v>
      </c>
      <c r="H117" s="98" t="str">
        <f t="shared" si="8"/>
        <v>BSS-TC-25087 TC_OBI_PM 1.4_001_Summary_Midlevel_Detail_Level _Reports_report_Footer Validation</v>
      </c>
      <c r="I117" s="98" t="s">
        <v>630</v>
      </c>
      <c r="J117" s="98" t="s">
        <v>660</v>
      </c>
      <c r="K117" s="98" t="s">
        <v>671</v>
      </c>
    </row>
    <row r="118" spans="2:11" x14ac:dyDescent="0.25">
      <c r="B118" s="98" t="s">
        <v>854</v>
      </c>
      <c r="C118" s="98" t="s">
        <v>672</v>
      </c>
      <c r="D118" s="98" t="s">
        <v>631</v>
      </c>
      <c r="E118" s="98" t="s">
        <v>18</v>
      </c>
      <c r="F118" s="98" t="s">
        <v>673</v>
      </c>
      <c r="G118" s="98">
        <v>1</v>
      </c>
      <c r="H118" s="98" t="str">
        <f t="shared" ref="H118:H145" si="9">HYPERLINK("http://rms/perspective.req?projectId=233&amp;docId=976498","BSS-TC-25088 TC_OBI_PM 1.4_002_Summary_Midlevel_Detail_Level _Reports_Print Functionality")</f>
        <v>BSS-TC-25088 TC_OBI_PM 1.4_002_Summary_Midlevel_Detail_Level _Reports_Print Functionality</v>
      </c>
      <c r="I118" s="98" t="s">
        <v>630</v>
      </c>
      <c r="J118" s="98" t="s">
        <v>20</v>
      </c>
      <c r="K118" s="98" t="s">
        <v>631</v>
      </c>
    </row>
    <row r="119" spans="2:11" x14ac:dyDescent="0.25">
      <c r="B119" s="98" t="s">
        <v>854</v>
      </c>
      <c r="C119" s="98" t="s">
        <v>672</v>
      </c>
      <c r="D119" s="98" t="s">
        <v>631</v>
      </c>
      <c r="E119" s="98" t="s">
        <v>21</v>
      </c>
      <c r="F119" s="98" t="s">
        <v>673</v>
      </c>
      <c r="G119" s="98">
        <v>2</v>
      </c>
      <c r="H119" s="98" t="str">
        <f t="shared" si="9"/>
        <v>BSS-TC-25088 TC_OBI_PM 1.4_002_Summary_Midlevel_Detail_Level _Reports_Print Functionality</v>
      </c>
      <c r="I119" s="98" t="s">
        <v>630</v>
      </c>
      <c r="J119" s="98" t="s">
        <v>22</v>
      </c>
      <c r="K119" s="98" t="s">
        <v>631</v>
      </c>
    </row>
    <row r="120" spans="2:11" x14ac:dyDescent="0.25">
      <c r="B120" s="98" t="s">
        <v>854</v>
      </c>
      <c r="C120" s="98" t="s">
        <v>672</v>
      </c>
      <c r="D120" s="98" t="s">
        <v>631</v>
      </c>
      <c r="E120" s="98" t="s">
        <v>655</v>
      </c>
      <c r="F120" s="98" t="s">
        <v>673</v>
      </c>
      <c r="G120" s="98">
        <v>3</v>
      </c>
      <c r="H120" s="98" t="str">
        <f t="shared" si="9"/>
        <v>BSS-TC-25088 TC_OBI_PM 1.4_002_Summary_Midlevel_Detail_Level _Reports_Print Functionality</v>
      </c>
      <c r="I120" s="98" t="s">
        <v>630</v>
      </c>
      <c r="J120" s="98" t="s">
        <v>24</v>
      </c>
      <c r="K120" s="98" t="s">
        <v>631</v>
      </c>
    </row>
    <row r="121" spans="2:11" x14ac:dyDescent="0.25">
      <c r="B121" s="98" t="s">
        <v>854</v>
      </c>
      <c r="C121" s="98" t="s">
        <v>672</v>
      </c>
      <c r="D121" s="98" t="s">
        <v>631</v>
      </c>
      <c r="E121" s="98" t="s">
        <v>25</v>
      </c>
      <c r="F121" s="98" t="s">
        <v>673</v>
      </c>
      <c r="G121" s="98">
        <v>4</v>
      </c>
      <c r="H121" s="98" t="str">
        <f t="shared" si="9"/>
        <v>BSS-TC-25088 TC_OBI_PM 1.4_002_Summary_Midlevel_Detail_Level _Reports_Print Functionality</v>
      </c>
      <c r="I121" s="98" t="s">
        <v>630</v>
      </c>
      <c r="J121" s="98" t="s">
        <v>27</v>
      </c>
      <c r="K121" s="98" t="s">
        <v>631</v>
      </c>
    </row>
    <row r="122" spans="2:11" x14ac:dyDescent="0.25">
      <c r="B122" s="98" t="s">
        <v>854</v>
      </c>
      <c r="C122" s="98" t="s">
        <v>672</v>
      </c>
      <c r="D122" s="98" t="s">
        <v>631</v>
      </c>
      <c r="E122" s="98" t="s">
        <v>674</v>
      </c>
      <c r="F122" s="98" t="s">
        <v>673</v>
      </c>
      <c r="G122" s="98">
        <v>5</v>
      </c>
      <c r="H122" s="98" t="str">
        <f t="shared" si="9"/>
        <v>BSS-TC-25088 TC_OBI_PM 1.4_002_Summary_Midlevel_Detail_Level _Reports_Print Functionality</v>
      </c>
      <c r="I122" s="98" t="s">
        <v>630</v>
      </c>
      <c r="J122" s="98" t="s">
        <v>675</v>
      </c>
      <c r="K122" s="98" t="s">
        <v>631</v>
      </c>
    </row>
    <row r="123" spans="2:11" x14ac:dyDescent="0.25">
      <c r="B123" s="98" t="s">
        <v>854</v>
      </c>
      <c r="C123" s="98" t="s">
        <v>672</v>
      </c>
      <c r="D123" s="98" t="s">
        <v>631</v>
      </c>
      <c r="E123" s="98" t="s">
        <v>676</v>
      </c>
      <c r="F123" s="98" t="s">
        <v>673</v>
      </c>
      <c r="G123" s="98">
        <v>6</v>
      </c>
      <c r="H123" s="98" t="str">
        <f t="shared" si="9"/>
        <v>BSS-TC-25088 TC_OBI_PM 1.4_002_Summary_Midlevel_Detail_Level _Reports_Print Functionality</v>
      </c>
      <c r="I123" s="98" t="s">
        <v>630</v>
      </c>
      <c r="J123" s="98" t="s">
        <v>677</v>
      </c>
      <c r="K123" s="98" t="s">
        <v>631</v>
      </c>
    </row>
    <row r="124" spans="2:11" x14ac:dyDescent="0.25">
      <c r="B124" s="98" t="s">
        <v>854</v>
      </c>
      <c r="C124" s="98" t="s">
        <v>672</v>
      </c>
      <c r="D124" s="98" t="s">
        <v>631</v>
      </c>
      <c r="E124" s="98" t="s">
        <v>678</v>
      </c>
      <c r="F124" s="98" t="s">
        <v>673</v>
      </c>
      <c r="G124" s="98">
        <v>7</v>
      </c>
      <c r="H124" s="98" t="str">
        <f t="shared" si="9"/>
        <v>BSS-TC-25088 TC_OBI_PM 1.4_002_Summary_Midlevel_Detail_Level _Reports_Print Functionality</v>
      </c>
      <c r="I124" s="98" t="s">
        <v>630</v>
      </c>
      <c r="J124" s="98" t="s">
        <v>679</v>
      </c>
      <c r="K124" s="98" t="s">
        <v>631</v>
      </c>
    </row>
    <row r="125" spans="2:11" x14ac:dyDescent="0.25">
      <c r="B125" s="98" t="s">
        <v>854</v>
      </c>
      <c r="C125" s="98" t="s">
        <v>672</v>
      </c>
      <c r="D125" s="98" t="s">
        <v>631</v>
      </c>
      <c r="E125" s="98" t="s">
        <v>680</v>
      </c>
      <c r="F125" s="98" t="s">
        <v>673</v>
      </c>
      <c r="G125" s="98">
        <v>8</v>
      </c>
      <c r="H125" s="98" t="str">
        <f t="shared" si="9"/>
        <v>BSS-TC-25088 TC_OBI_PM 1.4_002_Summary_Midlevel_Detail_Level _Reports_Print Functionality</v>
      </c>
      <c r="I125" s="98" t="s">
        <v>630</v>
      </c>
      <c r="J125" s="98" t="s">
        <v>681</v>
      </c>
      <c r="K125" s="98" t="s">
        <v>682</v>
      </c>
    </row>
    <row r="126" spans="2:11" x14ac:dyDescent="0.25">
      <c r="B126" s="98" t="s">
        <v>854</v>
      </c>
      <c r="C126" s="98" t="s">
        <v>672</v>
      </c>
      <c r="D126" s="98" t="s">
        <v>631</v>
      </c>
      <c r="E126" s="98" t="s">
        <v>683</v>
      </c>
      <c r="F126" s="98" t="s">
        <v>673</v>
      </c>
      <c r="G126" s="98">
        <v>9</v>
      </c>
      <c r="H126" s="98" t="str">
        <f t="shared" si="9"/>
        <v>BSS-TC-25088 TC_OBI_PM 1.4_002_Summary_Midlevel_Detail_Level _Reports_Print Functionality</v>
      </c>
      <c r="I126" s="98" t="s">
        <v>630</v>
      </c>
      <c r="J126" s="98" t="s">
        <v>684</v>
      </c>
      <c r="K126" s="98" t="s">
        <v>685</v>
      </c>
    </row>
    <row r="127" spans="2:11" x14ac:dyDescent="0.25">
      <c r="B127" s="98" t="s">
        <v>854</v>
      </c>
      <c r="C127" s="98" t="s">
        <v>672</v>
      </c>
      <c r="D127" s="98" t="s">
        <v>631</v>
      </c>
      <c r="E127" s="98" t="s">
        <v>686</v>
      </c>
      <c r="F127" s="98" t="s">
        <v>673</v>
      </c>
      <c r="G127" s="98">
        <v>10</v>
      </c>
      <c r="H127" s="98" t="str">
        <f t="shared" si="9"/>
        <v>BSS-TC-25088 TC_OBI_PM 1.4_002_Summary_Midlevel_Detail_Level _Reports_Print Functionality</v>
      </c>
      <c r="I127" s="98" t="s">
        <v>630</v>
      </c>
      <c r="J127" s="98" t="s">
        <v>687</v>
      </c>
      <c r="K127" s="98" t="s">
        <v>631</v>
      </c>
    </row>
    <row r="128" spans="2:11" x14ac:dyDescent="0.25">
      <c r="B128" s="98" t="s">
        <v>854</v>
      </c>
      <c r="C128" s="98" t="s">
        <v>672</v>
      </c>
      <c r="D128" s="98" t="s">
        <v>631</v>
      </c>
      <c r="E128" s="98" t="s">
        <v>674</v>
      </c>
      <c r="F128" s="98" t="s">
        <v>673</v>
      </c>
      <c r="G128" s="98">
        <v>11</v>
      </c>
      <c r="H128" s="98" t="str">
        <f t="shared" si="9"/>
        <v>BSS-TC-25088 TC_OBI_PM 1.4_002_Summary_Midlevel_Detail_Level _Reports_Print Functionality</v>
      </c>
      <c r="I128" s="98" t="s">
        <v>630</v>
      </c>
      <c r="J128" s="98" t="s">
        <v>675</v>
      </c>
      <c r="K128" s="98" t="s">
        <v>631</v>
      </c>
    </row>
    <row r="129" spans="2:11" x14ac:dyDescent="0.25">
      <c r="B129" s="98" t="s">
        <v>854</v>
      </c>
      <c r="C129" s="98" t="s">
        <v>672</v>
      </c>
      <c r="D129" s="98" t="s">
        <v>631</v>
      </c>
      <c r="E129" s="98" t="s">
        <v>676</v>
      </c>
      <c r="F129" s="98" t="s">
        <v>673</v>
      </c>
      <c r="G129" s="98">
        <v>12</v>
      </c>
      <c r="H129" s="98" t="str">
        <f t="shared" si="9"/>
        <v>BSS-TC-25088 TC_OBI_PM 1.4_002_Summary_Midlevel_Detail_Level _Reports_Print Functionality</v>
      </c>
      <c r="I129" s="98" t="s">
        <v>630</v>
      </c>
      <c r="J129" s="98" t="s">
        <v>677</v>
      </c>
      <c r="K129" s="98" t="s">
        <v>631</v>
      </c>
    </row>
    <row r="130" spans="2:11" x14ac:dyDescent="0.25">
      <c r="B130" s="98" t="s">
        <v>854</v>
      </c>
      <c r="C130" s="98" t="s">
        <v>672</v>
      </c>
      <c r="D130" s="98" t="s">
        <v>631</v>
      </c>
      <c r="E130" s="98" t="s">
        <v>678</v>
      </c>
      <c r="F130" s="98" t="s">
        <v>673</v>
      </c>
      <c r="G130" s="98">
        <v>13</v>
      </c>
      <c r="H130" s="98" t="str">
        <f t="shared" si="9"/>
        <v>BSS-TC-25088 TC_OBI_PM 1.4_002_Summary_Midlevel_Detail_Level _Reports_Print Functionality</v>
      </c>
      <c r="I130" s="98" t="s">
        <v>630</v>
      </c>
      <c r="J130" s="98" t="s">
        <v>688</v>
      </c>
      <c r="K130" s="98" t="s">
        <v>631</v>
      </c>
    </row>
    <row r="131" spans="2:11" x14ac:dyDescent="0.25">
      <c r="B131" s="98" t="s">
        <v>854</v>
      </c>
      <c r="C131" s="98" t="s">
        <v>672</v>
      </c>
      <c r="D131" s="98" t="s">
        <v>631</v>
      </c>
      <c r="E131" s="98" t="s">
        <v>680</v>
      </c>
      <c r="F131" s="98" t="s">
        <v>673</v>
      </c>
      <c r="G131" s="98">
        <v>14</v>
      </c>
      <c r="H131" s="98" t="str">
        <f t="shared" si="9"/>
        <v>BSS-TC-25088 TC_OBI_PM 1.4_002_Summary_Midlevel_Detail_Level _Reports_Print Functionality</v>
      </c>
      <c r="I131" s="98" t="s">
        <v>630</v>
      </c>
      <c r="J131" s="98" t="s">
        <v>681</v>
      </c>
      <c r="K131" s="98" t="s">
        <v>682</v>
      </c>
    </row>
    <row r="132" spans="2:11" x14ac:dyDescent="0.25">
      <c r="B132" s="98" t="s">
        <v>854</v>
      </c>
      <c r="C132" s="98" t="s">
        <v>672</v>
      </c>
      <c r="D132" s="98" t="s">
        <v>631</v>
      </c>
      <c r="E132" s="98" t="s">
        <v>689</v>
      </c>
      <c r="F132" s="98" t="s">
        <v>673</v>
      </c>
      <c r="G132" s="98">
        <v>15</v>
      </c>
      <c r="H132" s="98" t="str">
        <f t="shared" si="9"/>
        <v>BSS-TC-25088 TC_OBI_PM 1.4_002_Summary_Midlevel_Detail_Level _Reports_Print Functionality</v>
      </c>
      <c r="I132" s="98" t="s">
        <v>630</v>
      </c>
      <c r="J132" s="98" t="s">
        <v>690</v>
      </c>
      <c r="K132" s="98" t="s">
        <v>685</v>
      </c>
    </row>
    <row r="133" spans="2:11" x14ac:dyDescent="0.25">
      <c r="B133" s="98" t="s">
        <v>854</v>
      </c>
      <c r="C133" s="98" t="s">
        <v>672</v>
      </c>
      <c r="D133" s="98" t="s">
        <v>631</v>
      </c>
      <c r="E133" s="98" t="s">
        <v>352</v>
      </c>
      <c r="F133" s="98" t="s">
        <v>673</v>
      </c>
      <c r="G133" s="98">
        <v>16</v>
      </c>
      <c r="H133" s="98" t="str">
        <f t="shared" si="9"/>
        <v>BSS-TC-25088 TC_OBI_PM 1.4_002_Summary_Midlevel_Detail_Level _Reports_Print Functionality</v>
      </c>
      <c r="I133" s="98" t="s">
        <v>630</v>
      </c>
      <c r="J133" s="98" t="s">
        <v>691</v>
      </c>
      <c r="K133" s="98" t="s">
        <v>631</v>
      </c>
    </row>
    <row r="134" spans="2:11" x14ac:dyDescent="0.25">
      <c r="B134" s="98" t="s">
        <v>854</v>
      </c>
      <c r="C134" s="98" t="s">
        <v>672</v>
      </c>
      <c r="D134" s="98" t="s">
        <v>631</v>
      </c>
      <c r="E134" s="98" t="s">
        <v>674</v>
      </c>
      <c r="F134" s="98" t="s">
        <v>673</v>
      </c>
      <c r="G134" s="98">
        <v>17</v>
      </c>
      <c r="H134" s="98" t="str">
        <f t="shared" si="9"/>
        <v>BSS-TC-25088 TC_OBI_PM 1.4_002_Summary_Midlevel_Detail_Level _Reports_Print Functionality</v>
      </c>
      <c r="I134" s="98" t="s">
        <v>630</v>
      </c>
      <c r="J134" s="98" t="s">
        <v>675</v>
      </c>
      <c r="K134" s="98" t="s">
        <v>631</v>
      </c>
    </row>
    <row r="135" spans="2:11" x14ac:dyDescent="0.25">
      <c r="B135" s="98" t="s">
        <v>854</v>
      </c>
      <c r="C135" s="98" t="s">
        <v>672</v>
      </c>
      <c r="D135" s="98" t="s">
        <v>631</v>
      </c>
      <c r="E135" s="98" t="s">
        <v>676</v>
      </c>
      <c r="F135" s="98" t="s">
        <v>673</v>
      </c>
      <c r="G135" s="98">
        <v>18</v>
      </c>
      <c r="H135" s="98" t="str">
        <f t="shared" si="9"/>
        <v>BSS-TC-25088 TC_OBI_PM 1.4_002_Summary_Midlevel_Detail_Level _Reports_Print Functionality</v>
      </c>
      <c r="I135" s="98" t="s">
        <v>630</v>
      </c>
      <c r="J135" s="98" t="s">
        <v>677</v>
      </c>
      <c r="K135" s="98" t="s">
        <v>631</v>
      </c>
    </row>
    <row r="136" spans="2:11" x14ac:dyDescent="0.25">
      <c r="B136" s="98" t="s">
        <v>854</v>
      </c>
      <c r="C136" s="98" t="s">
        <v>672</v>
      </c>
      <c r="D136" s="98" t="s">
        <v>631</v>
      </c>
      <c r="E136" s="98" t="s">
        <v>678</v>
      </c>
      <c r="F136" s="98" t="s">
        <v>673</v>
      </c>
      <c r="G136" s="98">
        <v>19</v>
      </c>
      <c r="H136" s="98" t="str">
        <f t="shared" si="9"/>
        <v>BSS-TC-25088 TC_OBI_PM 1.4_002_Summary_Midlevel_Detail_Level _Reports_Print Functionality</v>
      </c>
      <c r="I136" s="98" t="s">
        <v>630</v>
      </c>
      <c r="J136" s="98" t="s">
        <v>692</v>
      </c>
      <c r="K136" s="98" t="s">
        <v>631</v>
      </c>
    </row>
    <row r="137" spans="2:11" x14ac:dyDescent="0.25">
      <c r="B137" s="98" t="s">
        <v>854</v>
      </c>
      <c r="C137" s="98" t="s">
        <v>672</v>
      </c>
      <c r="D137" s="98" t="s">
        <v>631</v>
      </c>
      <c r="E137" s="98" t="s">
        <v>680</v>
      </c>
      <c r="F137" s="98" t="s">
        <v>673</v>
      </c>
      <c r="G137" s="98">
        <v>20</v>
      </c>
      <c r="H137" s="98" t="str">
        <f t="shared" si="9"/>
        <v>BSS-TC-25088 TC_OBI_PM 1.4_002_Summary_Midlevel_Detail_Level _Reports_Print Functionality</v>
      </c>
      <c r="I137" s="98" t="s">
        <v>630</v>
      </c>
      <c r="J137" s="98" t="s">
        <v>681</v>
      </c>
      <c r="K137" s="98" t="s">
        <v>682</v>
      </c>
    </row>
    <row r="138" spans="2:11" x14ac:dyDescent="0.25">
      <c r="B138" s="98" t="s">
        <v>854</v>
      </c>
      <c r="C138" s="98" t="s">
        <v>672</v>
      </c>
      <c r="D138" s="98" t="s">
        <v>631</v>
      </c>
      <c r="E138" s="98" t="s">
        <v>693</v>
      </c>
      <c r="F138" s="98" t="s">
        <v>673</v>
      </c>
      <c r="G138" s="98">
        <v>21</v>
      </c>
      <c r="H138" s="98" t="str">
        <f t="shared" si="9"/>
        <v>BSS-TC-25088 TC_OBI_PM 1.4_002_Summary_Midlevel_Detail_Level _Reports_Print Functionality</v>
      </c>
      <c r="I138" s="98" t="s">
        <v>630</v>
      </c>
      <c r="J138" s="98" t="s">
        <v>694</v>
      </c>
      <c r="K138" s="98" t="s">
        <v>685</v>
      </c>
    </row>
    <row r="139" spans="2:11" x14ac:dyDescent="0.25">
      <c r="B139" s="98" t="s">
        <v>854</v>
      </c>
      <c r="C139" s="98" t="s">
        <v>672</v>
      </c>
      <c r="D139" s="98" t="s">
        <v>631</v>
      </c>
      <c r="E139" s="98" t="s">
        <v>695</v>
      </c>
      <c r="F139" s="98" t="s">
        <v>673</v>
      </c>
      <c r="G139" s="98">
        <v>22</v>
      </c>
      <c r="H139" s="98" t="str">
        <f t="shared" si="9"/>
        <v>BSS-TC-25088 TC_OBI_PM 1.4_002_Summary_Midlevel_Detail_Level _Reports_Print Functionality</v>
      </c>
      <c r="I139" s="98" t="s">
        <v>630</v>
      </c>
      <c r="J139" s="98" t="s">
        <v>696</v>
      </c>
      <c r="K139" s="98" t="s">
        <v>631</v>
      </c>
    </row>
    <row r="140" spans="2:11" x14ac:dyDescent="0.25">
      <c r="B140" s="98" t="s">
        <v>854</v>
      </c>
      <c r="C140" s="98" t="s">
        <v>672</v>
      </c>
      <c r="D140" s="98" t="s">
        <v>631</v>
      </c>
      <c r="E140" s="98" t="s">
        <v>697</v>
      </c>
      <c r="F140" s="98" t="s">
        <v>673</v>
      </c>
      <c r="G140" s="98">
        <v>23</v>
      </c>
      <c r="H140" s="98" t="str">
        <f t="shared" si="9"/>
        <v>BSS-TC-25088 TC_OBI_PM 1.4_002_Summary_Midlevel_Detail_Level _Reports_Print Functionality</v>
      </c>
      <c r="I140" s="98" t="s">
        <v>630</v>
      </c>
      <c r="J140" s="98" t="s">
        <v>698</v>
      </c>
      <c r="K140" s="98" t="s">
        <v>631</v>
      </c>
    </row>
    <row r="141" spans="2:11" x14ac:dyDescent="0.25">
      <c r="B141" s="98" t="s">
        <v>854</v>
      </c>
      <c r="C141" s="98" t="s">
        <v>672</v>
      </c>
      <c r="D141" s="98" t="s">
        <v>631</v>
      </c>
      <c r="E141" s="98" t="s">
        <v>674</v>
      </c>
      <c r="F141" s="98" t="s">
        <v>673</v>
      </c>
      <c r="G141" s="98">
        <v>24</v>
      </c>
      <c r="H141" s="98" t="str">
        <f t="shared" si="9"/>
        <v>BSS-TC-25088 TC_OBI_PM 1.4_002_Summary_Midlevel_Detail_Level _Reports_Print Functionality</v>
      </c>
      <c r="I141" s="98" t="s">
        <v>630</v>
      </c>
      <c r="J141" s="98" t="s">
        <v>675</v>
      </c>
      <c r="K141" s="98" t="s">
        <v>631</v>
      </c>
    </row>
    <row r="142" spans="2:11" x14ac:dyDescent="0.25">
      <c r="B142" s="98" t="s">
        <v>854</v>
      </c>
      <c r="C142" s="98" t="s">
        <v>672</v>
      </c>
      <c r="D142" s="98" t="s">
        <v>631</v>
      </c>
      <c r="E142" s="98" t="s">
        <v>676</v>
      </c>
      <c r="F142" s="98" t="s">
        <v>673</v>
      </c>
      <c r="G142" s="98">
        <v>25</v>
      </c>
      <c r="H142" s="98" t="str">
        <f t="shared" si="9"/>
        <v>BSS-TC-25088 TC_OBI_PM 1.4_002_Summary_Midlevel_Detail_Level _Reports_Print Functionality</v>
      </c>
      <c r="I142" s="98" t="s">
        <v>630</v>
      </c>
      <c r="J142" s="98" t="s">
        <v>677</v>
      </c>
      <c r="K142" s="98" t="s">
        <v>631</v>
      </c>
    </row>
    <row r="143" spans="2:11" x14ac:dyDescent="0.25">
      <c r="B143" s="98" t="s">
        <v>854</v>
      </c>
      <c r="C143" s="98" t="s">
        <v>672</v>
      </c>
      <c r="D143" s="98" t="s">
        <v>631</v>
      </c>
      <c r="E143" s="98" t="s">
        <v>678</v>
      </c>
      <c r="F143" s="98" t="s">
        <v>673</v>
      </c>
      <c r="G143" s="98">
        <v>26</v>
      </c>
      <c r="H143" s="98" t="str">
        <f t="shared" si="9"/>
        <v>BSS-TC-25088 TC_OBI_PM 1.4_002_Summary_Midlevel_Detail_Level _Reports_Print Functionality</v>
      </c>
      <c r="I143" s="98" t="s">
        <v>630</v>
      </c>
      <c r="J143" s="98" t="s">
        <v>699</v>
      </c>
      <c r="K143" s="98" t="s">
        <v>631</v>
      </c>
    </row>
    <row r="144" spans="2:11" x14ac:dyDescent="0.25">
      <c r="B144" s="98" t="s">
        <v>854</v>
      </c>
      <c r="C144" s="98" t="s">
        <v>672</v>
      </c>
      <c r="D144" s="98" t="s">
        <v>631</v>
      </c>
      <c r="E144" s="98" t="s">
        <v>680</v>
      </c>
      <c r="F144" s="98" t="s">
        <v>673</v>
      </c>
      <c r="G144" s="98">
        <v>27</v>
      </c>
      <c r="H144" s="98" t="str">
        <f t="shared" si="9"/>
        <v>BSS-TC-25088 TC_OBI_PM 1.4_002_Summary_Midlevel_Detail_Level _Reports_Print Functionality</v>
      </c>
      <c r="I144" s="98" t="s">
        <v>630</v>
      </c>
      <c r="J144" s="98" t="s">
        <v>681</v>
      </c>
      <c r="K144" s="98" t="s">
        <v>682</v>
      </c>
    </row>
    <row r="145" spans="2:11" x14ac:dyDescent="0.25">
      <c r="B145" s="98" t="s">
        <v>854</v>
      </c>
      <c r="C145" s="98" t="s">
        <v>672</v>
      </c>
      <c r="D145" s="98" t="s">
        <v>631</v>
      </c>
      <c r="E145" s="98" t="s">
        <v>700</v>
      </c>
      <c r="F145" s="98" t="s">
        <v>673</v>
      </c>
      <c r="G145" s="98">
        <v>28</v>
      </c>
      <c r="H145" s="98" t="str">
        <f t="shared" si="9"/>
        <v>BSS-TC-25088 TC_OBI_PM 1.4_002_Summary_Midlevel_Detail_Level _Reports_Print Functionality</v>
      </c>
      <c r="I145" s="98" t="s">
        <v>630</v>
      </c>
      <c r="J145" s="98" t="s">
        <v>701</v>
      </c>
      <c r="K145" s="98" t="s">
        <v>685</v>
      </c>
    </row>
    <row r="146" spans="2:11" x14ac:dyDescent="0.25">
      <c r="B146" s="98" t="s">
        <v>855</v>
      </c>
      <c r="C146" s="98" t="s">
        <v>702</v>
      </c>
      <c r="D146" s="98" t="s">
        <v>631</v>
      </c>
      <c r="E146" s="98" t="s">
        <v>18</v>
      </c>
      <c r="F146" s="98" t="s">
        <v>703</v>
      </c>
      <c r="G146" s="98">
        <v>1</v>
      </c>
      <c r="H146" s="98" t="str">
        <f t="shared" ref="H146:H170" si="10">HYPERLINK("http://rms/perspective.req?projectId=233&amp;docId=976499","BSS-TC-25089 TC_OBI_PM 1.4_003_Export link")</f>
        <v>BSS-TC-25089 TC_OBI_PM 1.4_003_Export link</v>
      </c>
      <c r="I146" s="98" t="s">
        <v>630</v>
      </c>
      <c r="J146" s="98" t="s">
        <v>20</v>
      </c>
      <c r="K146" s="98" t="s">
        <v>631</v>
      </c>
    </row>
    <row r="147" spans="2:11" x14ac:dyDescent="0.25">
      <c r="B147" s="98" t="s">
        <v>855</v>
      </c>
      <c r="C147" s="98" t="s">
        <v>702</v>
      </c>
      <c r="D147" s="98" t="s">
        <v>631</v>
      </c>
      <c r="E147" s="98" t="s">
        <v>21</v>
      </c>
      <c r="F147" s="98" t="s">
        <v>703</v>
      </c>
      <c r="G147" s="98">
        <v>2</v>
      </c>
      <c r="H147" s="98" t="str">
        <f t="shared" si="10"/>
        <v>BSS-TC-25089 TC_OBI_PM 1.4_003_Export link</v>
      </c>
      <c r="I147" s="98" t="s">
        <v>630</v>
      </c>
      <c r="J147" s="98" t="s">
        <v>22</v>
      </c>
      <c r="K147" s="98" t="s">
        <v>631</v>
      </c>
    </row>
    <row r="148" spans="2:11" x14ac:dyDescent="0.25">
      <c r="B148" s="98" t="s">
        <v>855</v>
      </c>
      <c r="C148" s="98" t="s">
        <v>702</v>
      </c>
      <c r="D148" s="98" t="s">
        <v>631</v>
      </c>
      <c r="E148" s="98" t="s">
        <v>655</v>
      </c>
      <c r="F148" s="98" t="s">
        <v>703</v>
      </c>
      <c r="G148" s="98">
        <v>3</v>
      </c>
      <c r="H148" s="98" t="str">
        <f t="shared" si="10"/>
        <v>BSS-TC-25089 TC_OBI_PM 1.4_003_Export link</v>
      </c>
      <c r="I148" s="98" t="s">
        <v>630</v>
      </c>
      <c r="J148" s="98" t="s">
        <v>41</v>
      </c>
      <c r="K148" s="98" t="s">
        <v>631</v>
      </c>
    </row>
    <row r="149" spans="2:11" x14ac:dyDescent="0.25">
      <c r="B149" s="98" t="s">
        <v>855</v>
      </c>
      <c r="C149" s="98" t="s">
        <v>702</v>
      </c>
      <c r="D149" s="98" t="s">
        <v>631</v>
      </c>
      <c r="E149" s="98" t="s">
        <v>704</v>
      </c>
      <c r="F149" s="98" t="s">
        <v>703</v>
      </c>
      <c r="G149" s="98">
        <v>4</v>
      </c>
      <c r="H149" s="98" t="str">
        <f t="shared" si="10"/>
        <v>BSS-TC-25089 TC_OBI_PM 1.4_003_Export link</v>
      </c>
      <c r="I149" s="98" t="s">
        <v>630</v>
      </c>
      <c r="J149" s="98" t="s">
        <v>705</v>
      </c>
      <c r="K149" s="98" t="s">
        <v>706</v>
      </c>
    </row>
    <row r="150" spans="2:11" x14ac:dyDescent="0.25">
      <c r="B150" s="98" t="s">
        <v>855</v>
      </c>
      <c r="C150" s="98" t="s">
        <v>702</v>
      </c>
      <c r="D150" s="98" t="s">
        <v>631</v>
      </c>
      <c r="E150" s="98" t="s">
        <v>707</v>
      </c>
      <c r="F150" s="98" t="s">
        <v>703</v>
      </c>
      <c r="G150" s="98">
        <v>5</v>
      </c>
      <c r="H150" s="98" t="str">
        <f t="shared" si="10"/>
        <v>BSS-TC-25089 TC_OBI_PM 1.4_003_Export link</v>
      </c>
      <c r="I150" s="98" t="s">
        <v>630</v>
      </c>
      <c r="J150" s="98" t="s">
        <v>708</v>
      </c>
      <c r="K150" s="98" t="s">
        <v>631</v>
      </c>
    </row>
    <row r="151" spans="2:11" x14ac:dyDescent="0.25">
      <c r="B151" s="98" t="s">
        <v>855</v>
      </c>
      <c r="C151" s="98" t="s">
        <v>702</v>
      </c>
      <c r="D151" s="98" t="s">
        <v>631</v>
      </c>
      <c r="E151" s="98" t="s">
        <v>709</v>
      </c>
      <c r="F151" s="98" t="s">
        <v>703</v>
      </c>
      <c r="G151" s="98">
        <v>6</v>
      </c>
      <c r="H151" s="98" t="str">
        <f t="shared" si="10"/>
        <v>BSS-TC-25089 TC_OBI_PM 1.4_003_Export link</v>
      </c>
      <c r="I151" s="98" t="s">
        <v>630</v>
      </c>
      <c r="J151" s="98" t="s">
        <v>710</v>
      </c>
      <c r="K151" s="98" t="s">
        <v>631</v>
      </c>
    </row>
    <row r="152" spans="2:11" x14ac:dyDescent="0.25">
      <c r="B152" s="98" t="s">
        <v>855</v>
      </c>
      <c r="C152" s="98" t="s">
        <v>702</v>
      </c>
      <c r="D152" s="98" t="s">
        <v>631</v>
      </c>
      <c r="E152" s="98" t="s">
        <v>711</v>
      </c>
      <c r="F152" s="98" t="s">
        <v>703</v>
      </c>
      <c r="G152" s="98">
        <v>7</v>
      </c>
      <c r="H152" s="98" t="str">
        <f t="shared" si="10"/>
        <v>BSS-TC-25089 TC_OBI_PM 1.4_003_Export link</v>
      </c>
      <c r="I152" s="98" t="s">
        <v>630</v>
      </c>
      <c r="J152" s="98" t="s">
        <v>712</v>
      </c>
      <c r="K152" s="98" t="s">
        <v>631</v>
      </c>
    </row>
    <row r="153" spans="2:11" x14ac:dyDescent="0.25">
      <c r="B153" s="98" t="s">
        <v>855</v>
      </c>
      <c r="C153" s="98" t="s">
        <v>702</v>
      </c>
      <c r="D153" s="98" t="s">
        <v>631</v>
      </c>
      <c r="E153" s="98" t="s">
        <v>713</v>
      </c>
      <c r="F153" s="98" t="s">
        <v>703</v>
      </c>
      <c r="G153" s="98">
        <v>8</v>
      </c>
      <c r="H153" s="98" t="str">
        <f t="shared" si="10"/>
        <v>BSS-TC-25089 TC_OBI_PM 1.4_003_Export link</v>
      </c>
      <c r="I153" s="98" t="s">
        <v>630</v>
      </c>
      <c r="J153" s="98" t="s">
        <v>714</v>
      </c>
      <c r="K153" s="98" t="s">
        <v>715</v>
      </c>
    </row>
    <row r="154" spans="2:11" x14ac:dyDescent="0.25">
      <c r="B154" s="98" t="s">
        <v>855</v>
      </c>
      <c r="C154" s="98" t="s">
        <v>702</v>
      </c>
      <c r="D154" s="98" t="s">
        <v>631</v>
      </c>
      <c r="E154" s="98" t="s">
        <v>716</v>
      </c>
      <c r="F154" s="98" t="s">
        <v>703</v>
      </c>
      <c r="G154" s="98">
        <v>9</v>
      </c>
      <c r="H154" s="98" t="str">
        <f t="shared" si="10"/>
        <v>BSS-TC-25089 TC_OBI_PM 1.4_003_Export link</v>
      </c>
      <c r="I154" s="98" t="s">
        <v>630</v>
      </c>
      <c r="J154" s="98" t="s">
        <v>27</v>
      </c>
      <c r="K154" s="98" t="s">
        <v>631</v>
      </c>
    </row>
    <row r="155" spans="2:11" x14ac:dyDescent="0.25">
      <c r="B155" s="98" t="s">
        <v>855</v>
      </c>
      <c r="C155" s="98" t="s">
        <v>702</v>
      </c>
      <c r="D155" s="98" t="s">
        <v>631</v>
      </c>
      <c r="E155" s="98" t="s">
        <v>717</v>
      </c>
      <c r="F155" s="98" t="s">
        <v>703</v>
      </c>
      <c r="G155" s="98">
        <v>10</v>
      </c>
      <c r="H155" s="98" t="str">
        <f t="shared" si="10"/>
        <v>BSS-TC-25089 TC_OBI_PM 1.4_003_Export link</v>
      </c>
      <c r="I155" s="98" t="s">
        <v>630</v>
      </c>
      <c r="J155" s="98" t="s">
        <v>42</v>
      </c>
      <c r="K155" s="98" t="s">
        <v>631</v>
      </c>
    </row>
    <row r="156" spans="2:11" x14ac:dyDescent="0.25">
      <c r="B156" s="98" t="s">
        <v>855</v>
      </c>
      <c r="C156" s="98" t="s">
        <v>702</v>
      </c>
      <c r="D156" s="98" t="s">
        <v>631</v>
      </c>
      <c r="E156" s="98" t="s">
        <v>718</v>
      </c>
      <c r="F156" s="98" t="s">
        <v>703</v>
      </c>
      <c r="G156" s="98">
        <v>11</v>
      </c>
      <c r="H156" s="98" t="str">
        <f t="shared" si="10"/>
        <v>BSS-TC-25089 TC_OBI_PM 1.4_003_Export link</v>
      </c>
      <c r="I156" s="98" t="s">
        <v>630</v>
      </c>
      <c r="J156" s="98" t="s">
        <v>708</v>
      </c>
      <c r="K156" s="98" t="s">
        <v>719</v>
      </c>
    </row>
    <row r="157" spans="2:11" x14ac:dyDescent="0.25">
      <c r="B157" s="98" t="s">
        <v>855</v>
      </c>
      <c r="C157" s="98" t="s">
        <v>702</v>
      </c>
      <c r="D157" s="98" t="s">
        <v>631</v>
      </c>
      <c r="E157" s="98" t="s">
        <v>709</v>
      </c>
      <c r="F157" s="98" t="s">
        <v>703</v>
      </c>
      <c r="G157" s="98">
        <v>12</v>
      </c>
      <c r="H157" s="98" t="str">
        <f t="shared" si="10"/>
        <v>BSS-TC-25089 TC_OBI_PM 1.4_003_Export link</v>
      </c>
      <c r="I157" s="98" t="s">
        <v>630</v>
      </c>
      <c r="J157" s="98" t="s">
        <v>710</v>
      </c>
      <c r="K157" s="98" t="s">
        <v>631</v>
      </c>
    </row>
    <row r="158" spans="2:11" x14ac:dyDescent="0.25">
      <c r="B158" s="98" t="s">
        <v>855</v>
      </c>
      <c r="C158" s="98" t="s">
        <v>702</v>
      </c>
      <c r="D158" s="98" t="s">
        <v>631</v>
      </c>
      <c r="E158" s="98" t="s">
        <v>711</v>
      </c>
      <c r="F158" s="98" t="s">
        <v>703</v>
      </c>
      <c r="G158" s="98">
        <v>13</v>
      </c>
      <c r="H158" s="98" t="str">
        <f t="shared" si="10"/>
        <v>BSS-TC-25089 TC_OBI_PM 1.4_003_Export link</v>
      </c>
      <c r="I158" s="98" t="s">
        <v>630</v>
      </c>
      <c r="J158" s="98" t="s">
        <v>712</v>
      </c>
      <c r="K158" s="98" t="s">
        <v>631</v>
      </c>
    </row>
    <row r="159" spans="2:11" x14ac:dyDescent="0.25">
      <c r="B159" s="98" t="s">
        <v>855</v>
      </c>
      <c r="C159" s="98" t="s">
        <v>702</v>
      </c>
      <c r="D159" s="98" t="s">
        <v>631</v>
      </c>
      <c r="E159" s="98" t="s">
        <v>713</v>
      </c>
      <c r="F159" s="98" t="s">
        <v>703</v>
      </c>
      <c r="G159" s="98">
        <v>14</v>
      </c>
      <c r="H159" s="98" t="str">
        <f t="shared" si="10"/>
        <v>BSS-TC-25089 TC_OBI_PM 1.4_003_Export link</v>
      </c>
      <c r="I159" s="98" t="s">
        <v>630</v>
      </c>
      <c r="J159" s="98" t="s">
        <v>714</v>
      </c>
      <c r="K159" s="98" t="s">
        <v>715</v>
      </c>
    </row>
    <row r="160" spans="2:11" x14ac:dyDescent="0.25">
      <c r="B160" s="98" t="s">
        <v>855</v>
      </c>
      <c r="C160" s="98" t="s">
        <v>702</v>
      </c>
      <c r="D160" s="98" t="s">
        <v>631</v>
      </c>
      <c r="E160" s="98" t="s">
        <v>352</v>
      </c>
      <c r="F160" s="98" t="s">
        <v>703</v>
      </c>
      <c r="G160" s="98">
        <v>15</v>
      </c>
      <c r="H160" s="98" t="str">
        <f t="shared" si="10"/>
        <v>BSS-TC-25089 TC_OBI_PM 1.4_003_Export link</v>
      </c>
      <c r="I160" s="98" t="s">
        <v>630</v>
      </c>
      <c r="J160" s="98" t="s">
        <v>51</v>
      </c>
      <c r="K160" s="98" t="s">
        <v>720</v>
      </c>
    </row>
    <row r="161" spans="2:11" x14ac:dyDescent="0.25">
      <c r="B161" s="98" t="s">
        <v>855</v>
      </c>
      <c r="C161" s="98" t="s">
        <v>702</v>
      </c>
      <c r="D161" s="98" t="s">
        <v>631</v>
      </c>
      <c r="E161" s="98" t="s">
        <v>721</v>
      </c>
      <c r="F161" s="98" t="s">
        <v>703</v>
      </c>
      <c r="G161" s="98">
        <v>16</v>
      </c>
      <c r="H161" s="98" t="str">
        <f t="shared" si="10"/>
        <v>BSS-TC-25089 TC_OBI_PM 1.4_003_Export link</v>
      </c>
      <c r="I161" s="98" t="s">
        <v>630</v>
      </c>
      <c r="J161" s="98" t="s">
        <v>708</v>
      </c>
      <c r="K161" s="98" t="s">
        <v>631</v>
      </c>
    </row>
    <row r="162" spans="2:11" x14ac:dyDescent="0.25">
      <c r="B162" s="98" t="s">
        <v>855</v>
      </c>
      <c r="C162" s="98" t="s">
        <v>702</v>
      </c>
      <c r="D162" s="98" t="s">
        <v>631</v>
      </c>
      <c r="E162" s="98" t="s">
        <v>709</v>
      </c>
      <c r="F162" s="98" t="s">
        <v>703</v>
      </c>
      <c r="G162" s="98">
        <v>17</v>
      </c>
      <c r="H162" s="98" t="str">
        <f t="shared" si="10"/>
        <v>BSS-TC-25089 TC_OBI_PM 1.4_003_Export link</v>
      </c>
      <c r="I162" s="98" t="s">
        <v>630</v>
      </c>
      <c r="J162" s="98" t="s">
        <v>722</v>
      </c>
      <c r="K162" s="98" t="s">
        <v>631</v>
      </c>
    </row>
    <row r="163" spans="2:11" x14ac:dyDescent="0.25">
      <c r="B163" s="98" t="s">
        <v>855</v>
      </c>
      <c r="C163" s="98" t="s">
        <v>702</v>
      </c>
      <c r="D163" s="98" t="s">
        <v>631</v>
      </c>
      <c r="E163" s="98" t="s">
        <v>711</v>
      </c>
      <c r="F163" s="98" t="s">
        <v>703</v>
      </c>
      <c r="G163" s="98">
        <v>18</v>
      </c>
      <c r="H163" s="98" t="str">
        <f t="shared" si="10"/>
        <v>BSS-TC-25089 TC_OBI_PM 1.4_003_Export link</v>
      </c>
      <c r="I163" s="98" t="s">
        <v>630</v>
      </c>
      <c r="J163" s="98" t="s">
        <v>712</v>
      </c>
      <c r="K163" s="98" t="s">
        <v>631</v>
      </c>
    </row>
    <row r="164" spans="2:11" x14ac:dyDescent="0.25">
      <c r="B164" s="98" t="s">
        <v>855</v>
      </c>
      <c r="C164" s="98" t="s">
        <v>702</v>
      </c>
      <c r="D164" s="98" t="s">
        <v>631</v>
      </c>
      <c r="E164" s="98" t="s">
        <v>713</v>
      </c>
      <c r="F164" s="98" t="s">
        <v>703</v>
      </c>
      <c r="G164" s="98">
        <v>19</v>
      </c>
      <c r="H164" s="98" t="str">
        <f t="shared" si="10"/>
        <v>BSS-TC-25089 TC_OBI_PM 1.4_003_Export link</v>
      </c>
      <c r="I164" s="98" t="s">
        <v>630</v>
      </c>
      <c r="J164" s="98" t="s">
        <v>714</v>
      </c>
      <c r="K164" s="98" t="s">
        <v>723</v>
      </c>
    </row>
    <row r="165" spans="2:11" x14ac:dyDescent="0.25">
      <c r="B165" s="98" t="s">
        <v>855</v>
      </c>
      <c r="C165" s="98" t="s">
        <v>702</v>
      </c>
      <c r="D165" s="98" t="s">
        <v>631</v>
      </c>
      <c r="E165" s="98" t="s">
        <v>724</v>
      </c>
      <c r="F165" s="98" t="s">
        <v>703</v>
      </c>
      <c r="G165" s="98">
        <v>20</v>
      </c>
      <c r="H165" s="98" t="str">
        <f t="shared" si="10"/>
        <v>BSS-TC-25089 TC_OBI_PM 1.4_003_Export link</v>
      </c>
      <c r="I165" s="98" t="s">
        <v>630</v>
      </c>
      <c r="J165" s="98" t="s">
        <v>725</v>
      </c>
      <c r="K165" s="98" t="s">
        <v>631</v>
      </c>
    </row>
    <row r="166" spans="2:11" x14ac:dyDescent="0.25">
      <c r="B166" s="98" t="s">
        <v>855</v>
      </c>
      <c r="C166" s="98" t="s">
        <v>702</v>
      </c>
      <c r="D166" s="98" t="s">
        <v>631</v>
      </c>
      <c r="E166" s="98" t="s">
        <v>271</v>
      </c>
      <c r="F166" s="98" t="s">
        <v>703</v>
      </c>
      <c r="G166" s="98">
        <v>21</v>
      </c>
      <c r="H166" s="98" t="str">
        <f t="shared" si="10"/>
        <v>BSS-TC-25089 TC_OBI_PM 1.4_003_Export link</v>
      </c>
      <c r="I166" s="98" t="s">
        <v>630</v>
      </c>
      <c r="J166" s="98" t="s">
        <v>53</v>
      </c>
      <c r="K166" s="98" t="s">
        <v>726</v>
      </c>
    </row>
    <row r="167" spans="2:11" x14ac:dyDescent="0.25">
      <c r="B167" s="98" t="s">
        <v>855</v>
      </c>
      <c r="C167" s="98" t="s">
        <v>702</v>
      </c>
      <c r="D167" s="98" t="s">
        <v>631</v>
      </c>
      <c r="E167" s="98" t="s">
        <v>727</v>
      </c>
      <c r="F167" s="98" t="s">
        <v>703</v>
      </c>
      <c r="G167" s="98">
        <v>22</v>
      </c>
      <c r="H167" s="98" t="str">
        <f t="shared" si="10"/>
        <v>BSS-TC-25089 TC_OBI_PM 1.4_003_Export link</v>
      </c>
      <c r="I167" s="98" t="s">
        <v>630</v>
      </c>
      <c r="J167" s="98" t="s">
        <v>708</v>
      </c>
      <c r="K167" s="98" t="s">
        <v>631</v>
      </c>
    </row>
    <row r="168" spans="2:11" x14ac:dyDescent="0.25">
      <c r="B168" s="98" t="s">
        <v>855</v>
      </c>
      <c r="C168" s="98" t="s">
        <v>702</v>
      </c>
      <c r="D168" s="98" t="s">
        <v>631</v>
      </c>
      <c r="E168" s="98" t="s">
        <v>709</v>
      </c>
      <c r="F168" s="98" t="s">
        <v>703</v>
      </c>
      <c r="G168" s="98">
        <v>23</v>
      </c>
      <c r="H168" s="98" t="str">
        <f t="shared" si="10"/>
        <v>BSS-TC-25089 TC_OBI_PM 1.4_003_Export link</v>
      </c>
      <c r="I168" s="98" t="s">
        <v>630</v>
      </c>
      <c r="J168" s="98" t="s">
        <v>722</v>
      </c>
      <c r="K168" s="98" t="s">
        <v>631</v>
      </c>
    </row>
    <row r="169" spans="2:11" x14ac:dyDescent="0.25">
      <c r="B169" s="98" t="s">
        <v>855</v>
      </c>
      <c r="C169" s="98" t="s">
        <v>702</v>
      </c>
      <c r="D169" s="98" t="s">
        <v>631</v>
      </c>
      <c r="E169" s="98" t="s">
        <v>711</v>
      </c>
      <c r="F169" s="98" t="s">
        <v>703</v>
      </c>
      <c r="G169" s="98">
        <v>24</v>
      </c>
      <c r="H169" s="98" t="str">
        <f t="shared" si="10"/>
        <v>BSS-TC-25089 TC_OBI_PM 1.4_003_Export link</v>
      </c>
      <c r="I169" s="98" t="s">
        <v>630</v>
      </c>
      <c r="J169" s="98" t="s">
        <v>712</v>
      </c>
      <c r="K169" s="98" t="s">
        <v>631</v>
      </c>
    </row>
    <row r="170" spans="2:11" x14ac:dyDescent="0.25">
      <c r="B170" s="98" t="s">
        <v>855</v>
      </c>
      <c r="C170" s="98" t="s">
        <v>702</v>
      </c>
      <c r="D170" s="98" t="s">
        <v>631</v>
      </c>
      <c r="E170" s="98" t="s">
        <v>713</v>
      </c>
      <c r="F170" s="98" t="s">
        <v>703</v>
      </c>
      <c r="G170" s="98">
        <v>25</v>
      </c>
      <c r="H170" s="98" t="str">
        <f t="shared" si="10"/>
        <v>BSS-TC-25089 TC_OBI_PM 1.4_003_Export link</v>
      </c>
      <c r="I170" s="98" t="s">
        <v>630</v>
      </c>
      <c r="J170" s="98" t="s">
        <v>714</v>
      </c>
      <c r="K170" s="98" t="s">
        <v>728</v>
      </c>
    </row>
    <row r="171" spans="2:11" x14ac:dyDescent="0.25">
      <c r="B171" s="98" t="s">
        <v>856</v>
      </c>
      <c r="C171" s="98" t="s">
        <v>124</v>
      </c>
      <c r="D171" s="98" t="s">
        <v>631</v>
      </c>
      <c r="E171" s="98" t="s">
        <v>729</v>
      </c>
      <c r="F171" s="98" t="s">
        <v>730</v>
      </c>
      <c r="G171" s="98">
        <v>1</v>
      </c>
      <c r="H171" s="98" t="str">
        <f t="shared" ref="H171:H179" si="11">HYPERLINK("http://rms/perspective.req?projectId=233&amp;docId=959361","BSS-TC-23145 TC_OBI_PM 1.4_002_CH Qualification against PM_Missed _CH reported in more than one month")</f>
        <v>BSS-TC-23145 TC_OBI_PM 1.4_002_CH Qualification against PM_Missed _CH reported in more than one month</v>
      </c>
      <c r="I171" s="98" t="s">
        <v>630</v>
      </c>
      <c r="J171" s="98" t="s">
        <v>80</v>
      </c>
      <c r="K171" s="98" t="s">
        <v>517</v>
      </c>
    </row>
    <row r="172" spans="2:11" x14ac:dyDescent="0.25">
      <c r="B172" s="98" t="s">
        <v>856</v>
      </c>
      <c r="C172" s="98" t="s">
        <v>124</v>
      </c>
      <c r="D172" s="98" t="s">
        <v>631</v>
      </c>
      <c r="E172" s="98" t="s">
        <v>18</v>
      </c>
      <c r="F172" s="98" t="s">
        <v>730</v>
      </c>
      <c r="G172" s="98">
        <v>2</v>
      </c>
      <c r="H172" s="98" t="str">
        <f t="shared" si="11"/>
        <v>BSS-TC-23145 TC_OBI_PM 1.4_002_CH Qualification against PM_Missed _CH reported in more than one month</v>
      </c>
      <c r="I172" s="98" t="s">
        <v>630</v>
      </c>
      <c r="J172" s="98" t="s">
        <v>20</v>
      </c>
      <c r="K172" s="98" t="s">
        <v>631</v>
      </c>
    </row>
    <row r="173" spans="2:11" x14ac:dyDescent="0.25">
      <c r="B173" s="98" t="s">
        <v>856</v>
      </c>
      <c r="C173" s="98" t="s">
        <v>124</v>
      </c>
      <c r="D173" s="98" t="s">
        <v>631</v>
      </c>
      <c r="E173" s="98" t="s">
        <v>21</v>
      </c>
      <c r="F173" s="98" t="s">
        <v>730</v>
      </c>
      <c r="G173" s="98">
        <v>3</v>
      </c>
      <c r="H173" s="98" t="str">
        <f t="shared" si="11"/>
        <v>BSS-TC-23145 TC_OBI_PM 1.4_002_CH Qualification against PM_Missed _CH reported in more than one month</v>
      </c>
      <c r="I173" s="98" t="s">
        <v>630</v>
      </c>
      <c r="J173" s="98" t="s">
        <v>22</v>
      </c>
      <c r="K173" s="98" t="s">
        <v>631</v>
      </c>
    </row>
    <row r="174" spans="2:11" x14ac:dyDescent="0.25">
      <c r="B174" s="98" t="s">
        <v>856</v>
      </c>
      <c r="C174" s="98" t="s">
        <v>124</v>
      </c>
      <c r="D174" s="98" t="s">
        <v>631</v>
      </c>
      <c r="E174" s="98" t="s">
        <v>23</v>
      </c>
      <c r="F174" s="98" t="s">
        <v>730</v>
      </c>
      <c r="G174" s="98">
        <v>4</v>
      </c>
      <c r="H174" s="98" t="str">
        <f t="shared" si="11"/>
        <v>BSS-TC-23145 TC_OBI_PM 1.4_002_CH Qualification against PM_Missed _CH reported in more than one month</v>
      </c>
      <c r="I174" s="98" t="s">
        <v>630</v>
      </c>
      <c r="J174" s="98" t="s">
        <v>41</v>
      </c>
      <c r="K174" s="98" t="s">
        <v>631</v>
      </c>
    </row>
    <row r="175" spans="2:11" x14ac:dyDescent="0.25">
      <c r="B175" s="98" t="s">
        <v>856</v>
      </c>
      <c r="C175" s="98" t="s">
        <v>124</v>
      </c>
      <c r="D175" s="98" t="s">
        <v>631</v>
      </c>
      <c r="E175" s="98" t="s">
        <v>43</v>
      </c>
      <c r="F175" s="98" t="s">
        <v>730</v>
      </c>
      <c r="G175" s="98">
        <v>5</v>
      </c>
      <c r="H175" s="98" t="str">
        <f t="shared" si="11"/>
        <v>BSS-TC-23145 TC_OBI_PM 1.4_002_CH Qualification against PM_Missed _CH reported in more than one month</v>
      </c>
      <c r="I175" s="98" t="s">
        <v>630</v>
      </c>
      <c r="J175" s="98" t="s">
        <v>44</v>
      </c>
      <c r="K175" s="98" t="s">
        <v>631</v>
      </c>
    </row>
    <row r="176" spans="2:11" x14ac:dyDescent="0.25">
      <c r="B176" s="98" t="s">
        <v>856</v>
      </c>
      <c r="C176" s="98" t="s">
        <v>124</v>
      </c>
      <c r="D176" s="98" t="s">
        <v>631</v>
      </c>
      <c r="E176" s="98" t="s">
        <v>25</v>
      </c>
      <c r="F176" s="98" t="s">
        <v>730</v>
      </c>
      <c r="G176" s="98">
        <v>6</v>
      </c>
      <c r="H176" s="98" t="str">
        <f t="shared" si="11"/>
        <v>BSS-TC-23145 TC_OBI_PM 1.4_002_CH Qualification against PM_Missed _CH reported in more than one month</v>
      </c>
      <c r="I176" s="98" t="s">
        <v>630</v>
      </c>
      <c r="J176" s="98" t="s">
        <v>27</v>
      </c>
      <c r="K176" s="98" t="s">
        <v>631</v>
      </c>
    </row>
    <row r="177" spans="2:11" x14ac:dyDescent="0.25">
      <c r="B177" s="98" t="s">
        <v>856</v>
      </c>
      <c r="C177" s="98" t="s">
        <v>124</v>
      </c>
      <c r="D177" s="98" t="s">
        <v>631</v>
      </c>
      <c r="E177" s="98" t="s">
        <v>521</v>
      </c>
      <c r="F177" s="98" t="s">
        <v>730</v>
      </c>
      <c r="G177" s="98">
        <v>7</v>
      </c>
      <c r="H177" s="98" t="str">
        <f t="shared" si="11"/>
        <v>BSS-TC-23145 TC_OBI_PM 1.4_002_CH Qualification against PM_Missed _CH reported in more than one month</v>
      </c>
      <c r="I177" s="98" t="s">
        <v>630</v>
      </c>
      <c r="J177" s="98" t="s">
        <v>522</v>
      </c>
      <c r="K177" s="98" t="s">
        <v>631</v>
      </c>
    </row>
    <row r="178" spans="2:11" x14ac:dyDescent="0.25">
      <c r="B178" s="98" t="s">
        <v>856</v>
      </c>
      <c r="C178" s="98" t="s">
        <v>124</v>
      </c>
      <c r="D178" s="98" t="s">
        <v>631</v>
      </c>
      <c r="E178" s="98" t="s">
        <v>50</v>
      </c>
      <c r="F178" s="98" t="s">
        <v>730</v>
      </c>
      <c r="G178" s="98">
        <v>8</v>
      </c>
      <c r="H178" s="98" t="str">
        <f t="shared" si="11"/>
        <v>BSS-TC-23145 TC_OBI_PM 1.4_002_CH Qualification against PM_Missed _CH reported in more than one month</v>
      </c>
      <c r="I178" s="98" t="s">
        <v>630</v>
      </c>
      <c r="J178" s="98" t="s">
        <v>51</v>
      </c>
      <c r="K178" s="98" t="s">
        <v>631</v>
      </c>
    </row>
    <row r="179" spans="2:11" x14ac:dyDescent="0.25">
      <c r="B179" s="98" t="s">
        <v>856</v>
      </c>
      <c r="C179" s="98" t="s">
        <v>124</v>
      </c>
      <c r="D179" s="98" t="s">
        <v>631</v>
      </c>
      <c r="E179" s="98" t="s">
        <v>731</v>
      </c>
      <c r="F179" s="98" t="s">
        <v>730</v>
      </c>
      <c r="G179" s="98">
        <v>9</v>
      </c>
      <c r="H179" s="98" t="str">
        <f t="shared" si="11"/>
        <v>BSS-TC-23145 TC_OBI_PM 1.4_002_CH Qualification against PM_Missed _CH reported in more than one month</v>
      </c>
      <c r="I179" s="98" t="s">
        <v>630</v>
      </c>
      <c r="J179" s="98" t="s">
        <v>732</v>
      </c>
      <c r="K179" s="98" t="s">
        <v>119</v>
      </c>
    </row>
    <row r="180" spans="2:11" x14ac:dyDescent="0.25">
      <c r="B180" s="98" t="s">
        <v>857</v>
      </c>
      <c r="C180" s="98" t="s">
        <v>127</v>
      </c>
      <c r="D180" s="98" t="s">
        <v>631</v>
      </c>
      <c r="E180" s="98" t="s">
        <v>733</v>
      </c>
      <c r="F180" s="98" t="s">
        <v>734</v>
      </c>
      <c r="G180" s="98">
        <v>1</v>
      </c>
      <c r="H180" s="98" t="str">
        <f t="shared" ref="H180:H188" si="12">HYPERLINK("http://rms/perspective.req?projectId=233&amp;docId=959362","BSS-TC-23146 TC_OBI_PM 1.4_003_CH Qualification against PM_Missed _CH reported across number of consecutive months")</f>
        <v>BSS-TC-23146 TC_OBI_PM 1.4_003_CH Qualification against PM_Missed _CH reported across number of consecutive months</v>
      </c>
      <c r="I180" s="98" t="s">
        <v>630</v>
      </c>
      <c r="J180" s="98" t="s">
        <v>80</v>
      </c>
      <c r="K180" s="98" t="s">
        <v>517</v>
      </c>
    </row>
    <row r="181" spans="2:11" x14ac:dyDescent="0.25">
      <c r="B181" s="98" t="s">
        <v>857</v>
      </c>
      <c r="C181" s="98" t="s">
        <v>127</v>
      </c>
      <c r="D181" s="98" t="s">
        <v>631</v>
      </c>
      <c r="E181" s="98" t="s">
        <v>18</v>
      </c>
      <c r="F181" s="98" t="s">
        <v>734</v>
      </c>
      <c r="G181" s="98">
        <v>2</v>
      </c>
      <c r="H181" s="98" t="str">
        <f t="shared" si="12"/>
        <v>BSS-TC-23146 TC_OBI_PM 1.4_003_CH Qualification against PM_Missed _CH reported across number of consecutive months</v>
      </c>
      <c r="I181" s="98" t="s">
        <v>630</v>
      </c>
      <c r="J181" s="98" t="s">
        <v>20</v>
      </c>
      <c r="K181" s="98" t="s">
        <v>631</v>
      </c>
    </row>
    <row r="182" spans="2:11" x14ac:dyDescent="0.25">
      <c r="B182" s="98" t="s">
        <v>857</v>
      </c>
      <c r="C182" s="98" t="s">
        <v>127</v>
      </c>
      <c r="D182" s="98" t="s">
        <v>631</v>
      </c>
      <c r="E182" s="98" t="s">
        <v>21</v>
      </c>
      <c r="F182" s="98" t="s">
        <v>734</v>
      </c>
      <c r="G182" s="98">
        <v>3</v>
      </c>
      <c r="H182" s="98" t="str">
        <f t="shared" si="12"/>
        <v>BSS-TC-23146 TC_OBI_PM 1.4_003_CH Qualification against PM_Missed _CH reported across number of consecutive months</v>
      </c>
      <c r="I182" s="98" t="s">
        <v>630</v>
      </c>
      <c r="J182" s="98" t="s">
        <v>22</v>
      </c>
      <c r="K182" s="98" t="s">
        <v>631</v>
      </c>
    </row>
    <row r="183" spans="2:11" x14ac:dyDescent="0.25">
      <c r="B183" s="98" t="s">
        <v>857</v>
      </c>
      <c r="C183" s="98" t="s">
        <v>127</v>
      </c>
      <c r="D183" s="98" t="s">
        <v>631</v>
      </c>
      <c r="E183" s="98" t="s">
        <v>23</v>
      </c>
      <c r="F183" s="98" t="s">
        <v>734</v>
      </c>
      <c r="G183" s="98">
        <v>4</v>
      </c>
      <c r="H183" s="98" t="str">
        <f t="shared" si="12"/>
        <v>BSS-TC-23146 TC_OBI_PM 1.4_003_CH Qualification against PM_Missed _CH reported across number of consecutive months</v>
      </c>
      <c r="I183" s="98" t="s">
        <v>630</v>
      </c>
      <c r="J183" s="98" t="s">
        <v>41</v>
      </c>
      <c r="K183" s="98" t="s">
        <v>631</v>
      </c>
    </row>
    <row r="184" spans="2:11" x14ac:dyDescent="0.25">
      <c r="B184" s="98" t="s">
        <v>857</v>
      </c>
      <c r="C184" s="98" t="s">
        <v>127</v>
      </c>
      <c r="D184" s="98" t="s">
        <v>631</v>
      </c>
      <c r="E184" s="98" t="s">
        <v>43</v>
      </c>
      <c r="F184" s="98" t="s">
        <v>734</v>
      </c>
      <c r="G184" s="98">
        <v>5</v>
      </c>
      <c r="H184" s="98" t="str">
        <f t="shared" si="12"/>
        <v>BSS-TC-23146 TC_OBI_PM 1.4_003_CH Qualification against PM_Missed _CH reported across number of consecutive months</v>
      </c>
      <c r="I184" s="98" t="s">
        <v>630</v>
      </c>
      <c r="J184" s="98" t="s">
        <v>44</v>
      </c>
      <c r="K184" s="98" t="s">
        <v>631</v>
      </c>
    </row>
    <row r="185" spans="2:11" x14ac:dyDescent="0.25">
      <c r="B185" s="98" t="s">
        <v>857</v>
      </c>
      <c r="C185" s="98" t="s">
        <v>127</v>
      </c>
      <c r="D185" s="98" t="s">
        <v>631</v>
      </c>
      <c r="E185" s="98" t="s">
        <v>25</v>
      </c>
      <c r="F185" s="98" t="s">
        <v>734</v>
      </c>
      <c r="G185" s="98">
        <v>6</v>
      </c>
      <c r="H185" s="98" t="str">
        <f t="shared" si="12"/>
        <v>BSS-TC-23146 TC_OBI_PM 1.4_003_CH Qualification against PM_Missed _CH reported across number of consecutive months</v>
      </c>
      <c r="I185" s="98" t="s">
        <v>630</v>
      </c>
      <c r="J185" s="98" t="s">
        <v>27</v>
      </c>
      <c r="K185" s="98" t="s">
        <v>631</v>
      </c>
    </row>
    <row r="186" spans="2:11" x14ac:dyDescent="0.25">
      <c r="B186" s="98" t="s">
        <v>857</v>
      </c>
      <c r="C186" s="98" t="s">
        <v>127</v>
      </c>
      <c r="D186" s="98" t="s">
        <v>631</v>
      </c>
      <c r="E186" s="98" t="s">
        <v>521</v>
      </c>
      <c r="F186" s="98" t="s">
        <v>734</v>
      </c>
      <c r="G186" s="98">
        <v>7</v>
      </c>
      <c r="H186" s="98" t="str">
        <f t="shared" si="12"/>
        <v>BSS-TC-23146 TC_OBI_PM 1.4_003_CH Qualification against PM_Missed _CH reported across number of consecutive months</v>
      </c>
      <c r="I186" s="98" t="s">
        <v>630</v>
      </c>
      <c r="J186" s="98" t="s">
        <v>522</v>
      </c>
      <c r="K186" s="98" t="s">
        <v>631</v>
      </c>
    </row>
    <row r="187" spans="2:11" x14ac:dyDescent="0.25">
      <c r="B187" s="98" t="s">
        <v>857</v>
      </c>
      <c r="C187" s="98" t="s">
        <v>127</v>
      </c>
      <c r="D187" s="98" t="s">
        <v>631</v>
      </c>
      <c r="E187" s="98" t="s">
        <v>50</v>
      </c>
      <c r="F187" s="98" t="s">
        <v>734</v>
      </c>
      <c r="G187" s="98">
        <v>8</v>
      </c>
      <c r="H187" s="98" t="str">
        <f t="shared" si="12"/>
        <v>BSS-TC-23146 TC_OBI_PM 1.4_003_CH Qualification against PM_Missed _CH reported across number of consecutive months</v>
      </c>
      <c r="I187" s="98" t="s">
        <v>630</v>
      </c>
      <c r="J187" s="98" t="s">
        <v>51</v>
      </c>
      <c r="K187" s="98" t="s">
        <v>631</v>
      </c>
    </row>
    <row r="188" spans="2:11" x14ac:dyDescent="0.25">
      <c r="B188" s="98" t="s">
        <v>857</v>
      </c>
      <c r="C188" s="98" t="s">
        <v>127</v>
      </c>
      <c r="D188" s="98" t="s">
        <v>631</v>
      </c>
      <c r="E188" s="98" t="s">
        <v>731</v>
      </c>
      <c r="F188" s="98" t="s">
        <v>734</v>
      </c>
      <c r="G188" s="98">
        <v>9</v>
      </c>
      <c r="H188" s="98" t="str">
        <f t="shared" si="12"/>
        <v>BSS-TC-23146 TC_OBI_PM 1.4_003_CH Qualification against PM_Missed _CH reported across number of consecutive months</v>
      </c>
      <c r="I188" s="98" t="s">
        <v>630</v>
      </c>
      <c r="J188" s="98" t="s">
        <v>732</v>
      </c>
      <c r="K188" s="98" t="s">
        <v>119</v>
      </c>
    </row>
    <row r="189" spans="2:11" x14ac:dyDescent="0.25">
      <c r="B189" s="98" t="s">
        <v>858</v>
      </c>
      <c r="C189" s="98" t="s">
        <v>735</v>
      </c>
      <c r="D189" s="98" t="s">
        <v>631</v>
      </c>
      <c r="E189" s="98" t="s">
        <v>18</v>
      </c>
      <c r="F189" s="98" t="s">
        <v>736</v>
      </c>
      <c r="G189" s="98">
        <v>1</v>
      </c>
      <c r="H189" s="98" t="str">
        <f t="shared" ref="H189:H200" si="13">HYPERLINK("http://rms/perspective.req?projectId=233&amp;docId=959410","BSS-TC-23181 TC_OBI_PM 1.4_001_CR109_PM 1_ Performance Area_Report_x000D_
")</f>
        <v xml:space="preserve">BSS-TC-23181 TC_OBI_PM 1.4_001_CR109_PM 1_ Performance Area_Report_x000D_
</v>
      </c>
      <c r="I189" s="98" t="s">
        <v>630</v>
      </c>
      <c r="J189" s="98" t="s">
        <v>20</v>
      </c>
      <c r="K189" s="98" t="s">
        <v>631</v>
      </c>
    </row>
    <row r="190" spans="2:11" x14ac:dyDescent="0.25">
      <c r="B190" s="98" t="s">
        <v>858</v>
      </c>
      <c r="C190" s="98" t="s">
        <v>735</v>
      </c>
      <c r="D190" s="98" t="s">
        <v>631</v>
      </c>
      <c r="E190" s="98" t="s">
        <v>21</v>
      </c>
      <c r="F190" s="98" t="s">
        <v>736</v>
      </c>
      <c r="G190" s="98">
        <v>2</v>
      </c>
      <c r="H190" s="98" t="str">
        <f t="shared" si="13"/>
        <v xml:space="preserve">BSS-TC-23181 TC_OBI_PM 1.4_001_CR109_PM 1_ Performance Area_Report_x000D_
</v>
      </c>
      <c r="I190" s="98" t="s">
        <v>630</v>
      </c>
      <c r="J190" s="98" t="s">
        <v>22</v>
      </c>
      <c r="K190" s="98" t="s">
        <v>631</v>
      </c>
    </row>
    <row r="191" spans="2:11" x14ac:dyDescent="0.25">
      <c r="B191" s="98" t="s">
        <v>858</v>
      </c>
      <c r="C191" s="98" t="s">
        <v>735</v>
      </c>
      <c r="D191" s="98" t="s">
        <v>631</v>
      </c>
      <c r="E191" s="98" t="s">
        <v>23</v>
      </c>
      <c r="F191" s="98" t="s">
        <v>736</v>
      </c>
      <c r="G191" s="98">
        <v>3</v>
      </c>
      <c r="H191" s="98" t="str">
        <f t="shared" si="13"/>
        <v xml:space="preserve">BSS-TC-23181 TC_OBI_PM 1.4_001_CR109_PM 1_ Performance Area_Report_x000D_
</v>
      </c>
      <c r="I191" s="98" t="s">
        <v>630</v>
      </c>
      <c r="J191" s="98" t="s">
        <v>24</v>
      </c>
      <c r="K191" s="98" t="s">
        <v>631</v>
      </c>
    </row>
    <row r="192" spans="2:11" x14ac:dyDescent="0.25">
      <c r="B192" s="98" t="s">
        <v>858</v>
      </c>
      <c r="C192" s="98" t="s">
        <v>735</v>
      </c>
      <c r="D192" s="98" t="s">
        <v>631</v>
      </c>
      <c r="E192" s="98" t="s">
        <v>34</v>
      </c>
      <c r="F192" s="98" t="s">
        <v>736</v>
      </c>
      <c r="G192" s="98">
        <v>4</v>
      </c>
      <c r="H192" s="98" t="str">
        <f t="shared" si="13"/>
        <v xml:space="preserve">BSS-TC-23181 TC_OBI_PM 1.4_001_CR109_PM 1_ Performance Area_Report_x000D_
</v>
      </c>
      <c r="I192" s="98" t="s">
        <v>630</v>
      </c>
      <c r="J192" s="98" t="s">
        <v>77</v>
      </c>
      <c r="K192" s="98" t="s">
        <v>631</v>
      </c>
    </row>
    <row r="193" spans="2:11" x14ac:dyDescent="0.25">
      <c r="B193" s="98" t="s">
        <v>858</v>
      </c>
      <c r="C193" s="98" t="s">
        <v>735</v>
      </c>
      <c r="D193" s="98" t="s">
        <v>631</v>
      </c>
      <c r="E193" s="98" t="s">
        <v>35</v>
      </c>
      <c r="F193" s="98" t="s">
        <v>736</v>
      </c>
      <c r="G193" s="98">
        <v>5</v>
      </c>
      <c r="H193" s="98" t="str">
        <f t="shared" si="13"/>
        <v xml:space="preserve">BSS-TC-23181 TC_OBI_PM 1.4_001_CR109_PM 1_ Performance Area_Report_x000D_
</v>
      </c>
      <c r="I193" s="98" t="s">
        <v>630</v>
      </c>
      <c r="J193" s="98" t="s">
        <v>36</v>
      </c>
      <c r="K193" s="98" t="s">
        <v>631</v>
      </c>
    </row>
    <row r="194" spans="2:11" x14ac:dyDescent="0.25">
      <c r="B194" s="98" t="s">
        <v>858</v>
      </c>
      <c r="C194" s="98" t="s">
        <v>735</v>
      </c>
      <c r="D194" s="98" t="s">
        <v>631</v>
      </c>
      <c r="E194" s="98" t="s">
        <v>37</v>
      </c>
      <c r="F194" s="98" t="s">
        <v>736</v>
      </c>
      <c r="G194" s="98">
        <v>6</v>
      </c>
      <c r="H194" s="98" t="str">
        <f t="shared" si="13"/>
        <v xml:space="preserve">BSS-TC-23181 TC_OBI_PM 1.4_001_CR109_PM 1_ Performance Area_Report_x000D_
</v>
      </c>
      <c r="I194" s="98" t="s">
        <v>630</v>
      </c>
      <c r="J194" s="98" t="s">
        <v>38</v>
      </c>
      <c r="K194" s="98" t="s">
        <v>40</v>
      </c>
    </row>
    <row r="195" spans="2:11" x14ac:dyDescent="0.25">
      <c r="B195" s="98" t="s">
        <v>858</v>
      </c>
      <c r="C195" s="98" t="s">
        <v>735</v>
      </c>
      <c r="D195" s="98" t="s">
        <v>631</v>
      </c>
      <c r="E195" s="98" t="s">
        <v>413</v>
      </c>
      <c r="F195" s="98" t="s">
        <v>736</v>
      </c>
      <c r="G195" s="98">
        <v>7</v>
      </c>
      <c r="H195" s="98" t="str">
        <f t="shared" si="13"/>
        <v xml:space="preserve">BSS-TC-23181 TC_OBI_PM 1.4_001_CR109_PM 1_ Performance Area_Report_x000D_
</v>
      </c>
      <c r="I195" s="98" t="s">
        <v>630</v>
      </c>
      <c r="J195" s="98" t="s">
        <v>737</v>
      </c>
      <c r="K195" s="98" t="s">
        <v>340</v>
      </c>
    </row>
    <row r="196" spans="2:11" x14ac:dyDescent="0.25">
      <c r="B196" s="98" t="s">
        <v>858</v>
      </c>
      <c r="C196" s="98" t="s">
        <v>735</v>
      </c>
      <c r="D196" s="98" t="s">
        <v>631</v>
      </c>
      <c r="E196" s="98" t="s">
        <v>344</v>
      </c>
      <c r="F196" s="98" t="s">
        <v>736</v>
      </c>
      <c r="G196" s="98">
        <v>8</v>
      </c>
      <c r="H196" s="98" t="str">
        <f t="shared" si="13"/>
        <v xml:space="preserve">BSS-TC-23181 TC_OBI_PM 1.4_001_CR109_PM 1_ Performance Area_Report_x000D_
</v>
      </c>
      <c r="I196" s="98" t="s">
        <v>630</v>
      </c>
      <c r="J196" s="98" t="s">
        <v>346</v>
      </c>
      <c r="K196" s="98" t="s">
        <v>345</v>
      </c>
    </row>
    <row r="197" spans="2:11" x14ac:dyDescent="0.25">
      <c r="B197" s="98" t="s">
        <v>858</v>
      </c>
      <c r="C197" s="98" t="s">
        <v>735</v>
      </c>
      <c r="D197" s="98" t="s">
        <v>631</v>
      </c>
      <c r="E197" s="98" t="s">
        <v>738</v>
      </c>
      <c r="F197" s="98" t="s">
        <v>736</v>
      </c>
      <c r="G197" s="98">
        <v>9</v>
      </c>
      <c r="H197" s="98" t="str">
        <f t="shared" si="13"/>
        <v xml:space="preserve">BSS-TC-23181 TC_OBI_PM 1.4_001_CR109_PM 1_ Performance Area_Report_x000D_
</v>
      </c>
      <c r="I197" s="98" t="s">
        <v>630</v>
      </c>
      <c r="J197" s="98" t="s">
        <v>739</v>
      </c>
      <c r="K197" s="98" t="s">
        <v>348</v>
      </c>
    </row>
    <row r="198" spans="2:11" x14ac:dyDescent="0.25">
      <c r="B198" s="98" t="s">
        <v>858</v>
      </c>
      <c r="C198" s="98" t="s">
        <v>735</v>
      </c>
      <c r="D198" s="98" t="s">
        <v>631</v>
      </c>
      <c r="E198" s="98" t="s">
        <v>62</v>
      </c>
      <c r="F198" s="98" t="s">
        <v>736</v>
      </c>
      <c r="G198" s="98">
        <v>10</v>
      </c>
      <c r="H198" s="98" t="str">
        <f t="shared" si="13"/>
        <v xml:space="preserve">BSS-TC-23181 TC_OBI_PM 1.4_001_CR109_PM 1_ Performance Area_Report_x000D_
</v>
      </c>
      <c r="I198" s="98" t="s">
        <v>630</v>
      </c>
      <c r="J198" s="98" t="s">
        <v>63</v>
      </c>
      <c r="K198" s="98" t="s">
        <v>631</v>
      </c>
    </row>
    <row r="199" spans="2:11" x14ac:dyDescent="0.25">
      <c r="B199" s="98" t="s">
        <v>858</v>
      </c>
      <c r="C199" s="98" t="s">
        <v>735</v>
      </c>
      <c r="D199" s="98" t="s">
        <v>631</v>
      </c>
      <c r="E199" s="98" t="s">
        <v>64</v>
      </c>
      <c r="F199" s="98" t="s">
        <v>736</v>
      </c>
      <c r="G199" s="98">
        <v>11</v>
      </c>
      <c r="H199" s="98" t="str">
        <f t="shared" si="13"/>
        <v xml:space="preserve">BSS-TC-23181 TC_OBI_PM 1.4_001_CR109_PM 1_ Performance Area_Report_x000D_
</v>
      </c>
      <c r="I199" s="98" t="s">
        <v>630</v>
      </c>
      <c r="J199" s="98" t="s">
        <v>27</v>
      </c>
      <c r="K199" s="98" t="s">
        <v>631</v>
      </c>
    </row>
    <row r="200" spans="2:11" x14ac:dyDescent="0.25">
      <c r="B200" s="98" t="s">
        <v>858</v>
      </c>
      <c r="C200" s="98" t="s">
        <v>735</v>
      </c>
      <c r="D200" s="98" t="s">
        <v>631</v>
      </c>
      <c r="E200" s="98" t="s">
        <v>65</v>
      </c>
      <c r="F200" s="98" t="s">
        <v>736</v>
      </c>
      <c r="G200" s="98">
        <v>12</v>
      </c>
      <c r="H200" s="98" t="str">
        <f t="shared" si="13"/>
        <v xml:space="preserve">BSS-TC-23181 TC_OBI_PM 1.4_001_CR109_PM 1_ Performance Area_Report_x000D_
</v>
      </c>
      <c r="I200" s="98" t="s">
        <v>630</v>
      </c>
      <c r="J200" s="98" t="s">
        <v>66</v>
      </c>
      <c r="K200" s="98" t="s">
        <v>631</v>
      </c>
    </row>
    <row r="201" spans="2:11" x14ac:dyDescent="0.25">
      <c r="B201" s="98" t="s">
        <v>859</v>
      </c>
      <c r="C201" s="98" t="s">
        <v>386</v>
      </c>
      <c r="D201" s="98" t="s">
        <v>631</v>
      </c>
      <c r="E201" s="98" t="s">
        <v>740</v>
      </c>
      <c r="F201" s="98" t="s">
        <v>741</v>
      </c>
      <c r="G201" s="98">
        <v>1</v>
      </c>
      <c r="H201" s="98" t="str">
        <f t="shared" ref="H201:H210" si="14">HYPERLINK("http://rms/perspective.req?projectId=233&amp;docId=959405","BSS-TC-23177 TC_OBI_002_CR_109_PM1.4_Exclusion_Condition_2")</f>
        <v>BSS-TC-23177 TC_OBI_002_CR_109_PM1.4_Exclusion_Condition_2</v>
      </c>
      <c r="I201" s="98" t="s">
        <v>630</v>
      </c>
      <c r="J201" s="98" t="s">
        <v>80</v>
      </c>
      <c r="K201" s="98" t="s">
        <v>369</v>
      </c>
    </row>
    <row r="202" spans="2:11" x14ac:dyDescent="0.25">
      <c r="B202" s="98" t="s">
        <v>859</v>
      </c>
      <c r="C202" s="98" t="s">
        <v>386</v>
      </c>
      <c r="D202" s="98" t="s">
        <v>631</v>
      </c>
      <c r="E202" s="98" t="s">
        <v>370</v>
      </c>
      <c r="F202" s="98" t="s">
        <v>741</v>
      </c>
      <c r="G202" s="98">
        <v>2</v>
      </c>
      <c r="H202" s="98" t="str">
        <f t="shared" si="14"/>
        <v>BSS-TC-23177 TC_OBI_002_CR_109_PM1.4_Exclusion_Condition_2</v>
      </c>
      <c r="I202" s="98" t="s">
        <v>630</v>
      </c>
      <c r="J202" s="98" t="s">
        <v>156</v>
      </c>
      <c r="K202" s="98" t="s">
        <v>631</v>
      </c>
    </row>
    <row r="203" spans="2:11" x14ac:dyDescent="0.25">
      <c r="B203" s="98" t="s">
        <v>859</v>
      </c>
      <c r="C203" s="98" t="s">
        <v>386</v>
      </c>
      <c r="D203" s="98" t="s">
        <v>631</v>
      </c>
      <c r="E203" s="98" t="s">
        <v>388</v>
      </c>
      <c r="F203" s="98" t="s">
        <v>741</v>
      </c>
      <c r="G203" s="98">
        <v>3</v>
      </c>
      <c r="H203" s="98" t="str">
        <f t="shared" si="14"/>
        <v>BSS-TC-23177 TC_OBI_002_CR_109_PM1.4_Exclusion_Condition_2</v>
      </c>
      <c r="I203" s="98" t="s">
        <v>630</v>
      </c>
      <c r="J203" s="98" t="s">
        <v>389</v>
      </c>
      <c r="K203" s="98" t="s">
        <v>631</v>
      </c>
    </row>
    <row r="204" spans="2:11" x14ac:dyDescent="0.25">
      <c r="B204" s="98" t="s">
        <v>859</v>
      </c>
      <c r="C204" s="98" t="s">
        <v>386</v>
      </c>
      <c r="D204" s="98" t="s">
        <v>631</v>
      </c>
      <c r="E204" s="98" t="s">
        <v>390</v>
      </c>
      <c r="F204" s="98" t="s">
        <v>741</v>
      </c>
      <c r="G204" s="98">
        <v>4</v>
      </c>
      <c r="H204" s="98" t="str">
        <f t="shared" si="14"/>
        <v>BSS-TC-23177 TC_OBI_002_CR_109_PM1.4_Exclusion_Condition_2</v>
      </c>
      <c r="I204" s="98" t="s">
        <v>630</v>
      </c>
      <c r="J204" s="98" t="s">
        <v>391</v>
      </c>
      <c r="K204" s="98" t="s">
        <v>631</v>
      </c>
    </row>
    <row r="205" spans="2:11" x14ac:dyDescent="0.25">
      <c r="B205" s="98" t="s">
        <v>859</v>
      </c>
      <c r="C205" s="98" t="s">
        <v>386</v>
      </c>
      <c r="D205" s="98" t="s">
        <v>631</v>
      </c>
      <c r="E205" s="98" t="s">
        <v>392</v>
      </c>
      <c r="F205" s="98" t="s">
        <v>741</v>
      </c>
      <c r="G205" s="98">
        <v>5</v>
      </c>
      <c r="H205" s="98" t="str">
        <f t="shared" si="14"/>
        <v>BSS-TC-23177 TC_OBI_002_CR_109_PM1.4_Exclusion_Condition_2</v>
      </c>
      <c r="I205" s="98" t="s">
        <v>630</v>
      </c>
      <c r="J205" s="98" t="s">
        <v>394</v>
      </c>
      <c r="K205" s="98" t="s">
        <v>393</v>
      </c>
    </row>
    <row r="206" spans="2:11" x14ac:dyDescent="0.25">
      <c r="B206" s="98" t="s">
        <v>859</v>
      </c>
      <c r="C206" s="98" t="s">
        <v>386</v>
      </c>
      <c r="D206" s="98" t="s">
        <v>631</v>
      </c>
      <c r="E206" s="98" t="s">
        <v>377</v>
      </c>
      <c r="F206" s="98" t="s">
        <v>741</v>
      </c>
      <c r="G206" s="98">
        <v>6</v>
      </c>
      <c r="H206" s="98" t="str">
        <f t="shared" si="14"/>
        <v>BSS-TC-23177 TC_OBI_002_CR_109_PM1.4_Exclusion_Condition_2</v>
      </c>
      <c r="I206" s="98" t="s">
        <v>630</v>
      </c>
      <c r="J206" s="98" t="s">
        <v>396</v>
      </c>
      <c r="K206" s="98" t="s">
        <v>395</v>
      </c>
    </row>
    <row r="207" spans="2:11" x14ac:dyDescent="0.25">
      <c r="B207" s="98" t="s">
        <v>859</v>
      </c>
      <c r="C207" s="98" t="s">
        <v>386</v>
      </c>
      <c r="D207" s="98" t="s">
        <v>631</v>
      </c>
      <c r="E207" s="98" t="s">
        <v>742</v>
      </c>
      <c r="F207" s="98" t="s">
        <v>741</v>
      </c>
      <c r="G207" s="98">
        <v>7</v>
      </c>
      <c r="H207" s="98" t="str">
        <f t="shared" si="14"/>
        <v>BSS-TC-23177 TC_OBI_002_CR_109_PM1.4_Exclusion_Condition_2</v>
      </c>
      <c r="I207" s="98" t="s">
        <v>630</v>
      </c>
      <c r="J207" s="98" t="s">
        <v>381</v>
      </c>
      <c r="K207" s="98" t="s">
        <v>380</v>
      </c>
    </row>
    <row r="208" spans="2:11" x14ac:dyDescent="0.25">
      <c r="B208" s="98" t="s">
        <v>859</v>
      </c>
      <c r="C208" s="98" t="s">
        <v>386</v>
      </c>
      <c r="D208" s="98" t="s">
        <v>631</v>
      </c>
      <c r="E208" s="98" t="s">
        <v>382</v>
      </c>
      <c r="F208" s="98" t="s">
        <v>741</v>
      </c>
      <c r="G208" s="98">
        <v>8</v>
      </c>
      <c r="H208" s="98" t="str">
        <f t="shared" si="14"/>
        <v>BSS-TC-23177 TC_OBI_002_CR_109_PM1.4_Exclusion_Condition_2</v>
      </c>
      <c r="I208" s="98" t="s">
        <v>630</v>
      </c>
      <c r="J208" s="98" t="s">
        <v>383</v>
      </c>
      <c r="K208" s="98" t="s">
        <v>631</v>
      </c>
    </row>
    <row r="209" spans="2:11" x14ac:dyDescent="0.25">
      <c r="B209" s="98" t="s">
        <v>859</v>
      </c>
      <c r="C209" s="98" t="s">
        <v>386</v>
      </c>
      <c r="D209" s="98" t="s">
        <v>631</v>
      </c>
      <c r="E209" s="98" t="s">
        <v>384</v>
      </c>
      <c r="F209" s="98" t="s">
        <v>741</v>
      </c>
      <c r="G209" s="98">
        <v>9</v>
      </c>
      <c r="H209" s="98" t="str">
        <f t="shared" si="14"/>
        <v>BSS-TC-23177 TC_OBI_002_CR_109_PM1.4_Exclusion_Condition_2</v>
      </c>
      <c r="I209" s="98" t="s">
        <v>630</v>
      </c>
      <c r="J209" s="98" t="s">
        <v>397</v>
      </c>
      <c r="K209" s="98" t="s">
        <v>631</v>
      </c>
    </row>
    <row r="210" spans="2:11" x14ac:dyDescent="0.25">
      <c r="B210" s="98" t="s">
        <v>859</v>
      </c>
      <c r="C210" s="98" t="s">
        <v>386</v>
      </c>
      <c r="D210" s="98" t="s">
        <v>631</v>
      </c>
      <c r="E210" s="98" t="s">
        <v>743</v>
      </c>
      <c r="F210" s="98" t="s">
        <v>741</v>
      </c>
      <c r="G210" s="98">
        <v>10</v>
      </c>
      <c r="H210" s="98" t="str">
        <f t="shared" si="14"/>
        <v>BSS-TC-23177 TC_OBI_002_CR_109_PM1.4_Exclusion_Condition_2</v>
      </c>
      <c r="I210" s="98" t="s">
        <v>630</v>
      </c>
      <c r="J210" s="98" t="s">
        <v>381</v>
      </c>
      <c r="K210" s="98" t="s">
        <v>380</v>
      </c>
    </row>
    <row r="211" spans="2:11" x14ac:dyDescent="0.25">
      <c r="B211" s="98" t="s">
        <v>860</v>
      </c>
      <c r="C211" s="98" t="s">
        <v>98</v>
      </c>
      <c r="D211" s="98" t="s">
        <v>631</v>
      </c>
      <c r="E211" s="98" t="s">
        <v>744</v>
      </c>
      <c r="F211" s="98" t="s">
        <v>99</v>
      </c>
      <c r="G211" s="98">
        <v>1</v>
      </c>
      <c r="H211" s="98" t="str">
        <f t="shared" ref="H211:H218" si="15">HYPERLINK("http://rms/perspective.req?projectId=233&amp;docId=959482","BSS-TC-23210 TC_OBI_PM 1.4_004_CH Qualification against PM_Criteria 4")</f>
        <v>BSS-TC-23210 TC_OBI_PM 1.4_004_CH Qualification against PM_Criteria 4</v>
      </c>
      <c r="I211" s="98" t="s">
        <v>630</v>
      </c>
      <c r="J211" s="98" t="s">
        <v>631</v>
      </c>
      <c r="K211" s="98" t="s">
        <v>517</v>
      </c>
    </row>
    <row r="212" spans="2:11" x14ac:dyDescent="0.25">
      <c r="B212" s="98" t="s">
        <v>860</v>
      </c>
      <c r="C212" s="98" t="s">
        <v>98</v>
      </c>
      <c r="D212" s="98" t="s">
        <v>631</v>
      </c>
      <c r="E212" s="98" t="s">
        <v>18</v>
      </c>
      <c r="F212" s="98" t="s">
        <v>99</v>
      </c>
      <c r="G212" s="98">
        <v>2</v>
      </c>
      <c r="H212" s="98" t="str">
        <f t="shared" si="15"/>
        <v>BSS-TC-23210 TC_OBI_PM 1.4_004_CH Qualification against PM_Criteria 4</v>
      </c>
      <c r="I212" s="98" t="s">
        <v>630</v>
      </c>
      <c r="J212" s="98" t="s">
        <v>20</v>
      </c>
      <c r="K212" s="98" t="s">
        <v>631</v>
      </c>
    </row>
    <row r="213" spans="2:11" x14ac:dyDescent="0.25">
      <c r="B213" s="98" t="s">
        <v>860</v>
      </c>
      <c r="C213" s="98" t="s">
        <v>98</v>
      </c>
      <c r="D213" s="98" t="s">
        <v>631</v>
      </c>
      <c r="E213" s="98" t="s">
        <v>21</v>
      </c>
      <c r="F213" s="98" t="s">
        <v>99</v>
      </c>
      <c r="G213" s="98">
        <v>3</v>
      </c>
      <c r="H213" s="98" t="str">
        <f t="shared" si="15"/>
        <v>BSS-TC-23210 TC_OBI_PM 1.4_004_CH Qualification against PM_Criteria 4</v>
      </c>
      <c r="I213" s="98" t="s">
        <v>630</v>
      </c>
      <c r="J213" s="98" t="s">
        <v>22</v>
      </c>
      <c r="K213" s="98" t="s">
        <v>631</v>
      </c>
    </row>
    <row r="214" spans="2:11" x14ac:dyDescent="0.25">
      <c r="B214" s="98" t="s">
        <v>860</v>
      </c>
      <c r="C214" s="98" t="s">
        <v>98</v>
      </c>
      <c r="D214" s="98" t="s">
        <v>631</v>
      </c>
      <c r="E214" s="98" t="s">
        <v>23</v>
      </c>
      <c r="F214" s="98" t="s">
        <v>99</v>
      </c>
      <c r="G214" s="98">
        <v>4</v>
      </c>
      <c r="H214" s="98" t="str">
        <f t="shared" si="15"/>
        <v>BSS-TC-23210 TC_OBI_PM 1.4_004_CH Qualification against PM_Criteria 4</v>
      </c>
      <c r="I214" s="98" t="s">
        <v>630</v>
      </c>
      <c r="J214" s="98" t="s">
        <v>41</v>
      </c>
      <c r="K214" s="98" t="s">
        <v>631</v>
      </c>
    </row>
    <row r="215" spans="2:11" x14ac:dyDescent="0.25">
      <c r="B215" s="98" t="s">
        <v>860</v>
      </c>
      <c r="C215" s="98" t="s">
        <v>98</v>
      </c>
      <c r="D215" s="98" t="s">
        <v>631</v>
      </c>
      <c r="E215" s="98" t="s">
        <v>76</v>
      </c>
      <c r="F215" s="98" t="s">
        <v>99</v>
      </c>
      <c r="G215" s="98">
        <v>5</v>
      </c>
      <c r="H215" s="98" t="str">
        <f t="shared" si="15"/>
        <v>BSS-TC-23210 TC_OBI_PM 1.4_004_CH Qualification against PM_Criteria 4</v>
      </c>
      <c r="I215" s="98" t="s">
        <v>630</v>
      </c>
      <c r="J215" s="98" t="s">
        <v>44</v>
      </c>
      <c r="K215" s="98" t="s">
        <v>631</v>
      </c>
    </row>
    <row r="216" spans="2:11" x14ac:dyDescent="0.25">
      <c r="B216" s="98" t="s">
        <v>860</v>
      </c>
      <c r="C216" s="98" t="s">
        <v>98</v>
      </c>
      <c r="D216" s="98" t="s">
        <v>631</v>
      </c>
      <c r="E216" s="98" t="s">
        <v>25</v>
      </c>
      <c r="F216" s="98" t="s">
        <v>99</v>
      </c>
      <c r="G216" s="98">
        <v>6</v>
      </c>
      <c r="H216" s="98" t="str">
        <f t="shared" si="15"/>
        <v>BSS-TC-23210 TC_OBI_PM 1.4_004_CH Qualification against PM_Criteria 4</v>
      </c>
      <c r="I216" s="98" t="s">
        <v>630</v>
      </c>
      <c r="J216" s="98" t="s">
        <v>27</v>
      </c>
      <c r="K216" s="98" t="s">
        <v>631</v>
      </c>
    </row>
    <row r="217" spans="2:11" x14ac:dyDescent="0.25">
      <c r="B217" s="98" t="s">
        <v>860</v>
      </c>
      <c r="C217" s="98" t="s">
        <v>98</v>
      </c>
      <c r="D217" s="98" t="s">
        <v>631</v>
      </c>
      <c r="E217" s="98" t="s">
        <v>45</v>
      </c>
      <c r="F217" s="98" t="s">
        <v>99</v>
      </c>
      <c r="G217" s="98">
        <v>7</v>
      </c>
      <c r="H217" s="98" t="str">
        <f t="shared" si="15"/>
        <v>BSS-TC-23210 TC_OBI_PM 1.4_004_CH Qualification against PM_Criteria 4</v>
      </c>
      <c r="I217" s="98" t="s">
        <v>630</v>
      </c>
      <c r="J217" s="98" t="s">
        <v>42</v>
      </c>
      <c r="K217" s="98" t="s">
        <v>631</v>
      </c>
    </row>
    <row r="218" spans="2:11" x14ac:dyDescent="0.25">
      <c r="B218" s="98" t="s">
        <v>860</v>
      </c>
      <c r="C218" s="98" t="s">
        <v>98</v>
      </c>
      <c r="D218" s="98" t="s">
        <v>631</v>
      </c>
      <c r="E218" s="98" t="s">
        <v>745</v>
      </c>
      <c r="F218" s="98" t="s">
        <v>99</v>
      </c>
      <c r="G218" s="98">
        <v>8</v>
      </c>
      <c r="H218" s="98" t="str">
        <f t="shared" si="15"/>
        <v>BSS-TC-23210 TC_OBI_PM 1.4_004_CH Qualification against PM_Criteria 4</v>
      </c>
      <c r="I218" s="98" t="s">
        <v>630</v>
      </c>
      <c r="J218" s="98" t="s">
        <v>746</v>
      </c>
      <c r="K218" s="98" t="s">
        <v>747</v>
      </c>
    </row>
    <row r="219" spans="2:11" x14ac:dyDescent="0.25">
      <c r="B219" s="98" t="s">
        <v>861</v>
      </c>
      <c r="C219" s="98" t="s">
        <v>257</v>
      </c>
      <c r="D219" s="98" t="s">
        <v>631</v>
      </c>
      <c r="E219" s="98" t="s">
        <v>748</v>
      </c>
      <c r="F219" s="98" t="s">
        <v>749</v>
      </c>
      <c r="G219" s="98">
        <v>1</v>
      </c>
      <c r="H219" s="98" t="str">
        <f t="shared" ref="H219:H227" si="16">HYPERLINK("http://rms/perspective.req?projectId=233&amp;docId=959483","BSS-TC-23211 TC_OBI_PM 1.4_005_CH Qualification against PM_Reporting date")</f>
        <v>BSS-TC-23211 TC_OBI_PM 1.4_005_CH Qualification against PM_Reporting date</v>
      </c>
      <c r="I219" s="98" t="s">
        <v>630</v>
      </c>
      <c r="J219" s="98" t="s">
        <v>631</v>
      </c>
      <c r="K219" s="98" t="s">
        <v>517</v>
      </c>
    </row>
    <row r="220" spans="2:11" x14ac:dyDescent="0.25">
      <c r="B220" s="98" t="s">
        <v>861</v>
      </c>
      <c r="C220" s="98" t="s">
        <v>257</v>
      </c>
      <c r="D220" s="98" t="s">
        <v>631</v>
      </c>
      <c r="E220" s="98" t="s">
        <v>150</v>
      </c>
      <c r="F220" s="98" t="s">
        <v>749</v>
      </c>
      <c r="G220" s="98">
        <v>2</v>
      </c>
      <c r="H220" s="98" t="str">
        <f t="shared" si="16"/>
        <v>BSS-TC-23211 TC_OBI_PM 1.4_005_CH Qualification against PM_Reporting date</v>
      </c>
      <c r="I220" s="98" t="s">
        <v>630</v>
      </c>
      <c r="J220" s="98" t="s">
        <v>631</v>
      </c>
      <c r="K220" s="98" t="s">
        <v>631</v>
      </c>
    </row>
    <row r="221" spans="2:11" x14ac:dyDescent="0.25">
      <c r="B221" s="98" t="s">
        <v>861</v>
      </c>
      <c r="C221" s="98" t="s">
        <v>257</v>
      </c>
      <c r="D221" s="98" t="s">
        <v>631</v>
      </c>
      <c r="E221" s="98" t="s">
        <v>18</v>
      </c>
      <c r="F221" s="98" t="s">
        <v>749</v>
      </c>
      <c r="G221" s="98">
        <v>3</v>
      </c>
      <c r="H221" s="98" t="str">
        <f t="shared" si="16"/>
        <v>BSS-TC-23211 TC_OBI_PM 1.4_005_CH Qualification against PM_Reporting date</v>
      </c>
      <c r="I221" s="98" t="s">
        <v>630</v>
      </c>
      <c r="J221" s="98" t="s">
        <v>20</v>
      </c>
      <c r="K221" s="98" t="s">
        <v>631</v>
      </c>
    </row>
    <row r="222" spans="2:11" x14ac:dyDescent="0.25">
      <c r="B222" s="98" t="s">
        <v>861</v>
      </c>
      <c r="C222" s="98" t="s">
        <v>257</v>
      </c>
      <c r="D222" s="98" t="s">
        <v>631</v>
      </c>
      <c r="E222" s="98" t="s">
        <v>21</v>
      </c>
      <c r="F222" s="98" t="s">
        <v>749</v>
      </c>
      <c r="G222" s="98">
        <v>4</v>
      </c>
      <c r="H222" s="98" t="str">
        <f t="shared" si="16"/>
        <v>BSS-TC-23211 TC_OBI_PM 1.4_005_CH Qualification against PM_Reporting date</v>
      </c>
      <c r="I222" s="98" t="s">
        <v>630</v>
      </c>
      <c r="J222" s="98" t="s">
        <v>22</v>
      </c>
      <c r="K222" s="98" t="s">
        <v>631</v>
      </c>
    </row>
    <row r="223" spans="2:11" x14ac:dyDescent="0.25">
      <c r="B223" s="98" t="s">
        <v>861</v>
      </c>
      <c r="C223" s="98" t="s">
        <v>257</v>
      </c>
      <c r="D223" s="98" t="s">
        <v>631</v>
      </c>
      <c r="E223" s="98" t="s">
        <v>23</v>
      </c>
      <c r="F223" s="98" t="s">
        <v>749</v>
      </c>
      <c r="G223" s="98">
        <v>5</v>
      </c>
      <c r="H223" s="98" t="str">
        <f t="shared" si="16"/>
        <v>BSS-TC-23211 TC_OBI_PM 1.4_005_CH Qualification against PM_Reporting date</v>
      </c>
      <c r="I223" s="98" t="s">
        <v>630</v>
      </c>
      <c r="J223" s="98" t="s">
        <v>41</v>
      </c>
      <c r="K223" s="98" t="s">
        <v>631</v>
      </c>
    </row>
    <row r="224" spans="2:11" x14ac:dyDescent="0.25">
      <c r="B224" s="98" t="s">
        <v>861</v>
      </c>
      <c r="C224" s="98" t="s">
        <v>257</v>
      </c>
      <c r="D224" s="98" t="s">
        <v>631</v>
      </c>
      <c r="E224" s="98" t="s">
        <v>76</v>
      </c>
      <c r="F224" s="98" t="s">
        <v>749</v>
      </c>
      <c r="G224" s="98">
        <v>6</v>
      </c>
      <c r="H224" s="98" t="str">
        <f t="shared" si="16"/>
        <v>BSS-TC-23211 TC_OBI_PM 1.4_005_CH Qualification against PM_Reporting date</v>
      </c>
      <c r="I224" s="98" t="s">
        <v>630</v>
      </c>
      <c r="J224" s="98" t="s">
        <v>44</v>
      </c>
      <c r="K224" s="98" t="s">
        <v>631</v>
      </c>
    </row>
    <row r="225" spans="2:11" x14ac:dyDescent="0.25">
      <c r="B225" s="98" t="s">
        <v>861</v>
      </c>
      <c r="C225" s="98" t="s">
        <v>257</v>
      </c>
      <c r="D225" s="98" t="s">
        <v>631</v>
      </c>
      <c r="E225" s="98" t="s">
        <v>25</v>
      </c>
      <c r="F225" s="98" t="s">
        <v>749</v>
      </c>
      <c r="G225" s="98">
        <v>7</v>
      </c>
      <c r="H225" s="98" t="str">
        <f t="shared" si="16"/>
        <v>BSS-TC-23211 TC_OBI_PM 1.4_005_CH Qualification against PM_Reporting date</v>
      </c>
      <c r="I225" s="98" t="s">
        <v>630</v>
      </c>
      <c r="J225" s="98" t="s">
        <v>27</v>
      </c>
      <c r="K225" s="98" t="s">
        <v>631</v>
      </c>
    </row>
    <row r="226" spans="2:11" x14ac:dyDescent="0.25">
      <c r="B226" s="98" t="s">
        <v>861</v>
      </c>
      <c r="C226" s="98" t="s">
        <v>257</v>
      </c>
      <c r="D226" s="98" t="s">
        <v>631</v>
      </c>
      <c r="E226" s="98" t="s">
        <v>45</v>
      </c>
      <c r="F226" s="98" t="s">
        <v>749</v>
      </c>
      <c r="G226" s="98">
        <v>8</v>
      </c>
      <c r="H226" s="98" t="str">
        <f t="shared" si="16"/>
        <v>BSS-TC-23211 TC_OBI_PM 1.4_005_CH Qualification against PM_Reporting date</v>
      </c>
      <c r="I226" s="98" t="s">
        <v>630</v>
      </c>
      <c r="J226" s="98" t="s">
        <v>42</v>
      </c>
      <c r="K226" s="98" t="s">
        <v>631</v>
      </c>
    </row>
    <row r="227" spans="2:11" x14ac:dyDescent="0.25">
      <c r="B227" s="98" t="s">
        <v>861</v>
      </c>
      <c r="C227" s="98" t="s">
        <v>257</v>
      </c>
      <c r="D227" s="98" t="s">
        <v>631</v>
      </c>
      <c r="E227" s="98" t="s">
        <v>750</v>
      </c>
      <c r="F227" s="98" t="s">
        <v>749</v>
      </c>
      <c r="G227" s="98">
        <v>9</v>
      </c>
      <c r="H227" s="98" t="str">
        <f t="shared" si="16"/>
        <v>BSS-TC-23211 TC_OBI_PM 1.4_005_CH Qualification against PM_Reporting date</v>
      </c>
      <c r="I227" s="98" t="s">
        <v>630</v>
      </c>
      <c r="J227" s="98" t="s">
        <v>751</v>
      </c>
      <c r="K227" s="98" t="s">
        <v>78</v>
      </c>
    </row>
    <row r="228" spans="2:11" x14ac:dyDescent="0.25">
      <c r="B228" s="98" t="s">
        <v>862</v>
      </c>
      <c r="C228" s="98" t="s">
        <v>106</v>
      </c>
      <c r="D228" s="98" t="s">
        <v>631</v>
      </c>
      <c r="E228" s="98" t="s">
        <v>752</v>
      </c>
      <c r="F228" s="98" t="s">
        <v>107</v>
      </c>
      <c r="G228" s="98">
        <v>1</v>
      </c>
      <c r="H228" s="98" t="str">
        <f t="shared" ref="H228:H234" si="17">HYPERLINK("http://rms/perspective.req?projectId=233&amp;docId=959484","BSS-TC-23212 TC_OBI_PM 1.4_006_CH Qualification against PM_ASL value against Allowed and Excluded CH")</f>
        <v>BSS-TC-23212 TC_OBI_PM 1.4_006_CH Qualification against PM_ASL value against Allowed and Excluded CH</v>
      </c>
      <c r="I228" s="98" t="s">
        <v>630</v>
      </c>
      <c r="J228" s="98" t="s">
        <v>80</v>
      </c>
      <c r="K228" s="98" t="s">
        <v>517</v>
      </c>
    </row>
    <row r="229" spans="2:11" x14ac:dyDescent="0.25">
      <c r="B229" s="98" t="s">
        <v>862</v>
      </c>
      <c r="C229" s="98" t="s">
        <v>106</v>
      </c>
      <c r="D229" s="98" t="s">
        <v>631</v>
      </c>
      <c r="E229" s="98" t="s">
        <v>18</v>
      </c>
      <c r="F229" s="98" t="s">
        <v>107</v>
      </c>
      <c r="G229" s="98">
        <v>2</v>
      </c>
      <c r="H229" s="98" t="str">
        <f t="shared" si="17"/>
        <v>BSS-TC-23212 TC_OBI_PM 1.4_006_CH Qualification against PM_ASL value against Allowed and Excluded CH</v>
      </c>
      <c r="I229" s="98" t="s">
        <v>630</v>
      </c>
      <c r="J229" s="98" t="s">
        <v>20</v>
      </c>
      <c r="K229" s="98" t="s">
        <v>631</v>
      </c>
    </row>
    <row r="230" spans="2:11" x14ac:dyDescent="0.25">
      <c r="B230" s="98" t="s">
        <v>862</v>
      </c>
      <c r="C230" s="98" t="s">
        <v>106</v>
      </c>
      <c r="D230" s="98" t="s">
        <v>631</v>
      </c>
      <c r="E230" s="98" t="s">
        <v>21</v>
      </c>
      <c r="F230" s="98" t="s">
        <v>107</v>
      </c>
      <c r="G230" s="98">
        <v>3</v>
      </c>
      <c r="H230" s="98" t="str">
        <f t="shared" si="17"/>
        <v>BSS-TC-23212 TC_OBI_PM 1.4_006_CH Qualification against PM_ASL value against Allowed and Excluded CH</v>
      </c>
      <c r="I230" s="98" t="s">
        <v>630</v>
      </c>
      <c r="J230" s="98" t="s">
        <v>22</v>
      </c>
      <c r="K230" s="98" t="s">
        <v>631</v>
      </c>
    </row>
    <row r="231" spans="2:11" x14ac:dyDescent="0.25">
      <c r="B231" s="98" t="s">
        <v>862</v>
      </c>
      <c r="C231" s="98" t="s">
        <v>106</v>
      </c>
      <c r="D231" s="98" t="s">
        <v>631</v>
      </c>
      <c r="E231" s="98" t="s">
        <v>23</v>
      </c>
      <c r="F231" s="98" t="s">
        <v>107</v>
      </c>
      <c r="G231" s="98">
        <v>4</v>
      </c>
      <c r="H231" s="98" t="str">
        <f t="shared" si="17"/>
        <v>BSS-TC-23212 TC_OBI_PM 1.4_006_CH Qualification against PM_ASL value against Allowed and Excluded CH</v>
      </c>
      <c r="I231" s="98" t="s">
        <v>630</v>
      </c>
      <c r="J231" s="98" t="s">
        <v>41</v>
      </c>
      <c r="K231" s="98" t="s">
        <v>631</v>
      </c>
    </row>
    <row r="232" spans="2:11" x14ac:dyDescent="0.25">
      <c r="B232" s="98" t="s">
        <v>862</v>
      </c>
      <c r="C232" s="98" t="s">
        <v>106</v>
      </c>
      <c r="D232" s="98" t="s">
        <v>631</v>
      </c>
      <c r="E232" s="98" t="s">
        <v>43</v>
      </c>
      <c r="F232" s="98" t="s">
        <v>107</v>
      </c>
      <c r="G232" s="98">
        <v>5</v>
      </c>
      <c r="H232" s="98" t="str">
        <f t="shared" si="17"/>
        <v>BSS-TC-23212 TC_OBI_PM 1.4_006_CH Qualification against PM_ASL value against Allowed and Excluded CH</v>
      </c>
      <c r="I232" s="98" t="s">
        <v>630</v>
      </c>
      <c r="J232" s="98" t="s">
        <v>44</v>
      </c>
      <c r="K232" s="98" t="s">
        <v>631</v>
      </c>
    </row>
    <row r="233" spans="2:11" x14ac:dyDescent="0.25">
      <c r="B233" s="98" t="s">
        <v>862</v>
      </c>
      <c r="C233" s="98" t="s">
        <v>106</v>
      </c>
      <c r="D233" s="98" t="s">
        <v>631</v>
      </c>
      <c r="E233" s="98" t="s">
        <v>25</v>
      </c>
      <c r="F233" s="98" t="s">
        <v>107</v>
      </c>
      <c r="G233" s="98">
        <v>6</v>
      </c>
      <c r="H233" s="98" t="str">
        <f t="shared" si="17"/>
        <v>BSS-TC-23212 TC_OBI_PM 1.4_006_CH Qualification against PM_ASL value against Allowed and Excluded CH</v>
      </c>
      <c r="I233" s="98" t="s">
        <v>630</v>
      </c>
      <c r="J233" s="98" t="s">
        <v>27</v>
      </c>
      <c r="K233" s="98" t="s">
        <v>631</v>
      </c>
    </row>
    <row r="234" spans="2:11" x14ac:dyDescent="0.25">
      <c r="B234" s="98" t="s">
        <v>862</v>
      </c>
      <c r="C234" s="98" t="s">
        <v>106</v>
      </c>
      <c r="D234" s="98" t="s">
        <v>631</v>
      </c>
      <c r="E234" s="98" t="s">
        <v>753</v>
      </c>
      <c r="F234" s="98" t="s">
        <v>107</v>
      </c>
      <c r="G234" s="98">
        <v>7</v>
      </c>
      <c r="H234" s="98" t="str">
        <f t="shared" si="17"/>
        <v>BSS-TC-23212 TC_OBI_PM 1.4_006_CH Qualification against PM_ASL value against Allowed and Excluded CH</v>
      </c>
      <c r="I234" s="98" t="s">
        <v>630</v>
      </c>
      <c r="J234" s="98" t="s">
        <v>754</v>
      </c>
      <c r="K234" s="98" t="s">
        <v>75</v>
      </c>
    </row>
    <row r="235" spans="2:11" x14ac:dyDescent="0.25">
      <c r="B235" s="98" t="s">
        <v>863</v>
      </c>
      <c r="C235" s="98" t="s">
        <v>110</v>
      </c>
      <c r="D235" s="98" t="s">
        <v>631</v>
      </c>
      <c r="E235" s="98" t="s">
        <v>755</v>
      </c>
      <c r="F235" s="98" t="s">
        <v>515</v>
      </c>
      <c r="G235" s="98">
        <v>1</v>
      </c>
      <c r="H235" s="98" t="str">
        <f t="shared" ref="H235:H243" si="18">HYPERLINK("http://rms/perspective.req?projectId=233&amp;docId=959485","BSS-TC-23213 TC_OBI_PM 1.4_007 _CH qualification against PM_Qualifies_Missed or Allowed exception")</f>
        <v>BSS-TC-23213 TC_OBI_PM 1.4_007 _CH qualification against PM_Qualifies_Missed or Allowed exception</v>
      </c>
      <c r="I235" s="98" t="s">
        <v>630</v>
      </c>
      <c r="J235" s="98" t="s">
        <v>80</v>
      </c>
      <c r="K235" s="98" t="s">
        <v>517</v>
      </c>
    </row>
    <row r="236" spans="2:11" x14ac:dyDescent="0.25">
      <c r="B236" s="98" t="s">
        <v>863</v>
      </c>
      <c r="C236" s="98" t="s">
        <v>110</v>
      </c>
      <c r="D236" s="98" t="s">
        <v>631</v>
      </c>
      <c r="E236" s="98" t="s">
        <v>18</v>
      </c>
      <c r="F236" s="98" t="s">
        <v>515</v>
      </c>
      <c r="G236" s="98">
        <v>2</v>
      </c>
      <c r="H236" s="98" t="str">
        <f t="shared" si="18"/>
        <v>BSS-TC-23213 TC_OBI_PM 1.4_007 _CH qualification against PM_Qualifies_Missed or Allowed exception</v>
      </c>
      <c r="I236" s="98" t="s">
        <v>630</v>
      </c>
      <c r="J236" s="98" t="s">
        <v>20</v>
      </c>
      <c r="K236" s="98" t="s">
        <v>631</v>
      </c>
    </row>
    <row r="237" spans="2:11" x14ac:dyDescent="0.25">
      <c r="B237" s="98" t="s">
        <v>863</v>
      </c>
      <c r="C237" s="98" t="s">
        <v>110</v>
      </c>
      <c r="D237" s="98" t="s">
        <v>631</v>
      </c>
      <c r="E237" s="98" t="s">
        <v>21</v>
      </c>
      <c r="F237" s="98" t="s">
        <v>515</v>
      </c>
      <c r="G237" s="98">
        <v>3</v>
      </c>
      <c r="H237" s="98" t="str">
        <f t="shared" si="18"/>
        <v>BSS-TC-23213 TC_OBI_PM 1.4_007 _CH qualification against PM_Qualifies_Missed or Allowed exception</v>
      </c>
      <c r="I237" s="98" t="s">
        <v>630</v>
      </c>
      <c r="J237" s="98" t="s">
        <v>22</v>
      </c>
      <c r="K237" s="98" t="s">
        <v>631</v>
      </c>
    </row>
    <row r="238" spans="2:11" x14ac:dyDescent="0.25">
      <c r="B238" s="98" t="s">
        <v>863</v>
      </c>
      <c r="C238" s="98" t="s">
        <v>110</v>
      </c>
      <c r="D238" s="98" t="s">
        <v>631</v>
      </c>
      <c r="E238" s="98" t="s">
        <v>23</v>
      </c>
      <c r="F238" s="98" t="s">
        <v>515</v>
      </c>
      <c r="G238" s="98">
        <v>4</v>
      </c>
      <c r="H238" s="98" t="str">
        <f t="shared" si="18"/>
        <v>BSS-TC-23213 TC_OBI_PM 1.4_007 _CH qualification against PM_Qualifies_Missed or Allowed exception</v>
      </c>
      <c r="I238" s="98" t="s">
        <v>630</v>
      </c>
      <c r="J238" s="98" t="s">
        <v>41</v>
      </c>
      <c r="K238" s="98" t="s">
        <v>631</v>
      </c>
    </row>
    <row r="239" spans="2:11" x14ac:dyDescent="0.25">
      <c r="B239" s="98" t="s">
        <v>863</v>
      </c>
      <c r="C239" s="98" t="s">
        <v>110</v>
      </c>
      <c r="D239" s="98" t="s">
        <v>631</v>
      </c>
      <c r="E239" s="98" t="s">
        <v>70</v>
      </c>
      <c r="F239" s="98" t="s">
        <v>515</v>
      </c>
      <c r="G239" s="98">
        <v>5</v>
      </c>
      <c r="H239" s="98" t="str">
        <f t="shared" si="18"/>
        <v>BSS-TC-23213 TC_OBI_PM 1.4_007 _CH qualification against PM_Qualifies_Missed or Allowed exception</v>
      </c>
      <c r="I239" s="98" t="s">
        <v>630</v>
      </c>
      <c r="J239" s="98" t="s">
        <v>44</v>
      </c>
      <c r="K239" s="98" t="s">
        <v>631</v>
      </c>
    </row>
    <row r="240" spans="2:11" x14ac:dyDescent="0.25">
      <c r="B240" s="98" t="s">
        <v>863</v>
      </c>
      <c r="C240" s="98" t="s">
        <v>110</v>
      </c>
      <c r="D240" s="98" t="s">
        <v>631</v>
      </c>
      <c r="E240" s="98" t="s">
        <v>25</v>
      </c>
      <c r="F240" s="98" t="s">
        <v>515</v>
      </c>
      <c r="G240" s="98">
        <v>6</v>
      </c>
      <c r="H240" s="98" t="str">
        <f t="shared" si="18"/>
        <v>BSS-TC-23213 TC_OBI_PM 1.4_007 _CH qualification against PM_Qualifies_Missed or Allowed exception</v>
      </c>
      <c r="I240" s="98" t="s">
        <v>630</v>
      </c>
      <c r="J240" s="98" t="s">
        <v>27</v>
      </c>
      <c r="K240" s="98" t="s">
        <v>631</v>
      </c>
    </row>
    <row r="241" spans="2:11" x14ac:dyDescent="0.25">
      <c r="B241" s="98" t="s">
        <v>863</v>
      </c>
      <c r="C241" s="98" t="s">
        <v>110</v>
      </c>
      <c r="D241" s="98" t="s">
        <v>631</v>
      </c>
      <c r="E241" s="98" t="s">
        <v>45</v>
      </c>
      <c r="F241" s="98" t="s">
        <v>515</v>
      </c>
      <c r="G241" s="98">
        <v>7</v>
      </c>
      <c r="H241" s="98" t="str">
        <f t="shared" si="18"/>
        <v>BSS-TC-23213 TC_OBI_PM 1.4_007 _CH qualification against PM_Qualifies_Missed or Allowed exception</v>
      </c>
      <c r="I241" s="98" t="s">
        <v>630</v>
      </c>
      <c r="J241" s="98" t="s">
        <v>756</v>
      </c>
      <c r="K241" s="98" t="s">
        <v>631</v>
      </c>
    </row>
    <row r="242" spans="2:11" x14ac:dyDescent="0.25">
      <c r="B242" s="98" t="s">
        <v>863</v>
      </c>
      <c r="C242" s="98" t="s">
        <v>110</v>
      </c>
      <c r="D242" s="98" t="s">
        <v>631</v>
      </c>
      <c r="E242" s="98" t="s">
        <v>83</v>
      </c>
      <c r="F242" s="98" t="s">
        <v>515</v>
      </c>
      <c r="G242" s="98">
        <v>8</v>
      </c>
      <c r="H242" s="98" t="str">
        <f t="shared" si="18"/>
        <v>BSS-TC-23213 TC_OBI_PM 1.4_007 _CH qualification against PM_Qualifies_Missed or Allowed exception</v>
      </c>
      <c r="I242" s="98" t="s">
        <v>630</v>
      </c>
      <c r="J242" s="98" t="s">
        <v>757</v>
      </c>
      <c r="K242" s="98" t="s">
        <v>631</v>
      </c>
    </row>
    <row r="243" spans="2:11" x14ac:dyDescent="0.25">
      <c r="B243" s="98" t="s">
        <v>863</v>
      </c>
      <c r="C243" s="98" t="s">
        <v>110</v>
      </c>
      <c r="D243" s="98" t="s">
        <v>631</v>
      </c>
      <c r="E243" s="98" t="s">
        <v>731</v>
      </c>
      <c r="F243" s="98" t="s">
        <v>515</v>
      </c>
      <c r="G243" s="98">
        <v>9</v>
      </c>
      <c r="H243" s="98" t="str">
        <f t="shared" si="18"/>
        <v>BSS-TC-23213 TC_OBI_PM 1.4_007 _CH qualification against PM_Qualifies_Missed or Allowed exception</v>
      </c>
      <c r="I243" s="98" t="s">
        <v>630</v>
      </c>
      <c r="J243" s="98" t="s">
        <v>758</v>
      </c>
      <c r="K243" s="98" t="s">
        <v>86</v>
      </c>
    </row>
    <row r="244" spans="2:11" x14ac:dyDescent="0.25">
      <c r="B244" s="98" t="s">
        <v>864</v>
      </c>
      <c r="C244" s="98" t="s">
        <v>115</v>
      </c>
      <c r="D244" s="98" t="s">
        <v>631</v>
      </c>
      <c r="E244" s="98" t="s">
        <v>759</v>
      </c>
      <c r="F244" s="98" t="s">
        <v>116</v>
      </c>
      <c r="G244" s="98">
        <v>1</v>
      </c>
      <c r="H244" s="98" t="str">
        <f t="shared" ref="H244:H252" si="19">HYPERLINK("http://rms/perspective.req?projectId=233&amp;docId=959486","BSS-TC-23214 TC_OBI_PM 1.4_008 _CH qualification against PM_Exempted CH from Opted out ")</f>
        <v xml:space="preserve">BSS-TC-23214 TC_OBI_PM 1.4_008 _CH qualification against PM_Exempted CH from Opted out </v>
      </c>
      <c r="I244" s="98" t="s">
        <v>630</v>
      </c>
      <c r="J244" s="98" t="s">
        <v>80</v>
      </c>
      <c r="K244" s="98" t="s">
        <v>517</v>
      </c>
    </row>
    <row r="245" spans="2:11" x14ac:dyDescent="0.25">
      <c r="B245" s="98" t="s">
        <v>864</v>
      </c>
      <c r="C245" s="98" t="s">
        <v>115</v>
      </c>
      <c r="D245" s="98" t="s">
        <v>631</v>
      </c>
      <c r="E245" s="98" t="s">
        <v>18</v>
      </c>
      <c r="F245" s="98" t="s">
        <v>116</v>
      </c>
      <c r="G245" s="98">
        <v>2</v>
      </c>
      <c r="H245" s="98" t="str">
        <f t="shared" si="19"/>
        <v xml:space="preserve">BSS-TC-23214 TC_OBI_PM 1.4_008 _CH qualification against PM_Exempted CH from Opted out </v>
      </c>
      <c r="I245" s="98" t="s">
        <v>630</v>
      </c>
      <c r="J245" s="98" t="s">
        <v>20</v>
      </c>
      <c r="K245" s="98" t="s">
        <v>631</v>
      </c>
    </row>
    <row r="246" spans="2:11" x14ac:dyDescent="0.25">
      <c r="B246" s="98" t="s">
        <v>864</v>
      </c>
      <c r="C246" s="98" t="s">
        <v>115</v>
      </c>
      <c r="D246" s="98" t="s">
        <v>631</v>
      </c>
      <c r="E246" s="98" t="s">
        <v>21</v>
      </c>
      <c r="F246" s="98" t="s">
        <v>116</v>
      </c>
      <c r="G246" s="98">
        <v>3</v>
      </c>
      <c r="H246" s="98" t="str">
        <f t="shared" si="19"/>
        <v xml:space="preserve">BSS-TC-23214 TC_OBI_PM 1.4_008 _CH qualification against PM_Exempted CH from Opted out </v>
      </c>
      <c r="I246" s="98" t="s">
        <v>630</v>
      </c>
      <c r="J246" s="98" t="s">
        <v>22</v>
      </c>
      <c r="K246" s="98" t="s">
        <v>631</v>
      </c>
    </row>
    <row r="247" spans="2:11" x14ac:dyDescent="0.25">
      <c r="B247" s="98" t="s">
        <v>864</v>
      </c>
      <c r="C247" s="98" t="s">
        <v>115</v>
      </c>
      <c r="D247" s="98" t="s">
        <v>631</v>
      </c>
      <c r="E247" s="98" t="s">
        <v>23</v>
      </c>
      <c r="F247" s="98" t="s">
        <v>116</v>
      </c>
      <c r="G247" s="98">
        <v>4</v>
      </c>
      <c r="H247" s="98" t="str">
        <f t="shared" si="19"/>
        <v xml:space="preserve">BSS-TC-23214 TC_OBI_PM 1.4_008 _CH qualification against PM_Exempted CH from Opted out </v>
      </c>
      <c r="I247" s="98" t="s">
        <v>630</v>
      </c>
      <c r="J247" s="98" t="s">
        <v>41</v>
      </c>
      <c r="K247" s="98" t="s">
        <v>631</v>
      </c>
    </row>
    <row r="248" spans="2:11" x14ac:dyDescent="0.25">
      <c r="B248" s="98" t="s">
        <v>864</v>
      </c>
      <c r="C248" s="98" t="s">
        <v>115</v>
      </c>
      <c r="D248" s="98" t="s">
        <v>631</v>
      </c>
      <c r="E248" s="98" t="s">
        <v>70</v>
      </c>
      <c r="F248" s="98" t="s">
        <v>116</v>
      </c>
      <c r="G248" s="98">
        <v>5</v>
      </c>
      <c r="H248" s="98" t="str">
        <f t="shared" si="19"/>
        <v xml:space="preserve">BSS-TC-23214 TC_OBI_PM 1.4_008 _CH qualification against PM_Exempted CH from Opted out </v>
      </c>
      <c r="I248" s="98" t="s">
        <v>630</v>
      </c>
      <c r="J248" s="98" t="s">
        <v>44</v>
      </c>
      <c r="K248" s="98" t="s">
        <v>631</v>
      </c>
    </row>
    <row r="249" spans="2:11" x14ac:dyDescent="0.25">
      <c r="B249" s="98" t="s">
        <v>864</v>
      </c>
      <c r="C249" s="98" t="s">
        <v>115</v>
      </c>
      <c r="D249" s="98" t="s">
        <v>631</v>
      </c>
      <c r="E249" s="98" t="s">
        <v>25</v>
      </c>
      <c r="F249" s="98" t="s">
        <v>116</v>
      </c>
      <c r="G249" s="98">
        <v>6</v>
      </c>
      <c r="H249" s="98" t="str">
        <f t="shared" si="19"/>
        <v xml:space="preserve">BSS-TC-23214 TC_OBI_PM 1.4_008 _CH qualification against PM_Exempted CH from Opted out </v>
      </c>
      <c r="I249" s="98" t="s">
        <v>630</v>
      </c>
      <c r="J249" s="98" t="s">
        <v>27</v>
      </c>
      <c r="K249" s="98" t="s">
        <v>631</v>
      </c>
    </row>
    <row r="250" spans="2:11" x14ac:dyDescent="0.25">
      <c r="B250" s="98" t="s">
        <v>864</v>
      </c>
      <c r="C250" s="98" t="s">
        <v>115</v>
      </c>
      <c r="D250" s="98" t="s">
        <v>631</v>
      </c>
      <c r="E250" s="98" t="s">
        <v>45</v>
      </c>
      <c r="F250" s="98" t="s">
        <v>116</v>
      </c>
      <c r="G250" s="98">
        <v>7</v>
      </c>
      <c r="H250" s="98" t="str">
        <f t="shared" si="19"/>
        <v xml:space="preserve">BSS-TC-23214 TC_OBI_PM 1.4_008 _CH qualification against PM_Exempted CH from Opted out </v>
      </c>
      <c r="I250" s="98" t="s">
        <v>630</v>
      </c>
      <c r="J250" s="98" t="s">
        <v>756</v>
      </c>
      <c r="K250" s="98" t="s">
        <v>631</v>
      </c>
    </row>
    <row r="251" spans="2:11" x14ac:dyDescent="0.25">
      <c r="B251" s="98" t="s">
        <v>864</v>
      </c>
      <c r="C251" s="98" t="s">
        <v>115</v>
      </c>
      <c r="D251" s="98" t="s">
        <v>631</v>
      </c>
      <c r="E251" s="98" t="s">
        <v>83</v>
      </c>
      <c r="F251" s="98" t="s">
        <v>116</v>
      </c>
      <c r="G251" s="98">
        <v>8</v>
      </c>
      <c r="H251" s="98" t="str">
        <f t="shared" si="19"/>
        <v xml:space="preserve">BSS-TC-23214 TC_OBI_PM 1.4_008 _CH qualification against PM_Exempted CH from Opted out </v>
      </c>
      <c r="I251" s="98" t="s">
        <v>630</v>
      </c>
      <c r="J251" s="98" t="s">
        <v>757</v>
      </c>
      <c r="K251" s="98" t="s">
        <v>631</v>
      </c>
    </row>
    <row r="252" spans="2:11" x14ac:dyDescent="0.25">
      <c r="B252" s="98" t="s">
        <v>864</v>
      </c>
      <c r="C252" s="98" t="s">
        <v>115</v>
      </c>
      <c r="D252" s="98" t="s">
        <v>631</v>
      </c>
      <c r="E252" s="98" t="s">
        <v>731</v>
      </c>
      <c r="F252" s="98" t="s">
        <v>116</v>
      </c>
      <c r="G252" s="98">
        <v>9</v>
      </c>
      <c r="H252" s="98" t="str">
        <f t="shared" si="19"/>
        <v xml:space="preserve">BSS-TC-23214 TC_OBI_PM 1.4_008 _CH qualification against PM_Exempted CH from Opted out </v>
      </c>
      <c r="I252" s="98" t="s">
        <v>630</v>
      </c>
      <c r="J252" s="98" t="s">
        <v>758</v>
      </c>
      <c r="K252" s="98" t="s">
        <v>86</v>
      </c>
    </row>
    <row r="253" spans="2:11" x14ac:dyDescent="0.25">
      <c r="B253" s="98" t="s">
        <v>865</v>
      </c>
      <c r="C253" s="98" t="s">
        <v>117</v>
      </c>
      <c r="D253" s="98" t="s">
        <v>631</v>
      </c>
      <c r="E253" s="98" t="s">
        <v>760</v>
      </c>
      <c r="F253" s="98" t="s">
        <v>118</v>
      </c>
      <c r="G253" s="98">
        <v>1</v>
      </c>
      <c r="H253" s="98" t="str">
        <f t="shared" ref="H253:H261" si="20">HYPERLINK("http://rms/perspective.req?projectId=233&amp;docId=959487","BSS-TC-23215 TC_OBI_PM 1.4_009_CH Qualification against PM_Missed Criteria")</f>
        <v>BSS-TC-23215 TC_OBI_PM 1.4_009_CH Qualification against PM_Missed Criteria</v>
      </c>
      <c r="I253" s="98" t="s">
        <v>630</v>
      </c>
      <c r="J253" s="98" t="s">
        <v>80</v>
      </c>
      <c r="K253" s="98" t="s">
        <v>517</v>
      </c>
    </row>
    <row r="254" spans="2:11" x14ac:dyDescent="0.25">
      <c r="B254" s="98" t="s">
        <v>865</v>
      </c>
      <c r="C254" s="98" t="s">
        <v>117</v>
      </c>
      <c r="D254" s="98" t="s">
        <v>631</v>
      </c>
      <c r="E254" s="98" t="s">
        <v>18</v>
      </c>
      <c r="F254" s="98" t="s">
        <v>118</v>
      </c>
      <c r="G254" s="98">
        <v>2</v>
      </c>
      <c r="H254" s="98" t="str">
        <f t="shared" si="20"/>
        <v>BSS-TC-23215 TC_OBI_PM 1.4_009_CH Qualification against PM_Missed Criteria</v>
      </c>
      <c r="I254" s="98" t="s">
        <v>630</v>
      </c>
      <c r="J254" s="98" t="s">
        <v>20</v>
      </c>
      <c r="K254" s="98" t="s">
        <v>631</v>
      </c>
    </row>
    <row r="255" spans="2:11" x14ac:dyDescent="0.25">
      <c r="B255" s="98" t="s">
        <v>865</v>
      </c>
      <c r="C255" s="98" t="s">
        <v>117</v>
      </c>
      <c r="D255" s="98" t="s">
        <v>631</v>
      </c>
      <c r="E255" s="98" t="s">
        <v>21</v>
      </c>
      <c r="F255" s="98" t="s">
        <v>118</v>
      </c>
      <c r="G255" s="98">
        <v>3</v>
      </c>
      <c r="H255" s="98" t="str">
        <f t="shared" si="20"/>
        <v>BSS-TC-23215 TC_OBI_PM 1.4_009_CH Qualification against PM_Missed Criteria</v>
      </c>
      <c r="I255" s="98" t="s">
        <v>630</v>
      </c>
      <c r="J255" s="98" t="s">
        <v>22</v>
      </c>
      <c r="K255" s="98" t="s">
        <v>631</v>
      </c>
    </row>
    <row r="256" spans="2:11" x14ac:dyDescent="0.25">
      <c r="B256" s="98" t="s">
        <v>865</v>
      </c>
      <c r="C256" s="98" t="s">
        <v>117</v>
      </c>
      <c r="D256" s="98" t="s">
        <v>631</v>
      </c>
      <c r="E256" s="98" t="s">
        <v>23</v>
      </c>
      <c r="F256" s="98" t="s">
        <v>118</v>
      </c>
      <c r="G256" s="98">
        <v>4</v>
      </c>
      <c r="H256" s="98" t="str">
        <f t="shared" si="20"/>
        <v>BSS-TC-23215 TC_OBI_PM 1.4_009_CH Qualification against PM_Missed Criteria</v>
      </c>
      <c r="I256" s="98" t="s">
        <v>630</v>
      </c>
      <c r="J256" s="98" t="s">
        <v>41</v>
      </c>
      <c r="K256" s="98" t="s">
        <v>631</v>
      </c>
    </row>
    <row r="257" spans="2:11" x14ac:dyDescent="0.25">
      <c r="B257" s="98" t="s">
        <v>865</v>
      </c>
      <c r="C257" s="98" t="s">
        <v>117</v>
      </c>
      <c r="D257" s="98" t="s">
        <v>631</v>
      </c>
      <c r="E257" s="98" t="s">
        <v>43</v>
      </c>
      <c r="F257" s="98" t="s">
        <v>118</v>
      </c>
      <c r="G257" s="98">
        <v>5</v>
      </c>
      <c r="H257" s="98" t="str">
        <f t="shared" si="20"/>
        <v>BSS-TC-23215 TC_OBI_PM 1.4_009_CH Qualification against PM_Missed Criteria</v>
      </c>
      <c r="I257" s="98" t="s">
        <v>630</v>
      </c>
      <c r="J257" s="98" t="s">
        <v>44</v>
      </c>
      <c r="K257" s="98" t="s">
        <v>631</v>
      </c>
    </row>
    <row r="258" spans="2:11" x14ac:dyDescent="0.25">
      <c r="B258" s="98" t="s">
        <v>865</v>
      </c>
      <c r="C258" s="98" t="s">
        <v>117</v>
      </c>
      <c r="D258" s="98" t="s">
        <v>631</v>
      </c>
      <c r="E258" s="98" t="s">
        <v>25</v>
      </c>
      <c r="F258" s="98" t="s">
        <v>118</v>
      </c>
      <c r="G258" s="98">
        <v>6</v>
      </c>
      <c r="H258" s="98" t="str">
        <f t="shared" si="20"/>
        <v>BSS-TC-23215 TC_OBI_PM 1.4_009_CH Qualification against PM_Missed Criteria</v>
      </c>
      <c r="I258" s="98" t="s">
        <v>630</v>
      </c>
      <c r="J258" s="98" t="s">
        <v>27</v>
      </c>
      <c r="K258" s="98" t="s">
        <v>631</v>
      </c>
    </row>
    <row r="259" spans="2:11" x14ac:dyDescent="0.25">
      <c r="B259" s="98" t="s">
        <v>865</v>
      </c>
      <c r="C259" s="98" t="s">
        <v>117</v>
      </c>
      <c r="D259" s="98" t="s">
        <v>631</v>
      </c>
      <c r="E259" s="98" t="s">
        <v>761</v>
      </c>
      <c r="F259" s="98" t="s">
        <v>118</v>
      </c>
      <c r="G259" s="98">
        <v>7</v>
      </c>
      <c r="H259" s="98" t="str">
        <f t="shared" si="20"/>
        <v>BSS-TC-23215 TC_OBI_PM 1.4_009_CH Qualification against PM_Missed Criteria</v>
      </c>
      <c r="I259" s="98" t="s">
        <v>630</v>
      </c>
      <c r="J259" s="98" t="s">
        <v>762</v>
      </c>
      <c r="K259" s="98" t="s">
        <v>157</v>
      </c>
    </row>
    <row r="260" spans="2:11" x14ac:dyDescent="0.25">
      <c r="B260" s="98" t="s">
        <v>865</v>
      </c>
      <c r="C260" s="98" t="s">
        <v>117</v>
      </c>
      <c r="D260" s="98" t="s">
        <v>631</v>
      </c>
      <c r="E260" s="98" t="s">
        <v>50</v>
      </c>
      <c r="F260" s="98" t="s">
        <v>118</v>
      </c>
      <c r="G260" s="98">
        <v>8</v>
      </c>
      <c r="H260" s="98" t="str">
        <f t="shared" si="20"/>
        <v>BSS-TC-23215 TC_OBI_PM 1.4_009_CH Qualification against PM_Missed Criteria</v>
      </c>
      <c r="I260" s="98" t="s">
        <v>630</v>
      </c>
      <c r="J260" s="98" t="s">
        <v>51</v>
      </c>
      <c r="K260" s="98" t="s">
        <v>631</v>
      </c>
    </row>
    <row r="261" spans="2:11" x14ac:dyDescent="0.25">
      <c r="B261" s="98" t="s">
        <v>865</v>
      </c>
      <c r="C261" s="98" t="s">
        <v>117</v>
      </c>
      <c r="D261" s="98" t="s">
        <v>631</v>
      </c>
      <c r="E261" s="98" t="s">
        <v>731</v>
      </c>
      <c r="F261" s="98" t="s">
        <v>118</v>
      </c>
      <c r="G261" s="98">
        <v>9</v>
      </c>
      <c r="H261" s="98" t="str">
        <f t="shared" si="20"/>
        <v>BSS-TC-23215 TC_OBI_PM 1.4_009_CH Qualification against PM_Missed Criteria</v>
      </c>
      <c r="I261" s="98" t="s">
        <v>630</v>
      </c>
      <c r="J261" s="98" t="s">
        <v>732</v>
      </c>
      <c r="K261" s="98" t="s">
        <v>119</v>
      </c>
    </row>
    <row r="262" spans="2:11" x14ac:dyDescent="0.25">
      <c r="B262" s="98" t="s">
        <v>866</v>
      </c>
      <c r="C262" s="98" t="s">
        <v>238</v>
      </c>
      <c r="D262" s="98" t="s">
        <v>631</v>
      </c>
      <c r="E262" s="98" t="s">
        <v>763</v>
      </c>
      <c r="F262" s="98" t="s">
        <v>518</v>
      </c>
      <c r="G262" s="98">
        <v>1</v>
      </c>
      <c r="H262" s="98" t="str">
        <f t="shared" ref="H262:H271" si="21">HYPERLINK("http://rms/perspective.req?projectId=233&amp;docId=959488","BSS-TC-23216 TC_OBI_PM 1.4_010_Exempted CH detail report _Outage  start,outage end_Field validation")</f>
        <v>BSS-TC-23216 TC_OBI_PM 1.4_010_Exempted CH detail report _Outage  start,outage end_Field validation</v>
      </c>
      <c r="I262" s="98" t="s">
        <v>630</v>
      </c>
      <c r="J262" s="98" t="s">
        <v>80</v>
      </c>
      <c r="K262" s="98" t="s">
        <v>517</v>
      </c>
    </row>
    <row r="263" spans="2:11" x14ac:dyDescent="0.25">
      <c r="B263" s="98" t="s">
        <v>866</v>
      </c>
      <c r="C263" s="98" t="s">
        <v>238</v>
      </c>
      <c r="D263" s="98" t="s">
        <v>631</v>
      </c>
      <c r="E263" s="98" t="s">
        <v>764</v>
      </c>
      <c r="F263" s="98" t="s">
        <v>518</v>
      </c>
      <c r="G263" s="98">
        <v>2</v>
      </c>
      <c r="H263" s="98" t="str">
        <f t="shared" si="21"/>
        <v>BSS-TC-23216 TC_OBI_PM 1.4_010_Exempted CH detail report _Outage  start,outage end_Field validation</v>
      </c>
      <c r="I263" s="98" t="s">
        <v>630</v>
      </c>
      <c r="J263" s="98" t="s">
        <v>631</v>
      </c>
      <c r="K263" s="98" t="s">
        <v>631</v>
      </c>
    </row>
    <row r="264" spans="2:11" x14ac:dyDescent="0.25">
      <c r="B264" s="98" t="s">
        <v>866</v>
      </c>
      <c r="C264" s="98" t="s">
        <v>238</v>
      </c>
      <c r="D264" s="98" t="s">
        <v>631</v>
      </c>
      <c r="E264" s="98" t="s">
        <v>18</v>
      </c>
      <c r="F264" s="98" t="s">
        <v>518</v>
      </c>
      <c r="G264" s="98">
        <v>3</v>
      </c>
      <c r="H264" s="98" t="str">
        <f t="shared" si="21"/>
        <v>BSS-TC-23216 TC_OBI_PM 1.4_010_Exempted CH detail report _Outage  start,outage end_Field validation</v>
      </c>
      <c r="I264" s="98" t="s">
        <v>630</v>
      </c>
      <c r="J264" s="98" t="s">
        <v>20</v>
      </c>
      <c r="K264" s="98" t="s">
        <v>631</v>
      </c>
    </row>
    <row r="265" spans="2:11" x14ac:dyDescent="0.25">
      <c r="B265" s="98" t="s">
        <v>866</v>
      </c>
      <c r="C265" s="98" t="s">
        <v>238</v>
      </c>
      <c r="D265" s="98" t="s">
        <v>631</v>
      </c>
      <c r="E265" s="98" t="s">
        <v>21</v>
      </c>
      <c r="F265" s="98" t="s">
        <v>518</v>
      </c>
      <c r="G265" s="98">
        <v>4</v>
      </c>
      <c r="H265" s="98" t="str">
        <f t="shared" si="21"/>
        <v>BSS-TC-23216 TC_OBI_PM 1.4_010_Exempted CH detail report _Outage  start,outage end_Field validation</v>
      </c>
      <c r="I265" s="98" t="s">
        <v>630</v>
      </c>
      <c r="J265" s="98" t="s">
        <v>22</v>
      </c>
      <c r="K265" s="98" t="s">
        <v>631</v>
      </c>
    </row>
    <row r="266" spans="2:11" x14ac:dyDescent="0.25">
      <c r="B266" s="98" t="s">
        <v>866</v>
      </c>
      <c r="C266" s="98" t="s">
        <v>238</v>
      </c>
      <c r="D266" s="98" t="s">
        <v>631</v>
      </c>
      <c r="E266" s="98" t="s">
        <v>23</v>
      </c>
      <c r="F266" s="98" t="s">
        <v>518</v>
      </c>
      <c r="G266" s="98">
        <v>5</v>
      </c>
      <c r="H266" s="98" t="str">
        <f t="shared" si="21"/>
        <v>BSS-TC-23216 TC_OBI_PM 1.4_010_Exempted CH detail report _Outage  start,outage end_Field validation</v>
      </c>
      <c r="I266" s="98" t="s">
        <v>630</v>
      </c>
      <c r="J266" s="98" t="s">
        <v>41</v>
      </c>
      <c r="K266" s="98" t="s">
        <v>631</v>
      </c>
    </row>
    <row r="267" spans="2:11" x14ac:dyDescent="0.25">
      <c r="B267" s="98" t="s">
        <v>866</v>
      </c>
      <c r="C267" s="98" t="s">
        <v>238</v>
      </c>
      <c r="D267" s="98" t="s">
        <v>631</v>
      </c>
      <c r="E267" s="98" t="s">
        <v>43</v>
      </c>
      <c r="F267" s="98" t="s">
        <v>518</v>
      </c>
      <c r="G267" s="98">
        <v>6</v>
      </c>
      <c r="H267" s="98" t="str">
        <f t="shared" si="21"/>
        <v>BSS-TC-23216 TC_OBI_PM 1.4_010_Exempted CH detail report _Outage  start,outage end_Field validation</v>
      </c>
      <c r="I267" s="98" t="s">
        <v>630</v>
      </c>
      <c r="J267" s="98" t="s">
        <v>44</v>
      </c>
      <c r="K267" s="98" t="s">
        <v>631</v>
      </c>
    </row>
    <row r="268" spans="2:11" x14ac:dyDescent="0.25">
      <c r="B268" s="98" t="s">
        <v>866</v>
      </c>
      <c r="C268" s="98" t="s">
        <v>238</v>
      </c>
      <c r="D268" s="98" t="s">
        <v>631</v>
      </c>
      <c r="E268" s="98" t="s">
        <v>25</v>
      </c>
      <c r="F268" s="98" t="s">
        <v>518</v>
      </c>
      <c r="G268" s="98">
        <v>7</v>
      </c>
      <c r="H268" s="98" t="str">
        <f t="shared" si="21"/>
        <v>BSS-TC-23216 TC_OBI_PM 1.4_010_Exempted CH detail report _Outage  start,outage end_Field validation</v>
      </c>
      <c r="I268" s="98" t="s">
        <v>630</v>
      </c>
      <c r="J268" s="98" t="s">
        <v>27</v>
      </c>
      <c r="K268" s="98" t="s">
        <v>631</v>
      </c>
    </row>
    <row r="269" spans="2:11" x14ac:dyDescent="0.25">
      <c r="B269" s="98" t="s">
        <v>866</v>
      </c>
      <c r="C269" s="98" t="s">
        <v>238</v>
      </c>
      <c r="D269" s="98" t="s">
        <v>631</v>
      </c>
      <c r="E269" s="98" t="s">
        <v>753</v>
      </c>
      <c r="F269" s="98" t="s">
        <v>518</v>
      </c>
      <c r="G269" s="98">
        <v>8</v>
      </c>
      <c r="H269" s="98" t="str">
        <f t="shared" si="21"/>
        <v>BSS-TC-23216 TC_OBI_PM 1.4_010_Exempted CH detail report _Outage  start,outage end_Field validation</v>
      </c>
      <c r="I269" s="98" t="s">
        <v>630</v>
      </c>
      <c r="J269" s="98" t="s">
        <v>765</v>
      </c>
      <c r="K269" s="98" t="s">
        <v>75</v>
      </c>
    </row>
    <row r="270" spans="2:11" x14ac:dyDescent="0.25">
      <c r="B270" s="98" t="s">
        <v>866</v>
      </c>
      <c r="C270" s="98" t="s">
        <v>238</v>
      </c>
      <c r="D270" s="98" t="s">
        <v>631</v>
      </c>
      <c r="E270" s="98" t="s">
        <v>52</v>
      </c>
      <c r="F270" s="98" t="s">
        <v>518</v>
      </c>
      <c r="G270" s="98">
        <v>9</v>
      </c>
      <c r="H270" s="98" t="str">
        <f t="shared" si="21"/>
        <v>BSS-TC-23216 TC_OBI_PM 1.4_010_Exempted CH detail report _Outage  start,outage end_Field validation</v>
      </c>
      <c r="I270" s="98" t="s">
        <v>630</v>
      </c>
      <c r="J270" s="98" t="s">
        <v>145</v>
      </c>
      <c r="K270" s="98" t="s">
        <v>631</v>
      </c>
    </row>
    <row r="271" spans="2:11" x14ac:dyDescent="0.25">
      <c r="B271" s="98" t="s">
        <v>866</v>
      </c>
      <c r="C271" s="98" t="s">
        <v>238</v>
      </c>
      <c r="D271" s="98" t="s">
        <v>631</v>
      </c>
      <c r="E271" s="98" t="s">
        <v>766</v>
      </c>
      <c r="F271" s="98" t="s">
        <v>518</v>
      </c>
      <c r="G271" s="98">
        <v>10</v>
      </c>
      <c r="H271" s="98" t="str">
        <f t="shared" si="21"/>
        <v>BSS-TC-23216 TC_OBI_PM 1.4_010_Exempted CH detail report _Outage  start,outage end_Field validation</v>
      </c>
      <c r="I271" s="98" t="s">
        <v>630</v>
      </c>
      <c r="J271" s="98" t="s">
        <v>767</v>
      </c>
      <c r="K271" s="98" t="s">
        <v>147</v>
      </c>
    </row>
    <row r="272" spans="2:11" x14ac:dyDescent="0.25">
      <c r="B272" s="98" t="s">
        <v>867</v>
      </c>
      <c r="C272" s="98" t="s">
        <v>239</v>
      </c>
      <c r="D272" s="98" t="s">
        <v>631</v>
      </c>
      <c r="E272" s="98" t="s">
        <v>768</v>
      </c>
      <c r="F272" s="98" t="s">
        <v>221</v>
      </c>
      <c r="G272" s="98">
        <v>1</v>
      </c>
      <c r="H272" s="98" t="str">
        <f t="shared" ref="H272:H279" si="22">HYPERLINK("http://rms/perspective.req?projectId=233&amp;docId=959489","BSS-TC-23217 TC_OBI_PM 1.4_011_Exempted CH detail report _Days taken to raise incident_field validation")</f>
        <v>BSS-TC-23217 TC_OBI_PM 1.4_011_Exempted CH detail report _Days taken to raise incident_field validation</v>
      </c>
      <c r="I272" s="98" t="s">
        <v>630</v>
      </c>
      <c r="J272" s="98" t="s">
        <v>80</v>
      </c>
      <c r="K272" s="98" t="s">
        <v>517</v>
      </c>
    </row>
    <row r="273" spans="2:11" x14ac:dyDescent="0.25">
      <c r="B273" s="98" t="s">
        <v>867</v>
      </c>
      <c r="C273" s="98" t="s">
        <v>239</v>
      </c>
      <c r="D273" s="98" t="s">
        <v>631</v>
      </c>
      <c r="E273" s="98" t="s">
        <v>18</v>
      </c>
      <c r="F273" s="98" t="s">
        <v>221</v>
      </c>
      <c r="G273" s="98">
        <v>2</v>
      </c>
      <c r="H273" s="98" t="str">
        <f t="shared" si="22"/>
        <v>BSS-TC-23217 TC_OBI_PM 1.4_011_Exempted CH detail report _Days taken to raise incident_field validation</v>
      </c>
      <c r="I273" s="98" t="s">
        <v>630</v>
      </c>
      <c r="J273" s="98" t="s">
        <v>20</v>
      </c>
      <c r="K273" s="98" t="s">
        <v>631</v>
      </c>
    </row>
    <row r="274" spans="2:11" x14ac:dyDescent="0.25">
      <c r="B274" s="98" t="s">
        <v>867</v>
      </c>
      <c r="C274" s="98" t="s">
        <v>239</v>
      </c>
      <c r="D274" s="98" t="s">
        <v>631</v>
      </c>
      <c r="E274" s="98" t="s">
        <v>21</v>
      </c>
      <c r="F274" s="98" t="s">
        <v>221</v>
      </c>
      <c r="G274" s="98">
        <v>3</v>
      </c>
      <c r="H274" s="98" t="str">
        <f t="shared" si="22"/>
        <v>BSS-TC-23217 TC_OBI_PM 1.4_011_Exempted CH detail report _Days taken to raise incident_field validation</v>
      </c>
      <c r="I274" s="98" t="s">
        <v>630</v>
      </c>
      <c r="J274" s="98" t="s">
        <v>22</v>
      </c>
      <c r="K274" s="98" t="s">
        <v>631</v>
      </c>
    </row>
    <row r="275" spans="2:11" x14ac:dyDescent="0.25">
      <c r="B275" s="98" t="s">
        <v>867</v>
      </c>
      <c r="C275" s="98" t="s">
        <v>239</v>
      </c>
      <c r="D275" s="98" t="s">
        <v>631</v>
      </c>
      <c r="E275" s="98" t="s">
        <v>23</v>
      </c>
      <c r="F275" s="98" t="s">
        <v>221</v>
      </c>
      <c r="G275" s="98">
        <v>4</v>
      </c>
      <c r="H275" s="98" t="str">
        <f t="shared" si="22"/>
        <v>BSS-TC-23217 TC_OBI_PM 1.4_011_Exempted CH detail report _Days taken to raise incident_field validation</v>
      </c>
      <c r="I275" s="98" t="s">
        <v>630</v>
      </c>
      <c r="J275" s="98" t="s">
        <v>41</v>
      </c>
      <c r="K275" s="98" t="s">
        <v>631</v>
      </c>
    </row>
    <row r="276" spans="2:11" x14ac:dyDescent="0.25">
      <c r="B276" s="98" t="s">
        <v>867</v>
      </c>
      <c r="C276" s="98" t="s">
        <v>239</v>
      </c>
      <c r="D276" s="98" t="s">
        <v>631</v>
      </c>
      <c r="E276" s="98" t="s">
        <v>43</v>
      </c>
      <c r="F276" s="98" t="s">
        <v>221</v>
      </c>
      <c r="G276" s="98">
        <v>5</v>
      </c>
      <c r="H276" s="98" t="str">
        <f t="shared" si="22"/>
        <v>BSS-TC-23217 TC_OBI_PM 1.4_011_Exempted CH detail report _Days taken to raise incident_field validation</v>
      </c>
      <c r="I276" s="98" t="s">
        <v>630</v>
      </c>
      <c r="J276" s="98" t="s">
        <v>44</v>
      </c>
      <c r="K276" s="98" t="s">
        <v>631</v>
      </c>
    </row>
    <row r="277" spans="2:11" x14ac:dyDescent="0.25">
      <c r="B277" s="98" t="s">
        <v>867</v>
      </c>
      <c r="C277" s="98" t="s">
        <v>239</v>
      </c>
      <c r="D277" s="98" t="s">
        <v>631</v>
      </c>
      <c r="E277" s="98" t="s">
        <v>25</v>
      </c>
      <c r="F277" s="98" t="s">
        <v>221</v>
      </c>
      <c r="G277" s="98">
        <v>6</v>
      </c>
      <c r="H277" s="98" t="str">
        <f t="shared" si="22"/>
        <v>BSS-TC-23217 TC_OBI_PM 1.4_011_Exempted CH detail report _Days taken to raise incident_field validation</v>
      </c>
      <c r="I277" s="98" t="s">
        <v>630</v>
      </c>
      <c r="J277" s="98" t="s">
        <v>27</v>
      </c>
      <c r="K277" s="98" t="s">
        <v>631</v>
      </c>
    </row>
    <row r="278" spans="2:11" x14ac:dyDescent="0.25">
      <c r="B278" s="98" t="s">
        <v>867</v>
      </c>
      <c r="C278" s="98" t="s">
        <v>239</v>
      </c>
      <c r="D278" s="98" t="s">
        <v>631</v>
      </c>
      <c r="E278" s="98" t="s">
        <v>52</v>
      </c>
      <c r="F278" s="98" t="s">
        <v>221</v>
      </c>
      <c r="G278" s="98">
        <v>7</v>
      </c>
      <c r="H278" s="98" t="str">
        <f t="shared" si="22"/>
        <v>BSS-TC-23217 TC_OBI_PM 1.4_011_Exempted CH detail report _Days taken to raise incident_field validation</v>
      </c>
      <c r="I278" s="98" t="s">
        <v>630</v>
      </c>
      <c r="J278" s="98" t="s">
        <v>145</v>
      </c>
      <c r="K278" s="98" t="s">
        <v>631</v>
      </c>
    </row>
    <row r="279" spans="2:11" x14ac:dyDescent="0.25">
      <c r="B279" s="98" t="s">
        <v>867</v>
      </c>
      <c r="C279" s="98" t="s">
        <v>239</v>
      </c>
      <c r="D279" s="98" t="s">
        <v>631</v>
      </c>
      <c r="E279" s="98" t="s">
        <v>650</v>
      </c>
      <c r="F279" s="98" t="s">
        <v>221</v>
      </c>
      <c r="G279" s="98">
        <v>8</v>
      </c>
      <c r="H279" s="98" t="str">
        <f t="shared" si="22"/>
        <v>BSS-TC-23217 TC_OBI_PM 1.4_011_Exempted CH detail report _Days taken to raise incident_field validation</v>
      </c>
      <c r="I279" s="98" t="s">
        <v>630</v>
      </c>
      <c r="J279" s="98" t="s">
        <v>769</v>
      </c>
      <c r="K279" s="98" t="s">
        <v>147</v>
      </c>
    </row>
    <row r="280" spans="2:11" x14ac:dyDescent="0.25">
      <c r="B280" s="98" t="s">
        <v>868</v>
      </c>
      <c r="C280" s="98" t="s">
        <v>240</v>
      </c>
      <c r="D280" s="98" t="s">
        <v>631</v>
      </c>
      <c r="E280" s="98" t="s">
        <v>770</v>
      </c>
      <c r="F280" s="98" t="s">
        <v>223</v>
      </c>
      <c r="G280" s="98">
        <v>1</v>
      </c>
      <c r="H280" s="98" t="str">
        <f t="shared" ref="H280:H287" si="23">HYPERLINK("http://rms/perspective.req?projectId=233&amp;docId=959490","BSS-TC-23218 TC_OBI_PM 1.4_012_Exempted CH detail report _Days taken to re-assign incident to SU_field validation")</f>
        <v>BSS-TC-23218 TC_OBI_PM 1.4_012_Exempted CH detail report _Days taken to re-assign incident to SU_field validation</v>
      </c>
      <c r="I280" s="98" t="s">
        <v>630</v>
      </c>
      <c r="J280" s="98" t="s">
        <v>80</v>
      </c>
      <c r="K280" s="98" t="s">
        <v>517</v>
      </c>
    </row>
    <row r="281" spans="2:11" x14ac:dyDescent="0.25">
      <c r="B281" s="98" t="s">
        <v>868</v>
      </c>
      <c r="C281" s="98" t="s">
        <v>240</v>
      </c>
      <c r="D281" s="98" t="s">
        <v>631</v>
      </c>
      <c r="E281" s="98" t="s">
        <v>18</v>
      </c>
      <c r="F281" s="98" t="s">
        <v>223</v>
      </c>
      <c r="G281" s="98">
        <v>2</v>
      </c>
      <c r="H281" s="98" t="str">
        <f t="shared" si="23"/>
        <v>BSS-TC-23218 TC_OBI_PM 1.4_012_Exempted CH detail report _Days taken to re-assign incident to SU_field validation</v>
      </c>
      <c r="I281" s="98" t="s">
        <v>630</v>
      </c>
      <c r="J281" s="98" t="s">
        <v>20</v>
      </c>
      <c r="K281" s="98" t="s">
        <v>631</v>
      </c>
    </row>
    <row r="282" spans="2:11" x14ac:dyDescent="0.25">
      <c r="B282" s="98" t="s">
        <v>868</v>
      </c>
      <c r="C282" s="98" t="s">
        <v>240</v>
      </c>
      <c r="D282" s="98" t="s">
        <v>631</v>
      </c>
      <c r="E282" s="98" t="s">
        <v>21</v>
      </c>
      <c r="F282" s="98" t="s">
        <v>223</v>
      </c>
      <c r="G282" s="98">
        <v>3</v>
      </c>
      <c r="H282" s="98" t="str">
        <f t="shared" si="23"/>
        <v>BSS-TC-23218 TC_OBI_PM 1.4_012_Exempted CH detail report _Days taken to re-assign incident to SU_field validation</v>
      </c>
      <c r="I282" s="98" t="s">
        <v>630</v>
      </c>
      <c r="J282" s="98" t="s">
        <v>22</v>
      </c>
      <c r="K282" s="98" t="s">
        <v>631</v>
      </c>
    </row>
    <row r="283" spans="2:11" x14ac:dyDescent="0.25">
      <c r="B283" s="98" t="s">
        <v>868</v>
      </c>
      <c r="C283" s="98" t="s">
        <v>240</v>
      </c>
      <c r="D283" s="98" t="s">
        <v>631</v>
      </c>
      <c r="E283" s="98" t="s">
        <v>23</v>
      </c>
      <c r="F283" s="98" t="s">
        <v>223</v>
      </c>
      <c r="G283" s="98">
        <v>4</v>
      </c>
      <c r="H283" s="98" t="str">
        <f t="shared" si="23"/>
        <v>BSS-TC-23218 TC_OBI_PM 1.4_012_Exempted CH detail report _Days taken to re-assign incident to SU_field validation</v>
      </c>
      <c r="I283" s="98" t="s">
        <v>630</v>
      </c>
      <c r="J283" s="98" t="s">
        <v>41</v>
      </c>
      <c r="K283" s="98" t="s">
        <v>631</v>
      </c>
    </row>
    <row r="284" spans="2:11" x14ac:dyDescent="0.25">
      <c r="B284" s="98" t="s">
        <v>868</v>
      </c>
      <c r="C284" s="98" t="s">
        <v>240</v>
      </c>
      <c r="D284" s="98" t="s">
        <v>631</v>
      </c>
      <c r="E284" s="98" t="s">
        <v>43</v>
      </c>
      <c r="F284" s="98" t="s">
        <v>223</v>
      </c>
      <c r="G284" s="98">
        <v>5</v>
      </c>
      <c r="H284" s="98" t="str">
        <f t="shared" si="23"/>
        <v>BSS-TC-23218 TC_OBI_PM 1.4_012_Exempted CH detail report _Days taken to re-assign incident to SU_field validation</v>
      </c>
      <c r="I284" s="98" t="s">
        <v>630</v>
      </c>
      <c r="J284" s="98" t="s">
        <v>44</v>
      </c>
      <c r="K284" s="98" t="s">
        <v>631</v>
      </c>
    </row>
    <row r="285" spans="2:11" x14ac:dyDescent="0.25">
      <c r="B285" s="98" t="s">
        <v>868</v>
      </c>
      <c r="C285" s="98" t="s">
        <v>240</v>
      </c>
      <c r="D285" s="98" t="s">
        <v>631</v>
      </c>
      <c r="E285" s="98" t="s">
        <v>25</v>
      </c>
      <c r="F285" s="98" t="s">
        <v>223</v>
      </c>
      <c r="G285" s="98">
        <v>6</v>
      </c>
      <c r="H285" s="98" t="str">
        <f t="shared" si="23"/>
        <v>BSS-TC-23218 TC_OBI_PM 1.4_012_Exempted CH detail report _Days taken to re-assign incident to SU_field validation</v>
      </c>
      <c r="I285" s="98" t="s">
        <v>630</v>
      </c>
      <c r="J285" s="98" t="s">
        <v>27</v>
      </c>
      <c r="K285" s="98" t="s">
        <v>631</v>
      </c>
    </row>
    <row r="286" spans="2:11" x14ac:dyDescent="0.25">
      <c r="B286" s="98" t="s">
        <v>868</v>
      </c>
      <c r="C286" s="98" t="s">
        <v>240</v>
      </c>
      <c r="D286" s="98" t="s">
        <v>631</v>
      </c>
      <c r="E286" s="98" t="s">
        <v>52</v>
      </c>
      <c r="F286" s="98" t="s">
        <v>223</v>
      </c>
      <c r="G286" s="98">
        <v>7</v>
      </c>
      <c r="H286" s="98" t="str">
        <f t="shared" si="23"/>
        <v>BSS-TC-23218 TC_OBI_PM 1.4_012_Exempted CH detail report _Days taken to re-assign incident to SU_field validation</v>
      </c>
      <c r="I286" s="98" t="s">
        <v>630</v>
      </c>
      <c r="J286" s="98" t="s">
        <v>145</v>
      </c>
      <c r="K286" s="98" t="s">
        <v>631</v>
      </c>
    </row>
    <row r="287" spans="2:11" x14ac:dyDescent="0.25">
      <c r="B287" s="98" t="s">
        <v>868</v>
      </c>
      <c r="C287" s="98" t="s">
        <v>240</v>
      </c>
      <c r="D287" s="98" t="s">
        <v>631</v>
      </c>
      <c r="E287" s="98" t="s">
        <v>650</v>
      </c>
      <c r="F287" s="98" t="s">
        <v>223</v>
      </c>
      <c r="G287" s="98">
        <v>8</v>
      </c>
      <c r="H287" s="98" t="str">
        <f t="shared" si="23"/>
        <v>BSS-TC-23218 TC_OBI_PM 1.4_012_Exempted CH detail report _Days taken to re-assign incident to SU_field validation</v>
      </c>
      <c r="I287" s="98" t="s">
        <v>630</v>
      </c>
      <c r="J287" s="98" t="s">
        <v>769</v>
      </c>
      <c r="K287" s="98" t="s">
        <v>147</v>
      </c>
    </row>
    <row r="288" spans="2:11" x14ac:dyDescent="0.25">
      <c r="B288" s="98" t="s">
        <v>869</v>
      </c>
      <c r="C288" s="98" t="s">
        <v>241</v>
      </c>
      <c r="D288" s="98" t="s">
        <v>631</v>
      </c>
      <c r="E288" s="98" t="s">
        <v>771</v>
      </c>
      <c r="F288" s="98" t="s">
        <v>229</v>
      </c>
      <c r="G288" s="98">
        <v>1</v>
      </c>
      <c r="H288" s="98" t="str">
        <f t="shared" ref="H288:H295" si="24">HYPERLINK("http://rms/perspective.req?projectId=233&amp;docId=959491","BSS-TC-23219 TC_OBI_PM 1.4_013_Exempted CH detail report _Exception reason_field validation")</f>
        <v>BSS-TC-23219 TC_OBI_PM 1.4_013_Exempted CH detail report _Exception reason_field validation</v>
      </c>
      <c r="I288" s="98" t="s">
        <v>630</v>
      </c>
      <c r="J288" s="98" t="s">
        <v>80</v>
      </c>
      <c r="K288" s="98" t="s">
        <v>517</v>
      </c>
    </row>
    <row r="289" spans="2:11" x14ac:dyDescent="0.25">
      <c r="B289" s="98" t="s">
        <v>869</v>
      </c>
      <c r="C289" s="98" t="s">
        <v>241</v>
      </c>
      <c r="D289" s="98" t="s">
        <v>631</v>
      </c>
      <c r="E289" s="98" t="s">
        <v>18</v>
      </c>
      <c r="F289" s="98" t="s">
        <v>229</v>
      </c>
      <c r="G289" s="98">
        <v>2</v>
      </c>
      <c r="H289" s="98" t="str">
        <f t="shared" si="24"/>
        <v>BSS-TC-23219 TC_OBI_PM 1.4_013_Exempted CH detail report _Exception reason_field validation</v>
      </c>
      <c r="I289" s="98" t="s">
        <v>630</v>
      </c>
      <c r="J289" s="98" t="s">
        <v>20</v>
      </c>
      <c r="K289" s="98" t="s">
        <v>631</v>
      </c>
    </row>
    <row r="290" spans="2:11" x14ac:dyDescent="0.25">
      <c r="B290" s="98" t="s">
        <v>869</v>
      </c>
      <c r="C290" s="98" t="s">
        <v>241</v>
      </c>
      <c r="D290" s="98" t="s">
        <v>631</v>
      </c>
      <c r="E290" s="98" t="s">
        <v>21</v>
      </c>
      <c r="F290" s="98" t="s">
        <v>229</v>
      </c>
      <c r="G290" s="98">
        <v>3</v>
      </c>
      <c r="H290" s="98" t="str">
        <f t="shared" si="24"/>
        <v>BSS-TC-23219 TC_OBI_PM 1.4_013_Exempted CH detail report _Exception reason_field validation</v>
      </c>
      <c r="I290" s="98" t="s">
        <v>630</v>
      </c>
      <c r="J290" s="98" t="s">
        <v>22</v>
      </c>
      <c r="K290" s="98" t="s">
        <v>631</v>
      </c>
    </row>
    <row r="291" spans="2:11" x14ac:dyDescent="0.25">
      <c r="B291" s="98" t="s">
        <v>869</v>
      </c>
      <c r="C291" s="98" t="s">
        <v>241</v>
      </c>
      <c r="D291" s="98" t="s">
        <v>631</v>
      </c>
      <c r="E291" s="98" t="s">
        <v>23</v>
      </c>
      <c r="F291" s="98" t="s">
        <v>229</v>
      </c>
      <c r="G291" s="98">
        <v>4</v>
      </c>
      <c r="H291" s="98" t="str">
        <f t="shared" si="24"/>
        <v>BSS-TC-23219 TC_OBI_PM 1.4_013_Exempted CH detail report _Exception reason_field validation</v>
      </c>
      <c r="I291" s="98" t="s">
        <v>630</v>
      </c>
      <c r="J291" s="98" t="s">
        <v>41</v>
      </c>
      <c r="K291" s="98" t="s">
        <v>631</v>
      </c>
    </row>
    <row r="292" spans="2:11" x14ac:dyDescent="0.25">
      <c r="B292" s="98" t="s">
        <v>869</v>
      </c>
      <c r="C292" s="98" t="s">
        <v>241</v>
      </c>
      <c r="D292" s="98" t="s">
        <v>631</v>
      </c>
      <c r="E292" s="98" t="s">
        <v>43</v>
      </c>
      <c r="F292" s="98" t="s">
        <v>229</v>
      </c>
      <c r="G292" s="98">
        <v>5</v>
      </c>
      <c r="H292" s="98" t="str">
        <f t="shared" si="24"/>
        <v>BSS-TC-23219 TC_OBI_PM 1.4_013_Exempted CH detail report _Exception reason_field validation</v>
      </c>
      <c r="I292" s="98" t="s">
        <v>630</v>
      </c>
      <c r="J292" s="98" t="s">
        <v>44</v>
      </c>
      <c r="K292" s="98" t="s">
        <v>631</v>
      </c>
    </row>
    <row r="293" spans="2:11" x14ac:dyDescent="0.25">
      <c r="B293" s="98" t="s">
        <v>869</v>
      </c>
      <c r="C293" s="98" t="s">
        <v>241</v>
      </c>
      <c r="D293" s="98" t="s">
        <v>631</v>
      </c>
      <c r="E293" s="98" t="s">
        <v>25</v>
      </c>
      <c r="F293" s="98" t="s">
        <v>229</v>
      </c>
      <c r="G293" s="98">
        <v>6</v>
      </c>
      <c r="H293" s="98" t="str">
        <f t="shared" si="24"/>
        <v>BSS-TC-23219 TC_OBI_PM 1.4_013_Exempted CH detail report _Exception reason_field validation</v>
      </c>
      <c r="I293" s="98" t="s">
        <v>630</v>
      </c>
      <c r="J293" s="98" t="s">
        <v>27</v>
      </c>
      <c r="K293" s="98" t="s">
        <v>631</v>
      </c>
    </row>
    <row r="294" spans="2:11" x14ac:dyDescent="0.25">
      <c r="B294" s="98" t="s">
        <v>869</v>
      </c>
      <c r="C294" s="98" t="s">
        <v>241</v>
      </c>
      <c r="D294" s="98" t="s">
        <v>631</v>
      </c>
      <c r="E294" s="98" t="s">
        <v>52</v>
      </c>
      <c r="F294" s="98" t="s">
        <v>229</v>
      </c>
      <c r="G294" s="98">
        <v>7</v>
      </c>
      <c r="H294" s="98" t="str">
        <f t="shared" si="24"/>
        <v>BSS-TC-23219 TC_OBI_PM 1.4_013_Exempted CH detail report _Exception reason_field validation</v>
      </c>
      <c r="I294" s="98" t="s">
        <v>630</v>
      </c>
      <c r="J294" s="98" t="s">
        <v>145</v>
      </c>
      <c r="K294" s="98" t="s">
        <v>631</v>
      </c>
    </row>
    <row r="295" spans="2:11" x14ac:dyDescent="0.25">
      <c r="B295" s="98" t="s">
        <v>869</v>
      </c>
      <c r="C295" s="98" t="s">
        <v>241</v>
      </c>
      <c r="D295" s="98" t="s">
        <v>631</v>
      </c>
      <c r="E295" s="98" t="s">
        <v>650</v>
      </c>
      <c r="F295" s="98" t="s">
        <v>229</v>
      </c>
      <c r="G295" s="98">
        <v>8</v>
      </c>
      <c r="H295" s="98" t="str">
        <f t="shared" si="24"/>
        <v>BSS-TC-23219 TC_OBI_PM 1.4_013_Exempted CH detail report _Exception reason_field validation</v>
      </c>
      <c r="I295" s="98" t="s">
        <v>630</v>
      </c>
      <c r="J295" s="98" t="s">
        <v>769</v>
      </c>
      <c r="K295" s="98" t="s">
        <v>147</v>
      </c>
    </row>
    <row r="296" spans="2:11" x14ac:dyDescent="0.25">
      <c r="B296" s="98" t="s">
        <v>870</v>
      </c>
      <c r="C296" s="98" t="s">
        <v>242</v>
      </c>
      <c r="D296" s="98" t="s">
        <v>631</v>
      </c>
      <c r="E296" s="98" t="s">
        <v>772</v>
      </c>
      <c r="F296" s="98" t="s">
        <v>232</v>
      </c>
      <c r="G296" s="98">
        <v>1</v>
      </c>
      <c r="H296" s="98" t="str">
        <f t="shared" ref="H296:H303" si="25">HYPERLINK("http://rms/perspective.req?projectId=233&amp;docId=959492","BSS-TC-23220 TC_OBI_PM 1.4_014_Exempted CH detail report _""Incident first assigned to Arqiva""_field validation")</f>
        <v>BSS-TC-23220 TC_OBI_PM 1.4_014_Exempted CH detail report _"Incident first assigned to Arqiva"_field validation</v>
      </c>
      <c r="I296" s="98" t="s">
        <v>630</v>
      </c>
      <c r="J296" s="98" t="s">
        <v>80</v>
      </c>
      <c r="K296" s="98" t="s">
        <v>517</v>
      </c>
    </row>
    <row r="297" spans="2:11" x14ac:dyDescent="0.25">
      <c r="B297" s="98" t="s">
        <v>870</v>
      </c>
      <c r="C297" s="98" t="s">
        <v>242</v>
      </c>
      <c r="D297" s="98" t="s">
        <v>631</v>
      </c>
      <c r="E297" s="98" t="s">
        <v>18</v>
      </c>
      <c r="F297" s="98" t="s">
        <v>232</v>
      </c>
      <c r="G297" s="98">
        <v>2</v>
      </c>
      <c r="H297" s="98" t="str">
        <f t="shared" si="25"/>
        <v>BSS-TC-23220 TC_OBI_PM 1.4_014_Exempted CH detail report _"Incident first assigned to Arqiva"_field validation</v>
      </c>
      <c r="I297" s="98" t="s">
        <v>630</v>
      </c>
      <c r="J297" s="98" t="s">
        <v>20</v>
      </c>
      <c r="K297" s="98" t="s">
        <v>631</v>
      </c>
    </row>
    <row r="298" spans="2:11" x14ac:dyDescent="0.25">
      <c r="B298" s="98" t="s">
        <v>870</v>
      </c>
      <c r="C298" s="98" t="s">
        <v>242</v>
      </c>
      <c r="D298" s="98" t="s">
        <v>631</v>
      </c>
      <c r="E298" s="98" t="s">
        <v>21</v>
      </c>
      <c r="F298" s="98" t="s">
        <v>232</v>
      </c>
      <c r="G298" s="98">
        <v>3</v>
      </c>
      <c r="H298" s="98" t="str">
        <f t="shared" si="25"/>
        <v>BSS-TC-23220 TC_OBI_PM 1.4_014_Exempted CH detail report _"Incident first assigned to Arqiva"_field validation</v>
      </c>
      <c r="I298" s="98" t="s">
        <v>630</v>
      </c>
      <c r="J298" s="98" t="s">
        <v>22</v>
      </c>
      <c r="K298" s="98" t="s">
        <v>631</v>
      </c>
    </row>
    <row r="299" spans="2:11" x14ac:dyDescent="0.25">
      <c r="B299" s="98" t="s">
        <v>870</v>
      </c>
      <c r="C299" s="98" t="s">
        <v>242</v>
      </c>
      <c r="D299" s="98" t="s">
        <v>631</v>
      </c>
      <c r="E299" s="98" t="s">
        <v>23</v>
      </c>
      <c r="F299" s="98" t="s">
        <v>232</v>
      </c>
      <c r="G299" s="98">
        <v>4</v>
      </c>
      <c r="H299" s="98" t="str">
        <f t="shared" si="25"/>
        <v>BSS-TC-23220 TC_OBI_PM 1.4_014_Exempted CH detail report _"Incident first assigned to Arqiva"_field validation</v>
      </c>
      <c r="I299" s="98" t="s">
        <v>630</v>
      </c>
      <c r="J299" s="98" t="s">
        <v>41</v>
      </c>
      <c r="K299" s="98" t="s">
        <v>631</v>
      </c>
    </row>
    <row r="300" spans="2:11" x14ac:dyDescent="0.25">
      <c r="B300" s="98" t="s">
        <v>870</v>
      </c>
      <c r="C300" s="98" t="s">
        <v>242</v>
      </c>
      <c r="D300" s="98" t="s">
        <v>631</v>
      </c>
      <c r="E300" s="98" t="s">
        <v>43</v>
      </c>
      <c r="F300" s="98" t="s">
        <v>232</v>
      </c>
      <c r="G300" s="98">
        <v>5</v>
      </c>
      <c r="H300" s="98" t="str">
        <f t="shared" si="25"/>
        <v>BSS-TC-23220 TC_OBI_PM 1.4_014_Exempted CH detail report _"Incident first assigned to Arqiva"_field validation</v>
      </c>
      <c r="I300" s="98" t="s">
        <v>630</v>
      </c>
      <c r="J300" s="98" t="s">
        <v>44</v>
      </c>
      <c r="K300" s="98" t="s">
        <v>631</v>
      </c>
    </row>
    <row r="301" spans="2:11" x14ac:dyDescent="0.25">
      <c r="B301" s="98" t="s">
        <v>870</v>
      </c>
      <c r="C301" s="98" t="s">
        <v>242</v>
      </c>
      <c r="D301" s="98" t="s">
        <v>631</v>
      </c>
      <c r="E301" s="98" t="s">
        <v>25</v>
      </c>
      <c r="F301" s="98" t="s">
        <v>232</v>
      </c>
      <c r="G301" s="98">
        <v>6</v>
      </c>
      <c r="H301" s="98" t="str">
        <f t="shared" si="25"/>
        <v>BSS-TC-23220 TC_OBI_PM 1.4_014_Exempted CH detail report _"Incident first assigned to Arqiva"_field validation</v>
      </c>
      <c r="I301" s="98" t="s">
        <v>630</v>
      </c>
      <c r="J301" s="98" t="s">
        <v>27</v>
      </c>
      <c r="K301" s="98" t="s">
        <v>631</v>
      </c>
    </row>
    <row r="302" spans="2:11" x14ac:dyDescent="0.25">
      <c r="B302" s="98" t="s">
        <v>870</v>
      </c>
      <c r="C302" s="98" t="s">
        <v>242</v>
      </c>
      <c r="D302" s="98" t="s">
        <v>631</v>
      </c>
      <c r="E302" s="98" t="s">
        <v>52</v>
      </c>
      <c r="F302" s="98" t="s">
        <v>232</v>
      </c>
      <c r="G302" s="98">
        <v>7</v>
      </c>
      <c r="H302" s="98" t="str">
        <f t="shared" si="25"/>
        <v>BSS-TC-23220 TC_OBI_PM 1.4_014_Exempted CH detail report _"Incident first assigned to Arqiva"_field validation</v>
      </c>
      <c r="I302" s="98" t="s">
        <v>630</v>
      </c>
      <c r="J302" s="98" t="s">
        <v>145</v>
      </c>
      <c r="K302" s="98" t="s">
        <v>631</v>
      </c>
    </row>
    <row r="303" spans="2:11" x14ac:dyDescent="0.25">
      <c r="B303" s="98" t="s">
        <v>870</v>
      </c>
      <c r="C303" s="98" t="s">
        <v>242</v>
      </c>
      <c r="D303" s="98" t="s">
        <v>631</v>
      </c>
      <c r="E303" s="98" t="s">
        <v>650</v>
      </c>
      <c r="F303" s="98" t="s">
        <v>232</v>
      </c>
      <c r="G303" s="98">
        <v>8</v>
      </c>
      <c r="H303" s="98" t="str">
        <f t="shared" si="25"/>
        <v>BSS-TC-23220 TC_OBI_PM 1.4_014_Exempted CH detail report _"Incident first assigned to Arqiva"_field validation</v>
      </c>
      <c r="I303" s="98" t="s">
        <v>630</v>
      </c>
      <c r="J303" s="98" t="s">
        <v>769</v>
      </c>
      <c r="K303" s="98" t="s">
        <v>147</v>
      </c>
    </row>
    <row r="304" spans="2:11" x14ac:dyDescent="0.25">
      <c r="B304" s="98" t="s">
        <v>871</v>
      </c>
      <c r="C304" s="98" t="s">
        <v>244</v>
      </c>
      <c r="D304" s="98" t="s">
        <v>631</v>
      </c>
      <c r="E304" s="98" t="s">
        <v>773</v>
      </c>
      <c r="F304" s="98" t="s">
        <v>243</v>
      </c>
      <c r="G304" s="98">
        <v>1</v>
      </c>
      <c r="H304" s="98" t="str">
        <f t="shared" ref="H304:H311" si="26">HYPERLINK("http://rms/perspective.req?projectId=233&amp;docId=959493","BSS-TC-23221 TC_OBI_PM 1.4_015_Exempted CH detail report _Incident first assigned to SU_field validation")</f>
        <v>BSS-TC-23221 TC_OBI_PM 1.4_015_Exempted CH detail report _Incident first assigned to SU_field validation</v>
      </c>
      <c r="I304" s="98" t="s">
        <v>630</v>
      </c>
      <c r="J304" s="98" t="s">
        <v>80</v>
      </c>
      <c r="K304" s="98" t="s">
        <v>517</v>
      </c>
    </row>
    <row r="305" spans="2:11" x14ac:dyDescent="0.25">
      <c r="B305" s="98" t="s">
        <v>871</v>
      </c>
      <c r="C305" s="98" t="s">
        <v>244</v>
      </c>
      <c r="D305" s="98" t="s">
        <v>631</v>
      </c>
      <c r="E305" s="98" t="s">
        <v>18</v>
      </c>
      <c r="F305" s="98" t="s">
        <v>243</v>
      </c>
      <c r="G305" s="98">
        <v>2</v>
      </c>
      <c r="H305" s="98" t="str">
        <f t="shared" si="26"/>
        <v>BSS-TC-23221 TC_OBI_PM 1.4_015_Exempted CH detail report _Incident first assigned to SU_field validation</v>
      </c>
      <c r="I305" s="98" t="s">
        <v>630</v>
      </c>
      <c r="J305" s="98" t="s">
        <v>20</v>
      </c>
      <c r="K305" s="98" t="s">
        <v>631</v>
      </c>
    </row>
    <row r="306" spans="2:11" x14ac:dyDescent="0.25">
      <c r="B306" s="98" t="s">
        <v>871</v>
      </c>
      <c r="C306" s="98" t="s">
        <v>244</v>
      </c>
      <c r="D306" s="98" t="s">
        <v>631</v>
      </c>
      <c r="E306" s="98" t="s">
        <v>21</v>
      </c>
      <c r="F306" s="98" t="s">
        <v>243</v>
      </c>
      <c r="G306" s="98">
        <v>3</v>
      </c>
      <c r="H306" s="98" t="str">
        <f t="shared" si="26"/>
        <v>BSS-TC-23221 TC_OBI_PM 1.4_015_Exempted CH detail report _Incident first assigned to SU_field validation</v>
      </c>
      <c r="I306" s="98" t="s">
        <v>630</v>
      </c>
      <c r="J306" s="98" t="s">
        <v>22</v>
      </c>
      <c r="K306" s="98" t="s">
        <v>631</v>
      </c>
    </row>
    <row r="307" spans="2:11" x14ac:dyDescent="0.25">
      <c r="B307" s="98" t="s">
        <v>871</v>
      </c>
      <c r="C307" s="98" t="s">
        <v>244</v>
      </c>
      <c r="D307" s="98" t="s">
        <v>631</v>
      </c>
      <c r="E307" s="98" t="s">
        <v>23</v>
      </c>
      <c r="F307" s="98" t="s">
        <v>243</v>
      </c>
      <c r="G307" s="98">
        <v>4</v>
      </c>
      <c r="H307" s="98" t="str">
        <f t="shared" si="26"/>
        <v>BSS-TC-23221 TC_OBI_PM 1.4_015_Exempted CH detail report _Incident first assigned to SU_field validation</v>
      </c>
      <c r="I307" s="98" t="s">
        <v>630</v>
      </c>
      <c r="J307" s="98" t="s">
        <v>41</v>
      </c>
      <c r="K307" s="98" t="s">
        <v>631</v>
      </c>
    </row>
    <row r="308" spans="2:11" x14ac:dyDescent="0.25">
      <c r="B308" s="98" t="s">
        <v>871</v>
      </c>
      <c r="C308" s="98" t="s">
        <v>244</v>
      </c>
      <c r="D308" s="98" t="s">
        <v>631</v>
      </c>
      <c r="E308" s="98" t="s">
        <v>43</v>
      </c>
      <c r="F308" s="98" t="s">
        <v>243</v>
      </c>
      <c r="G308" s="98">
        <v>5</v>
      </c>
      <c r="H308" s="98" t="str">
        <f t="shared" si="26"/>
        <v>BSS-TC-23221 TC_OBI_PM 1.4_015_Exempted CH detail report _Incident first assigned to SU_field validation</v>
      </c>
      <c r="I308" s="98" t="s">
        <v>630</v>
      </c>
      <c r="J308" s="98" t="s">
        <v>44</v>
      </c>
      <c r="K308" s="98" t="s">
        <v>631</v>
      </c>
    </row>
    <row r="309" spans="2:11" x14ac:dyDescent="0.25">
      <c r="B309" s="98" t="s">
        <v>871</v>
      </c>
      <c r="C309" s="98" t="s">
        <v>244</v>
      </c>
      <c r="D309" s="98" t="s">
        <v>631</v>
      </c>
      <c r="E309" s="98" t="s">
        <v>25</v>
      </c>
      <c r="F309" s="98" t="s">
        <v>243</v>
      </c>
      <c r="G309" s="98">
        <v>6</v>
      </c>
      <c r="H309" s="98" t="str">
        <f t="shared" si="26"/>
        <v>BSS-TC-23221 TC_OBI_PM 1.4_015_Exempted CH detail report _Incident first assigned to SU_field validation</v>
      </c>
      <c r="I309" s="98" t="s">
        <v>630</v>
      </c>
      <c r="J309" s="98" t="s">
        <v>27</v>
      </c>
      <c r="K309" s="98" t="s">
        <v>631</v>
      </c>
    </row>
    <row r="310" spans="2:11" x14ac:dyDescent="0.25">
      <c r="B310" s="98" t="s">
        <v>871</v>
      </c>
      <c r="C310" s="98" t="s">
        <v>244</v>
      </c>
      <c r="D310" s="98" t="s">
        <v>631</v>
      </c>
      <c r="E310" s="98" t="s">
        <v>52</v>
      </c>
      <c r="F310" s="98" t="s">
        <v>243</v>
      </c>
      <c r="G310" s="98">
        <v>7</v>
      </c>
      <c r="H310" s="98" t="str">
        <f t="shared" si="26"/>
        <v>BSS-TC-23221 TC_OBI_PM 1.4_015_Exempted CH detail report _Incident first assigned to SU_field validation</v>
      </c>
      <c r="I310" s="98" t="s">
        <v>630</v>
      </c>
      <c r="J310" s="98" t="s">
        <v>145</v>
      </c>
      <c r="K310" s="98" t="s">
        <v>631</v>
      </c>
    </row>
    <row r="311" spans="2:11" x14ac:dyDescent="0.25">
      <c r="B311" s="98" t="s">
        <v>871</v>
      </c>
      <c r="C311" s="98" t="s">
        <v>244</v>
      </c>
      <c r="D311" s="98" t="s">
        <v>631</v>
      </c>
      <c r="E311" s="98" t="s">
        <v>650</v>
      </c>
      <c r="F311" s="98" t="s">
        <v>243</v>
      </c>
      <c r="G311" s="98">
        <v>8</v>
      </c>
      <c r="H311" s="98" t="str">
        <f t="shared" si="26"/>
        <v>BSS-TC-23221 TC_OBI_PM 1.4_015_Exempted CH detail report _Incident first assigned to SU_field validation</v>
      </c>
      <c r="I311" s="98" t="s">
        <v>630</v>
      </c>
      <c r="J311" s="98" t="s">
        <v>769</v>
      </c>
      <c r="K311" s="98" t="s">
        <v>147</v>
      </c>
    </row>
    <row r="312" spans="2:11" x14ac:dyDescent="0.25">
      <c r="B312" s="98" t="s">
        <v>872</v>
      </c>
      <c r="C312" s="98" t="s">
        <v>247</v>
      </c>
      <c r="D312" s="98" t="s">
        <v>631</v>
      </c>
      <c r="E312" s="98" t="s">
        <v>774</v>
      </c>
      <c r="F312" s="98" t="s">
        <v>775</v>
      </c>
      <c r="G312" s="98">
        <v>1</v>
      </c>
      <c r="H312" s="98" t="str">
        <f t="shared" ref="H312:H319" si="27">HYPERLINK("http://rms/perspective.req?projectId=233&amp;docId=959494","BSS-TC-23222 TC_OBI_PM 1.4_016_Exempted CH detail report _Manual PM Override Flag field_field validation")</f>
        <v>BSS-TC-23222 TC_OBI_PM 1.4_016_Exempted CH detail report _Manual PM Override Flag field_field validation</v>
      </c>
      <c r="I312" s="98" t="s">
        <v>630</v>
      </c>
      <c r="J312" s="98" t="s">
        <v>80</v>
      </c>
      <c r="K312" s="98" t="s">
        <v>517</v>
      </c>
    </row>
    <row r="313" spans="2:11" x14ac:dyDescent="0.25">
      <c r="B313" s="98" t="s">
        <v>872</v>
      </c>
      <c r="C313" s="98" t="s">
        <v>247</v>
      </c>
      <c r="D313" s="98" t="s">
        <v>631</v>
      </c>
      <c r="E313" s="98" t="s">
        <v>18</v>
      </c>
      <c r="F313" s="98" t="s">
        <v>775</v>
      </c>
      <c r="G313" s="98">
        <v>2</v>
      </c>
      <c r="H313" s="98" t="str">
        <f t="shared" si="27"/>
        <v>BSS-TC-23222 TC_OBI_PM 1.4_016_Exempted CH detail report _Manual PM Override Flag field_field validation</v>
      </c>
      <c r="I313" s="98" t="s">
        <v>630</v>
      </c>
      <c r="J313" s="98" t="s">
        <v>20</v>
      </c>
      <c r="K313" s="98" t="s">
        <v>631</v>
      </c>
    </row>
    <row r="314" spans="2:11" x14ac:dyDescent="0.25">
      <c r="B314" s="98" t="s">
        <v>872</v>
      </c>
      <c r="C314" s="98" t="s">
        <v>247</v>
      </c>
      <c r="D314" s="98" t="s">
        <v>631</v>
      </c>
      <c r="E314" s="98" t="s">
        <v>21</v>
      </c>
      <c r="F314" s="98" t="s">
        <v>775</v>
      </c>
      <c r="G314" s="98">
        <v>3</v>
      </c>
      <c r="H314" s="98" t="str">
        <f t="shared" si="27"/>
        <v>BSS-TC-23222 TC_OBI_PM 1.4_016_Exempted CH detail report _Manual PM Override Flag field_field validation</v>
      </c>
      <c r="I314" s="98" t="s">
        <v>630</v>
      </c>
      <c r="J314" s="98" t="s">
        <v>22</v>
      </c>
      <c r="K314" s="98" t="s">
        <v>631</v>
      </c>
    </row>
    <row r="315" spans="2:11" x14ac:dyDescent="0.25">
      <c r="B315" s="98" t="s">
        <v>872</v>
      </c>
      <c r="C315" s="98" t="s">
        <v>247</v>
      </c>
      <c r="D315" s="98" t="s">
        <v>631</v>
      </c>
      <c r="E315" s="98" t="s">
        <v>23</v>
      </c>
      <c r="F315" s="98" t="s">
        <v>775</v>
      </c>
      <c r="G315" s="98">
        <v>4</v>
      </c>
      <c r="H315" s="98" t="str">
        <f t="shared" si="27"/>
        <v>BSS-TC-23222 TC_OBI_PM 1.4_016_Exempted CH detail report _Manual PM Override Flag field_field validation</v>
      </c>
      <c r="I315" s="98" t="s">
        <v>630</v>
      </c>
      <c r="J315" s="98" t="s">
        <v>41</v>
      </c>
      <c r="K315" s="98" t="s">
        <v>631</v>
      </c>
    </row>
    <row r="316" spans="2:11" x14ac:dyDescent="0.25">
      <c r="B316" s="98" t="s">
        <v>872</v>
      </c>
      <c r="C316" s="98" t="s">
        <v>247</v>
      </c>
      <c r="D316" s="98" t="s">
        <v>631</v>
      </c>
      <c r="E316" s="98" t="s">
        <v>43</v>
      </c>
      <c r="F316" s="98" t="s">
        <v>775</v>
      </c>
      <c r="G316" s="98">
        <v>5</v>
      </c>
      <c r="H316" s="98" t="str">
        <f t="shared" si="27"/>
        <v>BSS-TC-23222 TC_OBI_PM 1.4_016_Exempted CH detail report _Manual PM Override Flag field_field validation</v>
      </c>
      <c r="I316" s="98" t="s">
        <v>630</v>
      </c>
      <c r="J316" s="98" t="s">
        <v>44</v>
      </c>
      <c r="K316" s="98" t="s">
        <v>631</v>
      </c>
    </row>
    <row r="317" spans="2:11" x14ac:dyDescent="0.25">
      <c r="B317" s="98" t="s">
        <v>872</v>
      </c>
      <c r="C317" s="98" t="s">
        <v>247</v>
      </c>
      <c r="D317" s="98" t="s">
        <v>631</v>
      </c>
      <c r="E317" s="98" t="s">
        <v>25</v>
      </c>
      <c r="F317" s="98" t="s">
        <v>775</v>
      </c>
      <c r="G317" s="98">
        <v>6</v>
      </c>
      <c r="H317" s="98" t="str">
        <f t="shared" si="27"/>
        <v>BSS-TC-23222 TC_OBI_PM 1.4_016_Exempted CH detail report _Manual PM Override Flag field_field validation</v>
      </c>
      <c r="I317" s="98" t="s">
        <v>630</v>
      </c>
      <c r="J317" s="98" t="s">
        <v>27</v>
      </c>
      <c r="K317" s="98" t="s">
        <v>631</v>
      </c>
    </row>
    <row r="318" spans="2:11" x14ac:dyDescent="0.25">
      <c r="B318" s="98" t="s">
        <v>872</v>
      </c>
      <c r="C318" s="98" t="s">
        <v>247</v>
      </c>
      <c r="D318" s="98" t="s">
        <v>631</v>
      </c>
      <c r="E318" s="98" t="s">
        <v>52</v>
      </c>
      <c r="F318" s="98" t="s">
        <v>775</v>
      </c>
      <c r="G318" s="98">
        <v>7</v>
      </c>
      <c r="H318" s="98" t="str">
        <f t="shared" si="27"/>
        <v>BSS-TC-23222 TC_OBI_PM 1.4_016_Exempted CH detail report _Manual PM Override Flag field_field validation</v>
      </c>
      <c r="I318" s="98" t="s">
        <v>630</v>
      </c>
      <c r="J318" s="98" t="s">
        <v>145</v>
      </c>
      <c r="K318" s="98" t="s">
        <v>631</v>
      </c>
    </row>
    <row r="319" spans="2:11" x14ac:dyDescent="0.25">
      <c r="B319" s="98" t="s">
        <v>872</v>
      </c>
      <c r="C319" s="98" t="s">
        <v>247</v>
      </c>
      <c r="D319" s="98" t="s">
        <v>631</v>
      </c>
      <c r="E319" s="98" t="s">
        <v>248</v>
      </c>
      <c r="F319" s="98" t="s">
        <v>775</v>
      </c>
      <c r="G319" s="98">
        <v>8</v>
      </c>
      <c r="H319" s="98" t="str">
        <f t="shared" si="27"/>
        <v>BSS-TC-23222 TC_OBI_PM 1.4_016_Exempted CH detail report _Manual PM Override Flag field_field validation</v>
      </c>
      <c r="I319" s="98" t="s">
        <v>630</v>
      </c>
      <c r="J319" s="98" t="s">
        <v>769</v>
      </c>
      <c r="K319" s="98" t="s">
        <v>249</v>
      </c>
    </row>
    <row r="320" spans="2:11" x14ac:dyDescent="0.25">
      <c r="B320" s="98" t="s">
        <v>873</v>
      </c>
      <c r="C320" s="98" t="s">
        <v>531</v>
      </c>
      <c r="D320" s="98" t="s">
        <v>631</v>
      </c>
      <c r="E320" s="98" t="s">
        <v>265</v>
      </c>
      <c r="F320" s="98" t="s">
        <v>280</v>
      </c>
      <c r="G320" s="98">
        <v>1</v>
      </c>
      <c r="H320" s="98" t="str">
        <f t="shared" ref="H320:H330" si="28">HYPERLINK("http://rms/perspective.req?projectId=233&amp;docId=959496","BSS-TC-23224 TC_OBI_018_CR109_PM1.4_Exempted_CH_Comms_Hub_and_Incident_ID_Validation")</f>
        <v>BSS-TC-23224 TC_OBI_018_CR109_PM1.4_Exempted_CH_Comms_Hub_and_Incident_ID_Validation</v>
      </c>
      <c r="I320" s="98" t="s">
        <v>630</v>
      </c>
      <c r="J320" s="98" t="s">
        <v>266</v>
      </c>
      <c r="K320" s="98" t="s">
        <v>631</v>
      </c>
    </row>
    <row r="321" spans="2:11" x14ac:dyDescent="0.25">
      <c r="B321" s="98" t="s">
        <v>873</v>
      </c>
      <c r="C321" s="98" t="s">
        <v>531</v>
      </c>
      <c r="D321" s="98" t="s">
        <v>631</v>
      </c>
      <c r="E321" s="98" t="s">
        <v>25</v>
      </c>
      <c r="F321" s="98" t="s">
        <v>280</v>
      </c>
      <c r="G321" s="98">
        <v>2</v>
      </c>
      <c r="H321" s="98" t="str">
        <f t="shared" si="28"/>
        <v>BSS-TC-23224 TC_OBI_018_CR109_PM1.4_Exempted_CH_Comms_Hub_and_Incident_ID_Validation</v>
      </c>
      <c r="I321" s="98" t="s">
        <v>630</v>
      </c>
      <c r="J321" s="98" t="s">
        <v>27</v>
      </c>
      <c r="K321" s="98" t="s">
        <v>631</v>
      </c>
    </row>
    <row r="322" spans="2:11" x14ac:dyDescent="0.25">
      <c r="B322" s="98" t="s">
        <v>873</v>
      </c>
      <c r="C322" s="98" t="s">
        <v>531</v>
      </c>
      <c r="D322" s="98" t="s">
        <v>631</v>
      </c>
      <c r="E322" s="98" t="s">
        <v>45</v>
      </c>
      <c r="F322" s="98" t="s">
        <v>280</v>
      </c>
      <c r="G322" s="98">
        <v>3</v>
      </c>
      <c r="H322" s="98" t="str">
        <f t="shared" si="28"/>
        <v>BSS-TC-23224 TC_OBI_018_CR109_PM1.4_Exempted_CH_Comms_Hub_and_Incident_ID_Validation</v>
      </c>
      <c r="I322" s="98" t="s">
        <v>630</v>
      </c>
      <c r="J322" s="98" t="s">
        <v>284</v>
      </c>
      <c r="K322" s="98" t="s">
        <v>631</v>
      </c>
    </row>
    <row r="323" spans="2:11" x14ac:dyDescent="0.25">
      <c r="B323" s="98" t="s">
        <v>873</v>
      </c>
      <c r="C323" s="98" t="s">
        <v>531</v>
      </c>
      <c r="D323" s="98" t="s">
        <v>631</v>
      </c>
      <c r="E323" s="98" t="s">
        <v>286</v>
      </c>
      <c r="F323" s="98" t="s">
        <v>280</v>
      </c>
      <c r="G323" s="98">
        <v>4</v>
      </c>
      <c r="H323" s="98" t="str">
        <f t="shared" si="28"/>
        <v>BSS-TC-23224 TC_OBI_018_CR109_PM1.4_Exempted_CH_Comms_Hub_and_Incident_ID_Validation</v>
      </c>
      <c r="I323" s="98" t="s">
        <v>630</v>
      </c>
      <c r="J323" s="98" t="s">
        <v>288</v>
      </c>
      <c r="K323" s="98" t="s">
        <v>287</v>
      </c>
    </row>
    <row r="324" spans="2:11" x14ac:dyDescent="0.25">
      <c r="B324" s="98" t="s">
        <v>873</v>
      </c>
      <c r="C324" s="98" t="s">
        <v>531</v>
      </c>
      <c r="D324" s="98" t="s">
        <v>631</v>
      </c>
      <c r="E324" s="98" t="s">
        <v>290</v>
      </c>
      <c r="F324" s="98" t="s">
        <v>280</v>
      </c>
      <c r="G324" s="98">
        <v>5</v>
      </c>
      <c r="H324" s="98" t="str">
        <f t="shared" si="28"/>
        <v>BSS-TC-23224 TC_OBI_018_CR109_PM1.4_Exempted_CH_Comms_Hub_and_Incident_ID_Validation</v>
      </c>
      <c r="I324" s="98" t="s">
        <v>630</v>
      </c>
      <c r="J324" s="98" t="s">
        <v>776</v>
      </c>
      <c r="K324" s="98" t="s">
        <v>291</v>
      </c>
    </row>
    <row r="325" spans="2:11" x14ac:dyDescent="0.25">
      <c r="B325" s="98" t="s">
        <v>873</v>
      </c>
      <c r="C325" s="98" t="s">
        <v>531</v>
      </c>
      <c r="D325" s="98" t="s">
        <v>631</v>
      </c>
      <c r="E325" s="98" t="s">
        <v>294</v>
      </c>
      <c r="F325" s="98" t="s">
        <v>280</v>
      </c>
      <c r="G325" s="98">
        <v>6</v>
      </c>
      <c r="H325" s="98" t="str">
        <f t="shared" si="28"/>
        <v>BSS-TC-23224 TC_OBI_018_CR109_PM1.4_Exempted_CH_Comms_Hub_and_Incident_ID_Validation</v>
      </c>
      <c r="I325" s="98" t="s">
        <v>630</v>
      </c>
      <c r="J325" s="98" t="s">
        <v>295</v>
      </c>
      <c r="K325" s="98" t="s">
        <v>631</v>
      </c>
    </row>
    <row r="326" spans="2:11" x14ac:dyDescent="0.25">
      <c r="B326" s="98" t="s">
        <v>873</v>
      </c>
      <c r="C326" s="98" t="s">
        <v>531</v>
      </c>
      <c r="D326" s="98" t="s">
        <v>631</v>
      </c>
      <c r="E326" s="98" t="s">
        <v>584</v>
      </c>
      <c r="F326" s="98" t="s">
        <v>280</v>
      </c>
      <c r="G326" s="98">
        <v>7</v>
      </c>
      <c r="H326" s="98" t="str">
        <f t="shared" si="28"/>
        <v>BSS-TC-23224 TC_OBI_018_CR109_PM1.4_Exempted_CH_Comms_Hub_and_Incident_ID_Validation</v>
      </c>
      <c r="I326" s="98" t="s">
        <v>630</v>
      </c>
      <c r="J326" s="98" t="s">
        <v>298</v>
      </c>
      <c r="K326" s="98" t="s">
        <v>297</v>
      </c>
    </row>
    <row r="327" spans="2:11" x14ac:dyDescent="0.25">
      <c r="B327" s="98" t="s">
        <v>873</v>
      </c>
      <c r="C327" s="98" t="s">
        <v>531</v>
      </c>
      <c r="D327" s="98" t="s">
        <v>631</v>
      </c>
      <c r="E327" s="98" t="s">
        <v>300</v>
      </c>
      <c r="F327" s="98" t="s">
        <v>280</v>
      </c>
      <c r="G327" s="98">
        <v>8</v>
      </c>
      <c r="H327" s="98" t="str">
        <f t="shared" si="28"/>
        <v>BSS-TC-23224 TC_OBI_018_CR109_PM1.4_Exempted_CH_Comms_Hub_and_Incident_ID_Validation</v>
      </c>
      <c r="I327" s="98" t="s">
        <v>630</v>
      </c>
      <c r="J327" s="98" t="s">
        <v>301</v>
      </c>
      <c r="K327" s="98" t="s">
        <v>631</v>
      </c>
    </row>
    <row r="328" spans="2:11" x14ac:dyDescent="0.25">
      <c r="B328" s="98" t="s">
        <v>873</v>
      </c>
      <c r="C328" s="98" t="s">
        <v>531</v>
      </c>
      <c r="D328" s="98" t="s">
        <v>631</v>
      </c>
      <c r="E328" s="98" t="s">
        <v>303</v>
      </c>
      <c r="F328" s="98" t="s">
        <v>280</v>
      </c>
      <c r="G328" s="98">
        <v>9</v>
      </c>
      <c r="H328" s="98" t="str">
        <f t="shared" si="28"/>
        <v>BSS-TC-23224 TC_OBI_018_CR109_PM1.4_Exempted_CH_Comms_Hub_and_Incident_ID_Validation</v>
      </c>
      <c r="I328" s="98" t="s">
        <v>630</v>
      </c>
      <c r="J328" s="98" t="s">
        <v>777</v>
      </c>
      <c r="K328" s="98" t="s">
        <v>631</v>
      </c>
    </row>
    <row r="329" spans="2:11" x14ac:dyDescent="0.25">
      <c r="B329" s="98" t="s">
        <v>873</v>
      </c>
      <c r="C329" s="98" t="s">
        <v>531</v>
      </c>
      <c r="D329" s="98" t="s">
        <v>631</v>
      </c>
      <c r="E329" s="98" t="s">
        <v>306</v>
      </c>
      <c r="F329" s="98" t="s">
        <v>280</v>
      </c>
      <c r="G329" s="98">
        <v>10</v>
      </c>
      <c r="H329" s="98" t="str">
        <f t="shared" si="28"/>
        <v>BSS-TC-23224 TC_OBI_018_CR109_PM1.4_Exempted_CH_Comms_Hub_and_Incident_ID_Validation</v>
      </c>
      <c r="I329" s="98" t="s">
        <v>630</v>
      </c>
      <c r="J329" s="98" t="s">
        <v>307</v>
      </c>
      <c r="K329" s="98" t="s">
        <v>631</v>
      </c>
    </row>
    <row r="330" spans="2:11" x14ac:dyDescent="0.25">
      <c r="B330" s="98" t="s">
        <v>873</v>
      </c>
      <c r="C330" s="98" t="s">
        <v>531</v>
      </c>
      <c r="D330" s="98" t="s">
        <v>631</v>
      </c>
      <c r="E330" s="98" t="s">
        <v>584</v>
      </c>
      <c r="F330" s="98" t="s">
        <v>280</v>
      </c>
      <c r="G330" s="98">
        <v>11</v>
      </c>
      <c r="H330" s="98" t="str">
        <f t="shared" si="28"/>
        <v>BSS-TC-23224 TC_OBI_018_CR109_PM1.4_Exempted_CH_Comms_Hub_and_Incident_ID_Validation</v>
      </c>
      <c r="I330" s="98" t="s">
        <v>630</v>
      </c>
      <c r="J330" s="98" t="s">
        <v>298</v>
      </c>
      <c r="K330" s="98" t="s">
        <v>297</v>
      </c>
    </row>
    <row r="331" spans="2:11" x14ac:dyDescent="0.25">
      <c r="B331" s="98" t="s">
        <v>874</v>
      </c>
      <c r="C331" s="98" t="s">
        <v>87</v>
      </c>
      <c r="D331" s="98" t="s">
        <v>631</v>
      </c>
      <c r="E331" s="98" t="s">
        <v>778</v>
      </c>
      <c r="F331" s="98" t="s">
        <v>515</v>
      </c>
      <c r="G331" s="98">
        <v>1</v>
      </c>
      <c r="H331" s="98" t="str">
        <f t="shared" ref="H331:H339" si="29">HYPERLINK("http://rms/perspective.req?projectId=233&amp;docId=959479","BSS-TC-23207 TC_OBI_PM 1.4_001 _CH qualification against PM_Exempted CH_Criterial1")</f>
        <v>BSS-TC-23207 TC_OBI_PM 1.4_001 _CH qualification against PM_Exempted CH_Criterial1</v>
      </c>
      <c r="I331" s="98" t="s">
        <v>630</v>
      </c>
      <c r="J331" s="98" t="s">
        <v>80</v>
      </c>
      <c r="K331" s="98" t="s">
        <v>517</v>
      </c>
    </row>
    <row r="332" spans="2:11" x14ac:dyDescent="0.25">
      <c r="B332" s="98" t="s">
        <v>874</v>
      </c>
      <c r="C332" s="98" t="s">
        <v>87</v>
      </c>
      <c r="D332" s="98" t="s">
        <v>631</v>
      </c>
      <c r="E332" s="98" t="s">
        <v>18</v>
      </c>
      <c r="F332" s="98" t="s">
        <v>515</v>
      </c>
      <c r="G332" s="98">
        <v>2</v>
      </c>
      <c r="H332" s="98" t="str">
        <f t="shared" si="29"/>
        <v>BSS-TC-23207 TC_OBI_PM 1.4_001 _CH qualification against PM_Exempted CH_Criterial1</v>
      </c>
      <c r="I332" s="98" t="s">
        <v>630</v>
      </c>
      <c r="J332" s="98" t="s">
        <v>20</v>
      </c>
      <c r="K332" s="98" t="s">
        <v>631</v>
      </c>
    </row>
    <row r="333" spans="2:11" x14ac:dyDescent="0.25">
      <c r="B333" s="98" t="s">
        <v>874</v>
      </c>
      <c r="C333" s="98" t="s">
        <v>87</v>
      </c>
      <c r="D333" s="98" t="s">
        <v>631</v>
      </c>
      <c r="E333" s="98" t="s">
        <v>21</v>
      </c>
      <c r="F333" s="98" t="s">
        <v>515</v>
      </c>
      <c r="G333" s="98">
        <v>3</v>
      </c>
      <c r="H333" s="98" t="str">
        <f t="shared" si="29"/>
        <v>BSS-TC-23207 TC_OBI_PM 1.4_001 _CH qualification against PM_Exempted CH_Criterial1</v>
      </c>
      <c r="I333" s="98" t="s">
        <v>630</v>
      </c>
      <c r="J333" s="98" t="s">
        <v>22</v>
      </c>
      <c r="K333" s="98" t="s">
        <v>631</v>
      </c>
    </row>
    <row r="334" spans="2:11" x14ac:dyDescent="0.25">
      <c r="B334" s="98" t="s">
        <v>874</v>
      </c>
      <c r="C334" s="98" t="s">
        <v>87</v>
      </c>
      <c r="D334" s="98" t="s">
        <v>631</v>
      </c>
      <c r="E334" s="98" t="s">
        <v>23</v>
      </c>
      <c r="F334" s="98" t="s">
        <v>515</v>
      </c>
      <c r="G334" s="98">
        <v>4</v>
      </c>
      <c r="H334" s="98" t="str">
        <f t="shared" si="29"/>
        <v>BSS-TC-23207 TC_OBI_PM 1.4_001 _CH qualification against PM_Exempted CH_Criterial1</v>
      </c>
      <c r="I334" s="98" t="s">
        <v>630</v>
      </c>
      <c r="J334" s="98" t="s">
        <v>41</v>
      </c>
      <c r="K334" s="98" t="s">
        <v>631</v>
      </c>
    </row>
    <row r="335" spans="2:11" x14ac:dyDescent="0.25">
      <c r="B335" s="98" t="s">
        <v>874</v>
      </c>
      <c r="C335" s="98" t="s">
        <v>87</v>
      </c>
      <c r="D335" s="98" t="s">
        <v>631</v>
      </c>
      <c r="E335" s="98" t="s">
        <v>70</v>
      </c>
      <c r="F335" s="98" t="s">
        <v>515</v>
      </c>
      <c r="G335" s="98">
        <v>5</v>
      </c>
      <c r="H335" s="98" t="str">
        <f t="shared" si="29"/>
        <v>BSS-TC-23207 TC_OBI_PM 1.4_001 _CH qualification against PM_Exempted CH_Criterial1</v>
      </c>
      <c r="I335" s="98" t="s">
        <v>630</v>
      </c>
      <c r="J335" s="98" t="s">
        <v>44</v>
      </c>
      <c r="K335" s="98" t="s">
        <v>631</v>
      </c>
    </row>
    <row r="336" spans="2:11" x14ac:dyDescent="0.25">
      <c r="B336" s="98" t="s">
        <v>874</v>
      </c>
      <c r="C336" s="98" t="s">
        <v>87</v>
      </c>
      <c r="D336" s="98" t="s">
        <v>631</v>
      </c>
      <c r="E336" s="98" t="s">
        <v>25</v>
      </c>
      <c r="F336" s="98" t="s">
        <v>515</v>
      </c>
      <c r="G336" s="98">
        <v>6</v>
      </c>
      <c r="H336" s="98" t="str">
        <f t="shared" si="29"/>
        <v>BSS-TC-23207 TC_OBI_PM 1.4_001 _CH qualification against PM_Exempted CH_Criterial1</v>
      </c>
      <c r="I336" s="98" t="s">
        <v>630</v>
      </c>
      <c r="J336" s="98" t="s">
        <v>27</v>
      </c>
      <c r="K336" s="98" t="s">
        <v>631</v>
      </c>
    </row>
    <row r="337" spans="2:11" x14ac:dyDescent="0.25">
      <c r="B337" s="98" t="s">
        <v>874</v>
      </c>
      <c r="C337" s="98" t="s">
        <v>87</v>
      </c>
      <c r="D337" s="98" t="s">
        <v>631</v>
      </c>
      <c r="E337" s="98" t="s">
        <v>45</v>
      </c>
      <c r="F337" s="98" t="s">
        <v>515</v>
      </c>
      <c r="G337" s="98">
        <v>7</v>
      </c>
      <c r="H337" s="98" t="str">
        <f t="shared" si="29"/>
        <v>BSS-TC-23207 TC_OBI_PM 1.4_001 _CH qualification against PM_Exempted CH_Criterial1</v>
      </c>
      <c r="I337" s="98" t="s">
        <v>630</v>
      </c>
      <c r="J337" s="98" t="s">
        <v>756</v>
      </c>
      <c r="K337" s="98" t="s">
        <v>631</v>
      </c>
    </row>
    <row r="338" spans="2:11" x14ac:dyDescent="0.25">
      <c r="B338" s="98" t="s">
        <v>874</v>
      </c>
      <c r="C338" s="98" t="s">
        <v>87</v>
      </c>
      <c r="D338" s="98" t="s">
        <v>631</v>
      </c>
      <c r="E338" s="98" t="s">
        <v>83</v>
      </c>
      <c r="F338" s="98" t="s">
        <v>515</v>
      </c>
      <c r="G338" s="98">
        <v>8</v>
      </c>
      <c r="H338" s="98" t="str">
        <f t="shared" si="29"/>
        <v>BSS-TC-23207 TC_OBI_PM 1.4_001 _CH qualification against PM_Exempted CH_Criterial1</v>
      </c>
      <c r="I338" s="98" t="s">
        <v>630</v>
      </c>
      <c r="J338" s="98" t="s">
        <v>757</v>
      </c>
      <c r="K338" s="98" t="s">
        <v>631</v>
      </c>
    </row>
    <row r="339" spans="2:11" x14ac:dyDescent="0.25">
      <c r="B339" s="98" t="s">
        <v>874</v>
      </c>
      <c r="C339" s="98" t="s">
        <v>87</v>
      </c>
      <c r="D339" s="98" t="s">
        <v>631</v>
      </c>
      <c r="E339" s="98" t="s">
        <v>731</v>
      </c>
      <c r="F339" s="98" t="s">
        <v>515</v>
      </c>
      <c r="G339" s="98">
        <v>9</v>
      </c>
      <c r="H339" s="98" t="str">
        <f t="shared" si="29"/>
        <v>BSS-TC-23207 TC_OBI_PM 1.4_001 _CH qualification against PM_Exempted CH_Criterial1</v>
      </c>
      <c r="I339" s="98" t="s">
        <v>630</v>
      </c>
      <c r="J339" s="98" t="s">
        <v>758</v>
      </c>
      <c r="K339" s="98" t="s">
        <v>86</v>
      </c>
    </row>
    <row r="340" spans="2:11" x14ac:dyDescent="0.25">
      <c r="B340" s="98" t="s">
        <v>875</v>
      </c>
      <c r="C340" s="98" t="s">
        <v>88</v>
      </c>
      <c r="D340" s="98" t="s">
        <v>631</v>
      </c>
      <c r="E340" s="98" t="s">
        <v>624</v>
      </c>
      <c r="F340" s="98" t="s">
        <v>515</v>
      </c>
      <c r="G340" s="98">
        <v>1</v>
      </c>
      <c r="H340" s="98" t="str">
        <f t="shared" ref="H340:H348" si="30">HYPERLINK("http://rms/perspective.req?projectId=233&amp;docId=959480","BSS-TC-23208 TC_OBI_PM 1.4_002 _CH qualification against PM_Exempted CH_Criteria2")</f>
        <v>BSS-TC-23208 TC_OBI_PM 1.4_002 _CH qualification against PM_Exempted CH_Criteria2</v>
      </c>
      <c r="I340" s="98" t="s">
        <v>630</v>
      </c>
      <c r="J340" s="98" t="s">
        <v>80</v>
      </c>
      <c r="K340" s="98" t="s">
        <v>517</v>
      </c>
    </row>
    <row r="341" spans="2:11" x14ac:dyDescent="0.25">
      <c r="B341" s="98" t="s">
        <v>875</v>
      </c>
      <c r="C341" s="98" t="s">
        <v>88</v>
      </c>
      <c r="D341" s="98" t="s">
        <v>631</v>
      </c>
      <c r="E341" s="98" t="s">
        <v>18</v>
      </c>
      <c r="F341" s="98" t="s">
        <v>515</v>
      </c>
      <c r="G341" s="98">
        <v>2</v>
      </c>
      <c r="H341" s="98" t="str">
        <f t="shared" si="30"/>
        <v>BSS-TC-23208 TC_OBI_PM 1.4_002 _CH qualification against PM_Exempted CH_Criteria2</v>
      </c>
      <c r="I341" s="98" t="s">
        <v>630</v>
      </c>
      <c r="J341" s="98" t="s">
        <v>20</v>
      </c>
      <c r="K341" s="98" t="s">
        <v>631</v>
      </c>
    </row>
    <row r="342" spans="2:11" x14ac:dyDescent="0.25">
      <c r="B342" s="98" t="s">
        <v>875</v>
      </c>
      <c r="C342" s="98" t="s">
        <v>88</v>
      </c>
      <c r="D342" s="98" t="s">
        <v>631</v>
      </c>
      <c r="E342" s="98" t="s">
        <v>21</v>
      </c>
      <c r="F342" s="98" t="s">
        <v>515</v>
      </c>
      <c r="G342" s="98">
        <v>3</v>
      </c>
      <c r="H342" s="98" t="str">
        <f t="shared" si="30"/>
        <v>BSS-TC-23208 TC_OBI_PM 1.4_002 _CH qualification against PM_Exempted CH_Criteria2</v>
      </c>
      <c r="I342" s="98" t="s">
        <v>630</v>
      </c>
      <c r="J342" s="98" t="s">
        <v>22</v>
      </c>
      <c r="K342" s="98" t="s">
        <v>631</v>
      </c>
    </row>
    <row r="343" spans="2:11" x14ac:dyDescent="0.25">
      <c r="B343" s="98" t="s">
        <v>875</v>
      </c>
      <c r="C343" s="98" t="s">
        <v>88</v>
      </c>
      <c r="D343" s="98" t="s">
        <v>631</v>
      </c>
      <c r="E343" s="98" t="s">
        <v>23</v>
      </c>
      <c r="F343" s="98" t="s">
        <v>515</v>
      </c>
      <c r="G343" s="98">
        <v>4</v>
      </c>
      <c r="H343" s="98" t="str">
        <f t="shared" si="30"/>
        <v>BSS-TC-23208 TC_OBI_PM 1.4_002 _CH qualification against PM_Exempted CH_Criteria2</v>
      </c>
      <c r="I343" s="98" t="s">
        <v>630</v>
      </c>
      <c r="J343" s="98" t="s">
        <v>41</v>
      </c>
      <c r="K343" s="98" t="s">
        <v>631</v>
      </c>
    </row>
    <row r="344" spans="2:11" x14ac:dyDescent="0.25">
      <c r="B344" s="98" t="s">
        <v>875</v>
      </c>
      <c r="C344" s="98" t="s">
        <v>88</v>
      </c>
      <c r="D344" s="98" t="s">
        <v>631</v>
      </c>
      <c r="E344" s="98" t="s">
        <v>70</v>
      </c>
      <c r="F344" s="98" t="s">
        <v>515</v>
      </c>
      <c r="G344" s="98">
        <v>5</v>
      </c>
      <c r="H344" s="98" t="str">
        <f t="shared" si="30"/>
        <v>BSS-TC-23208 TC_OBI_PM 1.4_002 _CH qualification against PM_Exempted CH_Criteria2</v>
      </c>
      <c r="I344" s="98" t="s">
        <v>630</v>
      </c>
      <c r="J344" s="98" t="s">
        <v>44</v>
      </c>
      <c r="K344" s="98" t="s">
        <v>631</v>
      </c>
    </row>
    <row r="345" spans="2:11" x14ac:dyDescent="0.25">
      <c r="B345" s="98" t="s">
        <v>875</v>
      </c>
      <c r="C345" s="98" t="s">
        <v>88</v>
      </c>
      <c r="D345" s="98" t="s">
        <v>631</v>
      </c>
      <c r="E345" s="98" t="s">
        <v>25</v>
      </c>
      <c r="F345" s="98" t="s">
        <v>515</v>
      </c>
      <c r="G345" s="98">
        <v>6</v>
      </c>
      <c r="H345" s="98" t="str">
        <f t="shared" si="30"/>
        <v>BSS-TC-23208 TC_OBI_PM 1.4_002 _CH qualification against PM_Exempted CH_Criteria2</v>
      </c>
      <c r="I345" s="98" t="s">
        <v>630</v>
      </c>
      <c r="J345" s="98" t="s">
        <v>27</v>
      </c>
      <c r="K345" s="98" t="s">
        <v>631</v>
      </c>
    </row>
    <row r="346" spans="2:11" x14ac:dyDescent="0.25">
      <c r="B346" s="98" t="s">
        <v>875</v>
      </c>
      <c r="C346" s="98" t="s">
        <v>88</v>
      </c>
      <c r="D346" s="98" t="s">
        <v>631</v>
      </c>
      <c r="E346" s="98" t="s">
        <v>45</v>
      </c>
      <c r="F346" s="98" t="s">
        <v>515</v>
      </c>
      <c r="G346" s="98">
        <v>7</v>
      </c>
      <c r="H346" s="98" t="str">
        <f t="shared" si="30"/>
        <v>BSS-TC-23208 TC_OBI_PM 1.4_002 _CH qualification against PM_Exempted CH_Criteria2</v>
      </c>
      <c r="I346" s="98" t="s">
        <v>630</v>
      </c>
      <c r="J346" s="98" t="s">
        <v>756</v>
      </c>
      <c r="K346" s="98" t="s">
        <v>631</v>
      </c>
    </row>
    <row r="347" spans="2:11" x14ac:dyDescent="0.25">
      <c r="B347" s="98" t="s">
        <v>875</v>
      </c>
      <c r="C347" s="98" t="s">
        <v>88</v>
      </c>
      <c r="D347" s="98" t="s">
        <v>631</v>
      </c>
      <c r="E347" s="98" t="s">
        <v>83</v>
      </c>
      <c r="F347" s="98" t="s">
        <v>515</v>
      </c>
      <c r="G347" s="98">
        <v>8</v>
      </c>
      <c r="H347" s="98" t="str">
        <f t="shared" si="30"/>
        <v>BSS-TC-23208 TC_OBI_PM 1.4_002 _CH qualification against PM_Exempted CH_Criteria2</v>
      </c>
      <c r="I347" s="98" t="s">
        <v>630</v>
      </c>
      <c r="J347" s="98" t="s">
        <v>757</v>
      </c>
      <c r="K347" s="98" t="s">
        <v>631</v>
      </c>
    </row>
    <row r="348" spans="2:11" x14ac:dyDescent="0.25">
      <c r="B348" s="98" t="s">
        <v>875</v>
      </c>
      <c r="C348" s="98" t="s">
        <v>88</v>
      </c>
      <c r="D348" s="98" t="s">
        <v>631</v>
      </c>
      <c r="E348" s="98" t="s">
        <v>731</v>
      </c>
      <c r="F348" s="98" t="s">
        <v>515</v>
      </c>
      <c r="G348" s="98">
        <v>9</v>
      </c>
      <c r="H348" s="98" t="str">
        <f t="shared" si="30"/>
        <v>BSS-TC-23208 TC_OBI_PM 1.4_002 _CH qualification against PM_Exempted CH_Criteria2</v>
      </c>
      <c r="I348" s="98" t="s">
        <v>630</v>
      </c>
      <c r="J348" s="98" t="s">
        <v>758</v>
      </c>
      <c r="K348" s="98" t="s">
        <v>86</v>
      </c>
    </row>
    <row r="349" spans="2:11" x14ac:dyDescent="0.25">
      <c r="B349" s="98" t="s">
        <v>876</v>
      </c>
      <c r="C349" s="98" t="s">
        <v>535</v>
      </c>
      <c r="D349" s="98" t="s">
        <v>631</v>
      </c>
      <c r="E349" s="98" t="s">
        <v>265</v>
      </c>
      <c r="F349" s="98" t="s">
        <v>310</v>
      </c>
      <c r="G349" s="98">
        <v>1</v>
      </c>
      <c r="H349" s="98" t="str">
        <f>HYPERLINK("http://rms/perspective.req?projectId=233&amp;docId=959497","BSS-TC-23225 TC_OBI_019_CR109_PM1.4_Exempted_CH_detail_Report_Column_Validation")</f>
        <v>BSS-TC-23225 TC_OBI_019_CR109_PM1.4_Exempted_CH_detail_Report_Column_Validation</v>
      </c>
      <c r="I349" s="98" t="s">
        <v>630</v>
      </c>
      <c r="J349" s="98" t="s">
        <v>266</v>
      </c>
      <c r="K349" s="98" t="s">
        <v>631</v>
      </c>
    </row>
    <row r="350" spans="2:11" x14ac:dyDescent="0.25">
      <c r="B350" s="98" t="s">
        <v>876</v>
      </c>
      <c r="C350" s="98" t="s">
        <v>535</v>
      </c>
      <c r="D350" s="98" t="s">
        <v>631</v>
      </c>
      <c r="E350" s="98" t="s">
        <v>267</v>
      </c>
      <c r="F350" s="98" t="s">
        <v>310</v>
      </c>
      <c r="G350" s="98">
        <v>2</v>
      </c>
      <c r="H350" s="98" t="str">
        <f>HYPERLINK("http://rms/perspective.req?projectId=233&amp;docId=959497","BSS-TC-23225 TC_OBI_019_CR109_PM1.4_Exempted_CH_detail_Report_Column_Validation")</f>
        <v>BSS-TC-23225 TC_OBI_019_CR109_PM1.4_Exempted_CH_detail_Report_Column_Validation</v>
      </c>
      <c r="I350" s="98" t="s">
        <v>630</v>
      </c>
      <c r="J350" s="98" t="s">
        <v>27</v>
      </c>
      <c r="K350" s="98" t="s">
        <v>631</v>
      </c>
    </row>
    <row r="351" spans="2:11" x14ac:dyDescent="0.25">
      <c r="B351" s="98" t="s">
        <v>876</v>
      </c>
      <c r="C351" s="98" t="s">
        <v>535</v>
      </c>
      <c r="D351" s="98" t="s">
        <v>631</v>
      </c>
      <c r="E351" s="98" t="s">
        <v>268</v>
      </c>
      <c r="F351" s="98" t="s">
        <v>310</v>
      </c>
      <c r="G351" s="98">
        <v>3</v>
      </c>
      <c r="H351" s="98" t="str">
        <f>HYPERLINK("http://rms/perspective.req?projectId=233&amp;docId=959497","BSS-TC-23225 TC_OBI_019_CR109_PM1.4_Exempted_CH_detail_Report_Column_Validation")</f>
        <v>BSS-TC-23225 TC_OBI_019_CR109_PM1.4_Exempted_CH_detail_Report_Column_Validation</v>
      </c>
      <c r="I351" s="98" t="s">
        <v>630</v>
      </c>
      <c r="J351" s="98" t="s">
        <v>270</v>
      </c>
      <c r="K351" s="98" t="s">
        <v>269</v>
      </c>
    </row>
    <row r="352" spans="2:11" x14ac:dyDescent="0.25">
      <c r="B352" s="98" t="s">
        <v>876</v>
      </c>
      <c r="C352" s="98" t="s">
        <v>535</v>
      </c>
      <c r="D352" s="98" t="s">
        <v>631</v>
      </c>
      <c r="E352" s="98" t="s">
        <v>311</v>
      </c>
      <c r="F352" s="98" t="s">
        <v>310</v>
      </c>
      <c r="G352" s="98">
        <v>4</v>
      </c>
      <c r="H352" s="98" t="str">
        <f>HYPERLINK("http://rms/perspective.req?projectId=233&amp;docId=959497","BSS-TC-23225 TC_OBI_019_CR109_PM1.4_Exempted_CH_detail_Report_Column_Validation")</f>
        <v>BSS-TC-23225 TC_OBI_019_CR109_PM1.4_Exempted_CH_detail_Report_Column_Validation</v>
      </c>
      <c r="I352" s="98" t="s">
        <v>630</v>
      </c>
      <c r="J352" s="98" t="s">
        <v>312</v>
      </c>
      <c r="K352" s="98" t="s">
        <v>272</v>
      </c>
    </row>
    <row r="353" spans="2:11" x14ac:dyDescent="0.25">
      <c r="B353" s="98" t="s">
        <v>876</v>
      </c>
      <c r="C353" s="98" t="s">
        <v>535</v>
      </c>
      <c r="D353" s="98" t="s">
        <v>631</v>
      </c>
      <c r="E353" s="98" t="s">
        <v>313</v>
      </c>
      <c r="F353" s="98" t="s">
        <v>310</v>
      </c>
      <c r="G353" s="98">
        <v>5</v>
      </c>
      <c r="H353" s="98" t="str">
        <f>HYPERLINK("http://rms/perspective.req?projectId=233&amp;docId=959497","BSS-TC-23225 TC_OBI_019_CR109_PM1.4_Exempted_CH_detail_Report_Column_Validation")</f>
        <v>BSS-TC-23225 TC_OBI_019_CR109_PM1.4_Exempted_CH_detail_Report_Column_Validation</v>
      </c>
      <c r="I353" s="98" t="s">
        <v>630</v>
      </c>
      <c r="J353" s="98" t="s">
        <v>779</v>
      </c>
      <c r="K353" s="98" t="s">
        <v>314</v>
      </c>
    </row>
    <row r="354" spans="2:11" x14ac:dyDescent="0.25">
      <c r="B354" s="98" t="s">
        <v>877</v>
      </c>
      <c r="C354" s="98" t="s">
        <v>96</v>
      </c>
      <c r="D354" s="98" t="s">
        <v>631</v>
      </c>
      <c r="E354" s="98" t="s">
        <v>780</v>
      </c>
      <c r="F354" s="98" t="s">
        <v>97</v>
      </c>
      <c r="G354" s="98">
        <v>1</v>
      </c>
      <c r="H354" s="98" t="str">
        <f t="shared" ref="H354:H361" si="31">HYPERLINK("http://rms/perspective.req?projectId=233&amp;docId=959481","BSS-TC-23209 TC_OBI_PM 1.4_003_CH Qualification against PM_Criteria 3")</f>
        <v>BSS-TC-23209 TC_OBI_PM 1.4_003_CH Qualification against PM_Criteria 3</v>
      </c>
      <c r="I354" s="98" t="s">
        <v>630</v>
      </c>
      <c r="J354" s="98" t="s">
        <v>631</v>
      </c>
      <c r="K354" s="98" t="s">
        <v>517</v>
      </c>
    </row>
    <row r="355" spans="2:11" x14ac:dyDescent="0.25">
      <c r="B355" s="98" t="s">
        <v>877</v>
      </c>
      <c r="C355" s="98" t="s">
        <v>96</v>
      </c>
      <c r="D355" s="98" t="s">
        <v>631</v>
      </c>
      <c r="E355" s="98" t="s">
        <v>18</v>
      </c>
      <c r="F355" s="98" t="s">
        <v>97</v>
      </c>
      <c r="G355" s="98">
        <v>2</v>
      </c>
      <c r="H355" s="98" t="str">
        <f t="shared" si="31"/>
        <v>BSS-TC-23209 TC_OBI_PM 1.4_003_CH Qualification against PM_Criteria 3</v>
      </c>
      <c r="I355" s="98" t="s">
        <v>630</v>
      </c>
      <c r="J355" s="98" t="s">
        <v>20</v>
      </c>
      <c r="K355" s="98" t="s">
        <v>631</v>
      </c>
    </row>
    <row r="356" spans="2:11" x14ac:dyDescent="0.25">
      <c r="B356" s="98" t="s">
        <v>877</v>
      </c>
      <c r="C356" s="98" t="s">
        <v>96</v>
      </c>
      <c r="D356" s="98" t="s">
        <v>631</v>
      </c>
      <c r="E356" s="98" t="s">
        <v>21</v>
      </c>
      <c r="F356" s="98" t="s">
        <v>97</v>
      </c>
      <c r="G356" s="98">
        <v>3</v>
      </c>
      <c r="H356" s="98" t="str">
        <f t="shared" si="31"/>
        <v>BSS-TC-23209 TC_OBI_PM 1.4_003_CH Qualification against PM_Criteria 3</v>
      </c>
      <c r="I356" s="98" t="s">
        <v>630</v>
      </c>
      <c r="J356" s="98" t="s">
        <v>22</v>
      </c>
      <c r="K356" s="98" t="s">
        <v>631</v>
      </c>
    </row>
    <row r="357" spans="2:11" x14ac:dyDescent="0.25">
      <c r="B357" s="98" t="s">
        <v>877</v>
      </c>
      <c r="C357" s="98" t="s">
        <v>96</v>
      </c>
      <c r="D357" s="98" t="s">
        <v>631</v>
      </c>
      <c r="E357" s="98" t="s">
        <v>23</v>
      </c>
      <c r="F357" s="98" t="s">
        <v>97</v>
      </c>
      <c r="G357" s="98">
        <v>4</v>
      </c>
      <c r="H357" s="98" t="str">
        <f t="shared" si="31"/>
        <v>BSS-TC-23209 TC_OBI_PM 1.4_003_CH Qualification against PM_Criteria 3</v>
      </c>
      <c r="I357" s="98" t="s">
        <v>630</v>
      </c>
      <c r="J357" s="98" t="s">
        <v>41</v>
      </c>
      <c r="K357" s="98" t="s">
        <v>631</v>
      </c>
    </row>
    <row r="358" spans="2:11" x14ac:dyDescent="0.25">
      <c r="B358" s="98" t="s">
        <v>877</v>
      </c>
      <c r="C358" s="98" t="s">
        <v>96</v>
      </c>
      <c r="D358" s="98" t="s">
        <v>631</v>
      </c>
      <c r="E358" s="98" t="s">
        <v>76</v>
      </c>
      <c r="F358" s="98" t="s">
        <v>97</v>
      </c>
      <c r="G358" s="98">
        <v>5</v>
      </c>
      <c r="H358" s="98" t="str">
        <f t="shared" si="31"/>
        <v>BSS-TC-23209 TC_OBI_PM 1.4_003_CH Qualification against PM_Criteria 3</v>
      </c>
      <c r="I358" s="98" t="s">
        <v>630</v>
      </c>
      <c r="J358" s="98" t="s">
        <v>44</v>
      </c>
      <c r="K358" s="98" t="s">
        <v>631</v>
      </c>
    </row>
    <row r="359" spans="2:11" x14ac:dyDescent="0.25">
      <c r="B359" s="98" t="s">
        <v>877</v>
      </c>
      <c r="C359" s="98" t="s">
        <v>96</v>
      </c>
      <c r="D359" s="98" t="s">
        <v>631</v>
      </c>
      <c r="E359" s="98" t="s">
        <v>25</v>
      </c>
      <c r="F359" s="98" t="s">
        <v>97</v>
      </c>
      <c r="G359" s="98">
        <v>6</v>
      </c>
      <c r="H359" s="98" t="str">
        <f t="shared" si="31"/>
        <v>BSS-TC-23209 TC_OBI_PM 1.4_003_CH Qualification against PM_Criteria 3</v>
      </c>
      <c r="I359" s="98" t="s">
        <v>630</v>
      </c>
      <c r="J359" s="98" t="s">
        <v>27</v>
      </c>
      <c r="K359" s="98" t="s">
        <v>631</v>
      </c>
    </row>
    <row r="360" spans="2:11" x14ac:dyDescent="0.25">
      <c r="B360" s="98" t="s">
        <v>877</v>
      </c>
      <c r="C360" s="98" t="s">
        <v>96</v>
      </c>
      <c r="D360" s="98" t="s">
        <v>631</v>
      </c>
      <c r="E360" s="98" t="s">
        <v>45</v>
      </c>
      <c r="F360" s="98" t="s">
        <v>97</v>
      </c>
      <c r="G360" s="98">
        <v>7</v>
      </c>
      <c r="H360" s="98" t="str">
        <f t="shared" si="31"/>
        <v>BSS-TC-23209 TC_OBI_PM 1.4_003_CH Qualification against PM_Criteria 3</v>
      </c>
      <c r="I360" s="98" t="s">
        <v>630</v>
      </c>
      <c r="J360" s="98" t="s">
        <v>42</v>
      </c>
      <c r="K360" s="98" t="s">
        <v>631</v>
      </c>
    </row>
    <row r="361" spans="2:11" x14ac:dyDescent="0.25">
      <c r="B361" s="98" t="s">
        <v>877</v>
      </c>
      <c r="C361" s="98" t="s">
        <v>96</v>
      </c>
      <c r="D361" s="98" t="s">
        <v>631</v>
      </c>
      <c r="E361" s="98" t="s">
        <v>750</v>
      </c>
      <c r="F361" s="98" t="s">
        <v>97</v>
      </c>
      <c r="G361" s="98">
        <v>8</v>
      </c>
      <c r="H361" s="98" t="str">
        <f t="shared" si="31"/>
        <v>BSS-TC-23209 TC_OBI_PM 1.4_003_CH Qualification against PM_Criteria 3</v>
      </c>
      <c r="I361" s="98" t="s">
        <v>630</v>
      </c>
      <c r="J361" s="98" t="s">
        <v>100</v>
      </c>
      <c r="K361" s="98" t="s">
        <v>237</v>
      </c>
    </row>
    <row r="362" spans="2:11" x14ac:dyDescent="0.25">
      <c r="B362" s="98" t="s">
        <v>878</v>
      </c>
      <c r="C362" s="98" t="s">
        <v>94</v>
      </c>
      <c r="D362" s="98" t="s">
        <v>631</v>
      </c>
      <c r="E362" s="98" t="s">
        <v>781</v>
      </c>
      <c r="F362" s="98" t="s">
        <v>67</v>
      </c>
      <c r="G362" s="98">
        <v>1</v>
      </c>
      <c r="H362" s="98" t="str">
        <f t="shared" ref="H362:H369" si="32">HYPERLINK("http://rms/perspective.req?projectId=233&amp;docId=959509","BSS-TC-23226 TC_OBI_PM 1.4_001_Summary level report_ASL calculation")</f>
        <v>BSS-TC-23226 TC_OBI_PM 1.4_001_Summary level report_ASL calculation</v>
      </c>
      <c r="I362" s="98" t="s">
        <v>630</v>
      </c>
      <c r="J362" s="98" t="s">
        <v>80</v>
      </c>
      <c r="K362" s="98" t="s">
        <v>631</v>
      </c>
    </row>
    <row r="363" spans="2:11" x14ac:dyDescent="0.25">
      <c r="B363" s="98" t="s">
        <v>878</v>
      </c>
      <c r="C363" s="98" t="s">
        <v>94</v>
      </c>
      <c r="D363" s="98" t="s">
        <v>631</v>
      </c>
      <c r="E363" s="98" t="s">
        <v>782</v>
      </c>
      <c r="F363" s="98" t="s">
        <v>67</v>
      </c>
      <c r="G363" s="98">
        <v>2</v>
      </c>
      <c r="H363" s="98" t="str">
        <f t="shared" si="32"/>
        <v>BSS-TC-23226 TC_OBI_PM 1.4_001_Summary level report_ASL calculation</v>
      </c>
      <c r="I363" s="98" t="s">
        <v>630</v>
      </c>
      <c r="J363" s="98" t="s">
        <v>80</v>
      </c>
      <c r="K363" s="98" t="s">
        <v>631</v>
      </c>
    </row>
    <row r="364" spans="2:11" x14ac:dyDescent="0.25">
      <c r="B364" s="98" t="s">
        <v>878</v>
      </c>
      <c r="C364" s="98" t="s">
        <v>94</v>
      </c>
      <c r="D364" s="98" t="s">
        <v>631</v>
      </c>
      <c r="E364" s="98" t="s">
        <v>18</v>
      </c>
      <c r="F364" s="98" t="s">
        <v>67</v>
      </c>
      <c r="G364" s="98">
        <v>3</v>
      </c>
      <c r="H364" s="98" t="str">
        <f t="shared" si="32"/>
        <v>BSS-TC-23226 TC_OBI_PM 1.4_001_Summary level report_ASL calculation</v>
      </c>
      <c r="I364" s="98" t="s">
        <v>630</v>
      </c>
      <c r="J364" s="98" t="s">
        <v>20</v>
      </c>
      <c r="K364" s="98" t="s">
        <v>631</v>
      </c>
    </row>
    <row r="365" spans="2:11" x14ac:dyDescent="0.25">
      <c r="B365" s="98" t="s">
        <v>878</v>
      </c>
      <c r="C365" s="98" t="s">
        <v>94</v>
      </c>
      <c r="D365" s="98" t="s">
        <v>631</v>
      </c>
      <c r="E365" s="98" t="s">
        <v>21</v>
      </c>
      <c r="F365" s="98" t="s">
        <v>67</v>
      </c>
      <c r="G365" s="98">
        <v>4</v>
      </c>
      <c r="H365" s="98" t="str">
        <f t="shared" si="32"/>
        <v>BSS-TC-23226 TC_OBI_PM 1.4_001_Summary level report_ASL calculation</v>
      </c>
      <c r="I365" s="98" t="s">
        <v>630</v>
      </c>
      <c r="J365" s="98" t="s">
        <v>22</v>
      </c>
      <c r="K365" s="98" t="s">
        <v>631</v>
      </c>
    </row>
    <row r="366" spans="2:11" x14ac:dyDescent="0.25">
      <c r="B366" s="98" t="s">
        <v>878</v>
      </c>
      <c r="C366" s="98" t="s">
        <v>94</v>
      </c>
      <c r="D366" s="98" t="s">
        <v>631</v>
      </c>
      <c r="E366" s="98" t="s">
        <v>23</v>
      </c>
      <c r="F366" s="98" t="s">
        <v>67</v>
      </c>
      <c r="G366" s="98">
        <v>5</v>
      </c>
      <c r="H366" s="98" t="str">
        <f t="shared" si="32"/>
        <v>BSS-TC-23226 TC_OBI_PM 1.4_001_Summary level report_ASL calculation</v>
      </c>
      <c r="I366" s="98" t="s">
        <v>630</v>
      </c>
      <c r="J366" s="98" t="s">
        <v>41</v>
      </c>
      <c r="K366" s="98" t="s">
        <v>631</v>
      </c>
    </row>
    <row r="367" spans="2:11" x14ac:dyDescent="0.25">
      <c r="B367" s="98" t="s">
        <v>878</v>
      </c>
      <c r="C367" s="98" t="s">
        <v>94</v>
      </c>
      <c r="D367" s="98" t="s">
        <v>631</v>
      </c>
      <c r="E367" s="98" t="s">
        <v>43</v>
      </c>
      <c r="F367" s="98" t="s">
        <v>67</v>
      </c>
      <c r="G367" s="98">
        <v>6</v>
      </c>
      <c r="H367" s="98" t="str">
        <f t="shared" si="32"/>
        <v>BSS-TC-23226 TC_OBI_PM 1.4_001_Summary level report_ASL calculation</v>
      </c>
      <c r="I367" s="98" t="s">
        <v>630</v>
      </c>
      <c r="J367" s="98" t="s">
        <v>44</v>
      </c>
      <c r="K367" s="98" t="s">
        <v>631</v>
      </c>
    </row>
    <row r="368" spans="2:11" x14ac:dyDescent="0.25">
      <c r="B368" s="98" t="s">
        <v>878</v>
      </c>
      <c r="C368" s="98" t="s">
        <v>94</v>
      </c>
      <c r="D368" s="98" t="s">
        <v>631</v>
      </c>
      <c r="E368" s="98" t="s">
        <v>25</v>
      </c>
      <c r="F368" s="98" t="s">
        <v>67</v>
      </c>
      <c r="G368" s="98">
        <v>7</v>
      </c>
      <c r="H368" s="98" t="str">
        <f t="shared" si="32"/>
        <v>BSS-TC-23226 TC_OBI_PM 1.4_001_Summary level report_ASL calculation</v>
      </c>
      <c r="I368" s="98" t="s">
        <v>630</v>
      </c>
      <c r="J368" s="98" t="s">
        <v>27</v>
      </c>
      <c r="K368" s="98" t="s">
        <v>631</v>
      </c>
    </row>
    <row r="369" spans="2:11" x14ac:dyDescent="0.25">
      <c r="B369" s="98" t="s">
        <v>878</v>
      </c>
      <c r="C369" s="98" t="s">
        <v>94</v>
      </c>
      <c r="D369" s="98" t="s">
        <v>631</v>
      </c>
      <c r="E369" s="98" t="s">
        <v>783</v>
      </c>
      <c r="F369" s="98" t="s">
        <v>67</v>
      </c>
      <c r="G369" s="98">
        <v>8</v>
      </c>
      <c r="H369" s="98" t="str">
        <f t="shared" si="32"/>
        <v>BSS-TC-23226 TC_OBI_PM 1.4_001_Summary level report_ASL calculation</v>
      </c>
      <c r="I369" s="98" t="s">
        <v>630</v>
      </c>
      <c r="J369" s="98" t="s">
        <v>784</v>
      </c>
      <c r="K369" s="98" t="s">
        <v>75</v>
      </c>
    </row>
    <row r="370" spans="2:11" x14ac:dyDescent="0.25">
      <c r="B370" s="98" t="s">
        <v>879</v>
      </c>
      <c r="C370" s="98" t="s">
        <v>259</v>
      </c>
      <c r="D370" s="98" t="s">
        <v>631</v>
      </c>
      <c r="E370" s="98" t="s">
        <v>785</v>
      </c>
      <c r="F370" s="98" t="s">
        <v>260</v>
      </c>
      <c r="G370" s="98">
        <v>1</v>
      </c>
      <c r="H370" s="98" t="str">
        <f t="shared" ref="H370:H377" si="33">HYPERLINK("http://rms/perspective.req?projectId=233&amp;docId=959510","BSS-TC-23227 TC_OBI_PM 1.4_002_Mid level report_Total _validation")</f>
        <v>BSS-TC-23227 TC_OBI_PM 1.4_002_Mid level report_Total _validation</v>
      </c>
      <c r="I370" s="98" t="s">
        <v>630</v>
      </c>
      <c r="J370" s="98" t="s">
        <v>80</v>
      </c>
      <c r="K370" s="98" t="s">
        <v>631</v>
      </c>
    </row>
    <row r="371" spans="2:11" x14ac:dyDescent="0.25">
      <c r="B371" s="98" t="s">
        <v>879</v>
      </c>
      <c r="C371" s="98" t="s">
        <v>259</v>
      </c>
      <c r="D371" s="98" t="s">
        <v>631</v>
      </c>
      <c r="E371" s="98" t="s">
        <v>18</v>
      </c>
      <c r="F371" s="98" t="s">
        <v>260</v>
      </c>
      <c r="G371" s="98">
        <v>2</v>
      </c>
      <c r="H371" s="98" t="str">
        <f t="shared" si="33"/>
        <v>BSS-TC-23227 TC_OBI_PM 1.4_002_Mid level report_Total _validation</v>
      </c>
      <c r="I371" s="98" t="s">
        <v>630</v>
      </c>
      <c r="J371" s="98" t="s">
        <v>20</v>
      </c>
      <c r="K371" s="98" t="s">
        <v>631</v>
      </c>
    </row>
    <row r="372" spans="2:11" x14ac:dyDescent="0.25">
      <c r="B372" s="98" t="s">
        <v>879</v>
      </c>
      <c r="C372" s="98" t="s">
        <v>259</v>
      </c>
      <c r="D372" s="98" t="s">
        <v>631</v>
      </c>
      <c r="E372" s="98" t="s">
        <v>21</v>
      </c>
      <c r="F372" s="98" t="s">
        <v>260</v>
      </c>
      <c r="G372" s="98">
        <v>3</v>
      </c>
      <c r="H372" s="98" t="str">
        <f t="shared" si="33"/>
        <v>BSS-TC-23227 TC_OBI_PM 1.4_002_Mid level report_Total _validation</v>
      </c>
      <c r="I372" s="98" t="s">
        <v>630</v>
      </c>
      <c r="J372" s="98" t="s">
        <v>22</v>
      </c>
      <c r="K372" s="98" t="s">
        <v>631</v>
      </c>
    </row>
    <row r="373" spans="2:11" x14ac:dyDescent="0.25">
      <c r="B373" s="98" t="s">
        <v>879</v>
      </c>
      <c r="C373" s="98" t="s">
        <v>259</v>
      </c>
      <c r="D373" s="98" t="s">
        <v>631</v>
      </c>
      <c r="E373" s="98" t="s">
        <v>23</v>
      </c>
      <c r="F373" s="98" t="s">
        <v>260</v>
      </c>
      <c r="G373" s="98">
        <v>4</v>
      </c>
      <c r="H373" s="98" t="str">
        <f t="shared" si="33"/>
        <v>BSS-TC-23227 TC_OBI_PM 1.4_002_Mid level report_Total _validation</v>
      </c>
      <c r="I373" s="98" t="s">
        <v>630</v>
      </c>
      <c r="J373" s="98" t="s">
        <v>41</v>
      </c>
      <c r="K373" s="98" t="s">
        <v>631</v>
      </c>
    </row>
    <row r="374" spans="2:11" x14ac:dyDescent="0.25">
      <c r="B374" s="98" t="s">
        <v>879</v>
      </c>
      <c r="C374" s="98" t="s">
        <v>259</v>
      </c>
      <c r="D374" s="98" t="s">
        <v>631</v>
      </c>
      <c r="E374" s="98" t="s">
        <v>76</v>
      </c>
      <c r="F374" s="98" t="s">
        <v>260</v>
      </c>
      <c r="G374" s="98">
        <v>5</v>
      </c>
      <c r="H374" s="98" t="str">
        <f t="shared" si="33"/>
        <v>BSS-TC-23227 TC_OBI_PM 1.4_002_Mid level report_Total _validation</v>
      </c>
      <c r="I374" s="98" t="s">
        <v>630</v>
      </c>
      <c r="J374" s="98" t="s">
        <v>44</v>
      </c>
      <c r="K374" s="98" t="s">
        <v>631</v>
      </c>
    </row>
    <row r="375" spans="2:11" x14ac:dyDescent="0.25">
      <c r="B375" s="98" t="s">
        <v>879</v>
      </c>
      <c r="C375" s="98" t="s">
        <v>259</v>
      </c>
      <c r="D375" s="98" t="s">
        <v>631</v>
      </c>
      <c r="E375" s="98" t="s">
        <v>25</v>
      </c>
      <c r="F375" s="98" t="s">
        <v>260</v>
      </c>
      <c r="G375" s="98">
        <v>6</v>
      </c>
      <c r="H375" s="98" t="str">
        <f t="shared" si="33"/>
        <v>BSS-TC-23227 TC_OBI_PM 1.4_002_Mid level report_Total _validation</v>
      </c>
      <c r="I375" s="98" t="s">
        <v>630</v>
      </c>
      <c r="J375" s="98" t="s">
        <v>27</v>
      </c>
      <c r="K375" s="98" t="s">
        <v>631</v>
      </c>
    </row>
    <row r="376" spans="2:11" x14ac:dyDescent="0.25">
      <c r="B376" s="98" t="s">
        <v>879</v>
      </c>
      <c r="C376" s="98" t="s">
        <v>259</v>
      </c>
      <c r="D376" s="98" t="s">
        <v>631</v>
      </c>
      <c r="E376" s="98" t="s">
        <v>45</v>
      </c>
      <c r="F376" s="98" t="s">
        <v>260</v>
      </c>
      <c r="G376" s="98">
        <v>7</v>
      </c>
      <c r="H376" s="98" t="str">
        <f t="shared" si="33"/>
        <v>BSS-TC-23227 TC_OBI_PM 1.4_002_Mid level report_Total _validation</v>
      </c>
      <c r="I376" s="98" t="s">
        <v>630</v>
      </c>
      <c r="J376" s="98" t="s">
        <v>42</v>
      </c>
      <c r="K376" s="98" t="s">
        <v>631</v>
      </c>
    </row>
    <row r="377" spans="2:11" x14ac:dyDescent="0.25">
      <c r="B377" s="98" t="s">
        <v>879</v>
      </c>
      <c r="C377" s="98" t="s">
        <v>259</v>
      </c>
      <c r="D377" s="98" t="s">
        <v>631</v>
      </c>
      <c r="E377" s="98" t="s">
        <v>786</v>
      </c>
      <c r="F377" s="98" t="s">
        <v>260</v>
      </c>
      <c r="G377" s="98">
        <v>8</v>
      </c>
      <c r="H377" s="98" t="str">
        <f t="shared" si="33"/>
        <v>BSS-TC-23227 TC_OBI_PM 1.4_002_Mid level report_Total _validation</v>
      </c>
      <c r="I377" s="98" t="s">
        <v>630</v>
      </c>
      <c r="J377" s="98" t="s">
        <v>787</v>
      </c>
      <c r="K377" s="98" t="s">
        <v>78</v>
      </c>
    </row>
    <row r="378" spans="2:11" x14ac:dyDescent="0.25">
      <c r="B378" s="98" t="s">
        <v>880</v>
      </c>
      <c r="C378" s="98" t="s">
        <v>167</v>
      </c>
      <c r="D378" s="98" t="s">
        <v>631</v>
      </c>
      <c r="E378" s="98" t="s">
        <v>788</v>
      </c>
      <c r="F378" s="98" t="s">
        <v>178</v>
      </c>
      <c r="G378" s="98">
        <v>1</v>
      </c>
      <c r="H378" s="98" t="str">
        <f t="shared" ref="H378:H392" si="34">HYPERLINK("http://rms/perspective.req?projectId=233&amp;docId=959417","BSS-TC-23188 TC_OBI_PM1.4_001_CH_Manual PM override_Missed to allowed exception")</f>
        <v>BSS-TC-23188 TC_OBI_PM1.4_001_CH_Manual PM override_Missed to allowed exception</v>
      </c>
      <c r="I378" s="98" t="s">
        <v>630</v>
      </c>
      <c r="J378" s="98" t="s">
        <v>631</v>
      </c>
      <c r="K378" s="98" t="s">
        <v>523</v>
      </c>
    </row>
    <row r="379" spans="2:11" x14ac:dyDescent="0.25">
      <c r="B379" s="98" t="s">
        <v>880</v>
      </c>
      <c r="C379" s="98" t="s">
        <v>167</v>
      </c>
      <c r="D379" s="98" t="s">
        <v>631</v>
      </c>
      <c r="E379" s="98" t="s">
        <v>18</v>
      </c>
      <c r="F379" s="98" t="s">
        <v>178</v>
      </c>
      <c r="G379" s="98">
        <v>2</v>
      </c>
      <c r="H379" s="98" t="str">
        <f t="shared" si="34"/>
        <v>BSS-TC-23188 TC_OBI_PM1.4_001_CH_Manual PM override_Missed to allowed exception</v>
      </c>
      <c r="I379" s="98" t="s">
        <v>630</v>
      </c>
      <c r="J379" s="98" t="s">
        <v>20</v>
      </c>
      <c r="K379" s="98" t="s">
        <v>631</v>
      </c>
    </row>
    <row r="380" spans="2:11" x14ac:dyDescent="0.25">
      <c r="B380" s="98" t="s">
        <v>880</v>
      </c>
      <c r="C380" s="98" t="s">
        <v>167</v>
      </c>
      <c r="D380" s="98" t="s">
        <v>631</v>
      </c>
      <c r="E380" s="98" t="s">
        <v>21</v>
      </c>
      <c r="F380" s="98" t="s">
        <v>178</v>
      </c>
      <c r="G380" s="98">
        <v>3</v>
      </c>
      <c r="H380" s="98" t="str">
        <f t="shared" si="34"/>
        <v>BSS-TC-23188 TC_OBI_PM1.4_001_CH_Manual PM override_Missed to allowed exception</v>
      </c>
      <c r="I380" s="98" t="s">
        <v>630</v>
      </c>
      <c r="J380" s="98" t="s">
        <v>22</v>
      </c>
      <c r="K380" s="98" t="s">
        <v>631</v>
      </c>
    </row>
    <row r="381" spans="2:11" x14ac:dyDescent="0.25">
      <c r="B381" s="98" t="s">
        <v>880</v>
      </c>
      <c r="C381" s="98" t="s">
        <v>167</v>
      </c>
      <c r="D381" s="98" t="s">
        <v>631</v>
      </c>
      <c r="E381" s="98" t="s">
        <v>155</v>
      </c>
      <c r="F381" s="98" t="s">
        <v>178</v>
      </c>
      <c r="G381" s="98">
        <v>4</v>
      </c>
      <c r="H381" s="98" t="str">
        <f t="shared" si="34"/>
        <v>BSS-TC-23188 TC_OBI_PM1.4_001_CH_Manual PM override_Missed to allowed exception</v>
      </c>
      <c r="I381" s="98" t="s">
        <v>630</v>
      </c>
      <c r="J381" s="98" t="s">
        <v>156</v>
      </c>
      <c r="K381" s="98" t="s">
        <v>631</v>
      </c>
    </row>
    <row r="382" spans="2:11" x14ac:dyDescent="0.25">
      <c r="B382" s="98" t="s">
        <v>880</v>
      </c>
      <c r="C382" s="98" t="s">
        <v>167</v>
      </c>
      <c r="D382" s="98" t="s">
        <v>631</v>
      </c>
      <c r="E382" s="98" t="s">
        <v>169</v>
      </c>
      <c r="F382" s="98" t="s">
        <v>178</v>
      </c>
      <c r="G382" s="98">
        <v>5</v>
      </c>
      <c r="H382" s="98" t="str">
        <f t="shared" si="34"/>
        <v>BSS-TC-23188 TC_OBI_PM1.4_001_CH_Manual PM override_Missed to allowed exception</v>
      </c>
      <c r="I382" s="98" t="s">
        <v>630</v>
      </c>
      <c r="J382" s="98" t="s">
        <v>170</v>
      </c>
      <c r="K382" s="98" t="s">
        <v>631</v>
      </c>
    </row>
    <row r="383" spans="2:11" x14ac:dyDescent="0.25">
      <c r="B383" s="98" t="s">
        <v>880</v>
      </c>
      <c r="C383" s="98" t="s">
        <v>167</v>
      </c>
      <c r="D383" s="98" t="s">
        <v>631</v>
      </c>
      <c r="E383" s="98" t="s">
        <v>171</v>
      </c>
      <c r="F383" s="98" t="s">
        <v>178</v>
      </c>
      <c r="G383" s="98">
        <v>6</v>
      </c>
      <c r="H383" s="98" t="str">
        <f t="shared" si="34"/>
        <v>BSS-TC-23188 TC_OBI_PM1.4_001_CH_Manual PM override_Missed to allowed exception</v>
      </c>
      <c r="I383" s="98" t="s">
        <v>630</v>
      </c>
      <c r="J383" s="98" t="s">
        <v>172</v>
      </c>
      <c r="K383" s="98" t="s">
        <v>631</v>
      </c>
    </row>
    <row r="384" spans="2:11" x14ac:dyDescent="0.25">
      <c r="B384" s="98" t="s">
        <v>880</v>
      </c>
      <c r="C384" s="98" t="s">
        <v>167</v>
      </c>
      <c r="D384" s="98" t="s">
        <v>631</v>
      </c>
      <c r="E384" s="98" t="s">
        <v>174</v>
      </c>
      <c r="F384" s="98" t="s">
        <v>178</v>
      </c>
      <c r="G384" s="98">
        <v>7</v>
      </c>
      <c r="H384" s="98" t="str">
        <f t="shared" si="34"/>
        <v>BSS-TC-23188 TC_OBI_PM1.4_001_CH_Manual PM override_Missed to allowed exception</v>
      </c>
      <c r="I384" s="98" t="s">
        <v>630</v>
      </c>
      <c r="J384" s="98" t="s">
        <v>175</v>
      </c>
      <c r="K384" s="98" t="s">
        <v>631</v>
      </c>
    </row>
    <row r="385" spans="2:11" x14ac:dyDescent="0.25">
      <c r="B385" s="98" t="s">
        <v>880</v>
      </c>
      <c r="C385" s="98" t="s">
        <v>167</v>
      </c>
      <c r="D385" s="98" t="s">
        <v>631</v>
      </c>
      <c r="E385" s="98" t="s">
        <v>50</v>
      </c>
      <c r="F385" s="98" t="s">
        <v>178</v>
      </c>
      <c r="G385" s="98">
        <v>8</v>
      </c>
      <c r="H385" s="98" t="str">
        <f t="shared" si="34"/>
        <v>BSS-TC-23188 TC_OBI_PM1.4_001_CH_Manual PM override_Missed to allowed exception</v>
      </c>
      <c r="I385" s="98" t="s">
        <v>630</v>
      </c>
      <c r="J385" s="98" t="s">
        <v>51</v>
      </c>
      <c r="K385" s="98" t="s">
        <v>631</v>
      </c>
    </row>
    <row r="386" spans="2:11" x14ac:dyDescent="0.25">
      <c r="B386" s="98" t="s">
        <v>880</v>
      </c>
      <c r="C386" s="98" t="s">
        <v>167</v>
      </c>
      <c r="D386" s="98" t="s">
        <v>631</v>
      </c>
      <c r="E386" s="98" t="s">
        <v>731</v>
      </c>
      <c r="F386" s="98" t="s">
        <v>178</v>
      </c>
      <c r="G386" s="98">
        <v>9</v>
      </c>
      <c r="H386" s="98" t="str">
        <f t="shared" si="34"/>
        <v>BSS-TC-23188 TC_OBI_PM1.4_001_CH_Manual PM override_Missed to allowed exception</v>
      </c>
      <c r="I386" s="98" t="s">
        <v>630</v>
      </c>
      <c r="J386" s="98" t="s">
        <v>732</v>
      </c>
      <c r="K386" s="98" t="s">
        <v>119</v>
      </c>
    </row>
    <row r="387" spans="2:11" x14ac:dyDescent="0.25">
      <c r="B387" s="98" t="s">
        <v>880</v>
      </c>
      <c r="C387" s="98" t="s">
        <v>167</v>
      </c>
      <c r="D387" s="98" t="s">
        <v>631</v>
      </c>
      <c r="E387" s="98" t="s">
        <v>549</v>
      </c>
      <c r="F387" s="98" t="s">
        <v>178</v>
      </c>
      <c r="G387" s="98">
        <v>10</v>
      </c>
      <c r="H387" s="98" t="str">
        <f t="shared" si="34"/>
        <v>BSS-TC-23188 TC_OBI_PM1.4_001_CH_Manual PM override_Missed to allowed exception</v>
      </c>
      <c r="I387" s="98" t="s">
        <v>630</v>
      </c>
      <c r="J387" s="98" t="s">
        <v>157</v>
      </c>
      <c r="K387" s="98" t="s">
        <v>631</v>
      </c>
    </row>
    <row r="388" spans="2:11" x14ac:dyDescent="0.25">
      <c r="B388" s="98" t="s">
        <v>880</v>
      </c>
      <c r="C388" s="98" t="s">
        <v>167</v>
      </c>
      <c r="D388" s="98" t="s">
        <v>631</v>
      </c>
      <c r="E388" s="98" t="s">
        <v>176</v>
      </c>
      <c r="F388" s="98" t="s">
        <v>178</v>
      </c>
      <c r="G388" s="98">
        <v>11</v>
      </c>
      <c r="H388" s="98" t="str">
        <f t="shared" si="34"/>
        <v>BSS-TC-23188 TC_OBI_PM1.4_001_CH_Manual PM override_Missed to allowed exception</v>
      </c>
      <c r="I388" s="98" t="s">
        <v>630</v>
      </c>
      <c r="J388" s="98" t="s">
        <v>631</v>
      </c>
      <c r="K388" s="98" t="s">
        <v>159</v>
      </c>
    </row>
    <row r="389" spans="2:11" x14ac:dyDescent="0.25">
      <c r="B389" s="98" t="s">
        <v>880</v>
      </c>
      <c r="C389" s="98" t="s">
        <v>167</v>
      </c>
      <c r="D389" s="98" t="s">
        <v>631</v>
      </c>
      <c r="E389" s="98" t="s">
        <v>160</v>
      </c>
      <c r="F389" s="98" t="s">
        <v>178</v>
      </c>
      <c r="G389" s="98">
        <v>12</v>
      </c>
      <c r="H389" s="98" t="str">
        <f t="shared" si="34"/>
        <v>BSS-TC-23188 TC_OBI_PM1.4_001_CH_Manual PM override_Missed to allowed exception</v>
      </c>
      <c r="I389" s="98" t="s">
        <v>630</v>
      </c>
      <c r="J389" s="98" t="s">
        <v>172</v>
      </c>
      <c r="K389" s="98" t="s">
        <v>161</v>
      </c>
    </row>
    <row r="390" spans="2:11" x14ac:dyDescent="0.25">
      <c r="B390" s="98" t="s">
        <v>880</v>
      </c>
      <c r="C390" s="98" t="s">
        <v>167</v>
      </c>
      <c r="D390" s="98" t="s">
        <v>631</v>
      </c>
      <c r="E390" s="98" t="s">
        <v>162</v>
      </c>
      <c r="F390" s="98" t="s">
        <v>178</v>
      </c>
      <c r="G390" s="98">
        <v>13</v>
      </c>
      <c r="H390" s="98" t="str">
        <f t="shared" si="34"/>
        <v>BSS-TC-23188 TC_OBI_PM1.4_001_CH_Manual PM override_Missed to allowed exception</v>
      </c>
      <c r="I390" s="98" t="s">
        <v>630</v>
      </c>
      <c r="J390" s="98" t="s">
        <v>163</v>
      </c>
      <c r="K390" s="98" t="s">
        <v>631</v>
      </c>
    </row>
    <row r="391" spans="2:11" x14ac:dyDescent="0.25">
      <c r="B391" s="98" t="s">
        <v>880</v>
      </c>
      <c r="C391" s="98" t="s">
        <v>167</v>
      </c>
      <c r="D391" s="98" t="s">
        <v>631</v>
      </c>
      <c r="E391" s="98" t="s">
        <v>180</v>
      </c>
      <c r="F391" s="98" t="s">
        <v>178</v>
      </c>
      <c r="G391" s="98">
        <v>14</v>
      </c>
      <c r="H391" s="98" t="str">
        <f t="shared" si="34"/>
        <v>BSS-TC-23188 TC_OBI_PM1.4_001_CH_Manual PM override_Missed to allowed exception</v>
      </c>
      <c r="I391" s="98" t="s">
        <v>630</v>
      </c>
      <c r="J391" s="98" t="s">
        <v>181</v>
      </c>
      <c r="K391" s="98" t="s">
        <v>631</v>
      </c>
    </row>
    <row r="392" spans="2:11" x14ac:dyDescent="0.25">
      <c r="B392" s="98" t="s">
        <v>880</v>
      </c>
      <c r="C392" s="98" t="s">
        <v>167</v>
      </c>
      <c r="D392" s="98" t="s">
        <v>631</v>
      </c>
      <c r="E392" s="98" t="s">
        <v>789</v>
      </c>
      <c r="F392" s="98" t="s">
        <v>178</v>
      </c>
      <c r="G392" s="98">
        <v>15</v>
      </c>
      <c r="H392" s="98" t="str">
        <f t="shared" si="34"/>
        <v>BSS-TC-23188 TC_OBI_PM1.4_001_CH_Manual PM override_Missed to allowed exception</v>
      </c>
      <c r="I392" s="98" t="s">
        <v>630</v>
      </c>
      <c r="J392" s="98" t="s">
        <v>182</v>
      </c>
      <c r="K392" s="98" t="s">
        <v>166</v>
      </c>
    </row>
    <row r="393" spans="2:11" x14ac:dyDescent="0.25">
      <c r="B393" s="98" t="s">
        <v>881</v>
      </c>
      <c r="C393" s="98" t="s">
        <v>537</v>
      </c>
      <c r="D393" s="98" t="s">
        <v>631</v>
      </c>
      <c r="E393" s="98" t="s">
        <v>325</v>
      </c>
      <c r="F393" s="98" t="s">
        <v>790</v>
      </c>
      <c r="G393" s="98">
        <v>1</v>
      </c>
      <c r="H393" s="98" t="str">
        <f>HYPERLINK("http://rms/perspective.req?projectId=233&amp;docId=959511","BSS-TC-23228 TC_OBI_003_CR109_PM1.4_MSL_Line_Validation")</f>
        <v>BSS-TC-23228 TC_OBI_003_CR109_PM1.4_MSL_Line_Validation</v>
      </c>
      <c r="I393" s="98" t="s">
        <v>630</v>
      </c>
      <c r="J393" s="98" t="s">
        <v>80</v>
      </c>
      <c r="K393" s="98" t="s">
        <v>326</v>
      </c>
    </row>
    <row r="394" spans="2:11" x14ac:dyDescent="0.25">
      <c r="B394" s="98" t="s">
        <v>881</v>
      </c>
      <c r="C394" s="98" t="s">
        <v>537</v>
      </c>
      <c r="D394" s="98" t="s">
        <v>631</v>
      </c>
      <c r="E394" s="98" t="s">
        <v>265</v>
      </c>
      <c r="F394" s="98" t="s">
        <v>790</v>
      </c>
      <c r="G394" s="98">
        <v>2</v>
      </c>
      <c r="H394" s="98" t="str">
        <f>HYPERLINK("http://rms/perspective.req?projectId=233&amp;docId=959511","BSS-TC-23228 TC_OBI_003_CR109_PM1.4_MSL_Line_Validation")</f>
        <v>BSS-TC-23228 TC_OBI_003_CR109_PM1.4_MSL_Line_Validation</v>
      </c>
      <c r="I394" s="98" t="s">
        <v>630</v>
      </c>
      <c r="J394" s="98" t="s">
        <v>266</v>
      </c>
      <c r="K394" s="98" t="s">
        <v>631</v>
      </c>
    </row>
    <row r="395" spans="2:11" x14ac:dyDescent="0.25">
      <c r="B395" s="98" t="s">
        <v>881</v>
      </c>
      <c r="C395" s="98" t="s">
        <v>537</v>
      </c>
      <c r="D395" s="98" t="s">
        <v>631</v>
      </c>
      <c r="E395" s="98" t="s">
        <v>267</v>
      </c>
      <c r="F395" s="98" t="s">
        <v>790</v>
      </c>
      <c r="G395" s="98">
        <v>3</v>
      </c>
      <c r="H395" s="98" t="str">
        <f>HYPERLINK("http://rms/perspective.req?projectId=233&amp;docId=959511","BSS-TC-23228 TC_OBI_003_CR109_PM1.4_MSL_Line_Validation")</f>
        <v>BSS-TC-23228 TC_OBI_003_CR109_PM1.4_MSL_Line_Validation</v>
      </c>
      <c r="I395" s="98" t="s">
        <v>630</v>
      </c>
      <c r="J395" s="98" t="s">
        <v>27</v>
      </c>
      <c r="K395" s="98" t="s">
        <v>631</v>
      </c>
    </row>
    <row r="396" spans="2:11" x14ac:dyDescent="0.25">
      <c r="B396" s="98" t="s">
        <v>881</v>
      </c>
      <c r="C396" s="98" t="s">
        <v>537</v>
      </c>
      <c r="D396" s="98" t="s">
        <v>631</v>
      </c>
      <c r="E396" s="98" t="s">
        <v>327</v>
      </c>
      <c r="F396" s="98" t="s">
        <v>790</v>
      </c>
      <c r="G396" s="98">
        <v>4</v>
      </c>
      <c r="H396" s="98" t="str">
        <f>HYPERLINK("http://rms/perspective.req?projectId=233&amp;docId=959511","BSS-TC-23228 TC_OBI_003_CR109_PM1.4_MSL_Line_Validation")</f>
        <v>BSS-TC-23228 TC_OBI_003_CR109_PM1.4_MSL_Line_Validation</v>
      </c>
      <c r="I396" s="98" t="s">
        <v>630</v>
      </c>
      <c r="J396" s="98" t="s">
        <v>329</v>
      </c>
      <c r="K396" s="98" t="s">
        <v>328</v>
      </c>
    </row>
    <row r="397" spans="2:11" x14ac:dyDescent="0.25">
      <c r="B397" s="98" t="s">
        <v>881</v>
      </c>
      <c r="C397" s="98" t="s">
        <v>537</v>
      </c>
      <c r="D397" s="98" t="s">
        <v>631</v>
      </c>
      <c r="E397" s="98" t="s">
        <v>791</v>
      </c>
      <c r="F397" s="98" t="s">
        <v>790</v>
      </c>
      <c r="G397" s="98">
        <v>5</v>
      </c>
      <c r="H397" s="98" t="str">
        <f>HYPERLINK("http://rms/perspective.req?projectId=233&amp;docId=959511","BSS-TC-23228 TC_OBI_003_CR109_PM1.4_MSL_Line_Validation")</f>
        <v>BSS-TC-23228 TC_OBI_003_CR109_PM1.4_MSL_Line_Validation</v>
      </c>
      <c r="I397" s="98" t="s">
        <v>630</v>
      </c>
      <c r="J397" s="98" t="s">
        <v>332</v>
      </c>
      <c r="K397" s="98" t="s">
        <v>331</v>
      </c>
    </row>
    <row r="398" spans="2:11" x14ac:dyDescent="0.25">
      <c r="B398" s="98" t="s">
        <v>882</v>
      </c>
      <c r="C398" s="98" t="s">
        <v>183</v>
      </c>
      <c r="D398" s="98" t="s">
        <v>631</v>
      </c>
      <c r="E398" s="98" t="s">
        <v>792</v>
      </c>
      <c r="F398" s="98" t="s">
        <v>184</v>
      </c>
      <c r="G398" s="98">
        <v>1</v>
      </c>
      <c r="H398" s="98" t="str">
        <f t="shared" ref="H398:H416" si="35">HYPERLINK("http://rms/perspective.req?projectId=233&amp;docId=959419","BSS-TC-23190 TC_OBI_PM1.4_003_CH_Manual PM override_ allowed exception to Missed")</f>
        <v>BSS-TC-23190 TC_OBI_PM1.4_003_CH_Manual PM override_ allowed exception to Missed</v>
      </c>
      <c r="I398" s="98" t="s">
        <v>630</v>
      </c>
      <c r="J398" s="98" t="s">
        <v>631</v>
      </c>
      <c r="K398" s="98" t="s">
        <v>523</v>
      </c>
    </row>
    <row r="399" spans="2:11" x14ac:dyDescent="0.25">
      <c r="B399" s="98" t="s">
        <v>882</v>
      </c>
      <c r="C399" s="98" t="s">
        <v>183</v>
      </c>
      <c r="D399" s="98" t="s">
        <v>631</v>
      </c>
      <c r="E399" s="98" t="s">
        <v>18</v>
      </c>
      <c r="F399" s="98" t="s">
        <v>184</v>
      </c>
      <c r="G399" s="98">
        <v>2</v>
      </c>
      <c r="H399" s="98" t="str">
        <f t="shared" si="35"/>
        <v>BSS-TC-23190 TC_OBI_PM1.4_003_CH_Manual PM override_ allowed exception to Missed</v>
      </c>
      <c r="I399" s="98" t="s">
        <v>630</v>
      </c>
      <c r="J399" s="98" t="s">
        <v>20</v>
      </c>
      <c r="K399" s="98" t="s">
        <v>631</v>
      </c>
    </row>
    <row r="400" spans="2:11" x14ac:dyDescent="0.25">
      <c r="B400" s="98" t="s">
        <v>882</v>
      </c>
      <c r="C400" s="98" t="s">
        <v>183</v>
      </c>
      <c r="D400" s="98" t="s">
        <v>631</v>
      </c>
      <c r="E400" s="98" t="s">
        <v>21</v>
      </c>
      <c r="F400" s="98" t="s">
        <v>184</v>
      </c>
      <c r="G400" s="98">
        <v>3</v>
      </c>
      <c r="H400" s="98" t="str">
        <f t="shared" si="35"/>
        <v>BSS-TC-23190 TC_OBI_PM1.4_003_CH_Manual PM override_ allowed exception to Missed</v>
      </c>
      <c r="I400" s="98" t="s">
        <v>630</v>
      </c>
      <c r="J400" s="98" t="s">
        <v>22</v>
      </c>
      <c r="K400" s="98" t="s">
        <v>631</v>
      </c>
    </row>
    <row r="401" spans="2:11" x14ac:dyDescent="0.25">
      <c r="B401" s="98" t="s">
        <v>882</v>
      </c>
      <c r="C401" s="98" t="s">
        <v>183</v>
      </c>
      <c r="D401" s="98" t="s">
        <v>631</v>
      </c>
      <c r="E401" s="98" t="s">
        <v>155</v>
      </c>
      <c r="F401" s="98" t="s">
        <v>184</v>
      </c>
      <c r="G401" s="98">
        <v>4</v>
      </c>
      <c r="H401" s="98" t="str">
        <f t="shared" si="35"/>
        <v>BSS-TC-23190 TC_OBI_PM1.4_003_CH_Manual PM override_ allowed exception to Missed</v>
      </c>
      <c r="I401" s="98" t="s">
        <v>630</v>
      </c>
      <c r="J401" s="98" t="s">
        <v>156</v>
      </c>
      <c r="K401" s="98" t="s">
        <v>631</v>
      </c>
    </row>
    <row r="402" spans="2:11" x14ac:dyDescent="0.25">
      <c r="B402" s="98" t="s">
        <v>882</v>
      </c>
      <c r="C402" s="98" t="s">
        <v>183</v>
      </c>
      <c r="D402" s="98" t="s">
        <v>631</v>
      </c>
      <c r="E402" s="98" t="s">
        <v>169</v>
      </c>
      <c r="F402" s="98" t="s">
        <v>184</v>
      </c>
      <c r="G402" s="98">
        <v>5</v>
      </c>
      <c r="H402" s="98" t="str">
        <f t="shared" si="35"/>
        <v>BSS-TC-23190 TC_OBI_PM1.4_003_CH_Manual PM override_ allowed exception to Missed</v>
      </c>
      <c r="I402" s="98" t="s">
        <v>630</v>
      </c>
      <c r="J402" s="98" t="s">
        <v>170</v>
      </c>
      <c r="K402" s="98" t="s">
        <v>631</v>
      </c>
    </row>
    <row r="403" spans="2:11" x14ac:dyDescent="0.25">
      <c r="B403" s="98" t="s">
        <v>882</v>
      </c>
      <c r="C403" s="98" t="s">
        <v>183</v>
      </c>
      <c r="D403" s="98" t="s">
        <v>631</v>
      </c>
      <c r="E403" s="98" t="s">
        <v>171</v>
      </c>
      <c r="F403" s="98" t="s">
        <v>184</v>
      </c>
      <c r="G403" s="98">
        <v>6</v>
      </c>
      <c r="H403" s="98" t="str">
        <f t="shared" si="35"/>
        <v>BSS-TC-23190 TC_OBI_PM1.4_003_CH_Manual PM override_ allowed exception to Missed</v>
      </c>
      <c r="I403" s="98" t="s">
        <v>630</v>
      </c>
      <c r="J403" s="98" t="s">
        <v>172</v>
      </c>
      <c r="K403" s="98" t="s">
        <v>631</v>
      </c>
    </row>
    <row r="404" spans="2:11" x14ac:dyDescent="0.25">
      <c r="B404" s="98" t="s">
        <v>882</v>
      </c>
      <c r="C404" s="98" t="s">
        <v>183</v>
      </c>
      <c r="D404" s="98" t="s">
        <v>631</v>
      </c>
      <c r="E404" s="98" t="s">
        <v>174</v>
      </c>
      <c r="F404" s="98" t="s">
        <v>184</v>
      </c>
      <c r="G404" s="98">
        <v>7</v>
      </c>
      <c r="H404" s="98" t="str">
        <f t="shared" si="35"/>
        <v>BSS-TC-23190 TC_OBI_PM1.4_003_CH_Manual PM override_ allowed exception to Missed</v>
      </c>
      <c r="I404" s="98" t="s">
        <v>630</v>
      </c>
      <c r="J404" s="98" t="s">
        <v>175</v>
      </c>
      <c r="K404" s="98" t="s">
        <v>631</v>
      </c>
    </row>
    <row r="405" spans="2:11" x14ac:dyDescent="0.25">
      <c r="B405" s="98" t="s">
        <v>882</v>
      </c>
      <c r="C405" s="98" t="s">
        <v>183</v>
      </c>
      <c r="D405" s="98" t="s">
        <v>631</v>
      </c>
      <c r="E405" s="98" t="s">
        <v>180</v>
      </c>
      <c r="F405" s="98" t="s">
        <v>184</v>
      </c>
      <c r="G405" s="98">
        <v>8</v>
      </c>
      <c r="H405" s="98" t="str">
        <f t="shared" si="35"/>
        <v>BSS-TC-23190 TC_OBI_PM1.4_003_CH_Manual PM override_ allowed exception to Missed</v>
      </c>
      <c r="I405" s="98" t="s">
        <v>630</v>
      </c>
      <c r="J405" s="98" t="s">
        <v>181</v>
      </c>
      <c r="K405" s="98" t="s">
        <v>631</v>
      </c>
    </row>
    <row r="406" spans="2:11" x14ac:dyDescent="0.25">
      <c r="B406" s="98" t="s">
        <v>882</v>
      </c>
      <c r="C406" s="98" t="s">
        <v>183</v>
      </c>
      <c r="D406" s="98" t="s">
        <v>631</v>
      </c>
      <c r="E406" s="98" t="s">
        <v>789</v>
      </c>
      <c r="F406" s="98" t="s">
        <v>184</v>
      </c>
      <c r="G406" s="98">
        <v>9</v>
      </c>
      <c r="H406" s="98" t="str">
        <f t="shared" si="35"/>
        <v>BSS-TC-23190 TC_OBI_PM1.4_003_CH_Manual PM override_ allowed exception to Missed</v>
      </c>
      <c r="I406" s="98" t="s">
        <v>630</v>
      </c>
      <c r="J406" s="98" t="s">
        <v>182</v>
      </c>
      <c r="K406" s="98" t="s">
        <v>166</v>
      </c>
    </row>
    <row r="407" spans="2:11" x14ac:dyDescent="0.25">
      <c r="B407" s="98" t="s">
        <v>882</v>
      </c>
      <c r="C407" s="98" t="s">
        <v>183</v>
      </c>
      <c r="D407" s="98" t="s">
        <v>631</v>
      </c>
      <c r="E407" s="98" t="s">
        <v>550</v>
      </c>
      <c r="F407" s="98" t="s">
        <v>184</v>
      </c>
      <c r="G407" s="98">
        <v>10</v>
      </c>
      <c r="H407" s="98" t="str">
        <f t="shared" si="35"/>
        <v>BSS-TC-23190 TC_OBI_PM1.4_003_CH_Manual PM override_ allowed exception to Missed</v>
      </c>
      <c r="I407" s="98" t="s">
        <v>630</v>
      </c>
      <c r="J407" s="98" t="s">
        <v>157</v>
      </c>
      <c r="K407" s="98" t="s">
        <v>631</v>
      </c>
    </row>
    <row r="408" spans="2:11" x14ac:dyDescent="0.25">
      <c r="B408" s="98" t="s">
        <v>882</v>
      </c>
      <c r="C408" s="98" t="s">
        <v>183</v>
      </c>
      <c r="D408" s="98" t="s">
        <v>631</v>
      </c>
      <c r="E408" s="98" t="s">
        <v>158</v>
      </c>
      <c r="F408" s="98" t="s">
        <v>184</v>
      </c>
      <c r="G408" s="98">
        <v>11</v>
      </c>
      <c r="H408" s="98" t="str">
        <f t="shared" si="35"/>
        <v>BSS-TC-23190 TC_OBI_PM1.4_003_CH_Manual PM override_ allowed exception to Missed</v>
      </c>
      <c r="I408" s="98" t="s">
        <v>630</v>
      </c>
      <c r="J408" s="98" t="s">
        <v>631</v>
      </c>
      <c r="K408" s="98" t="s">
        <v>159</v>
      </c>
    </row>
    <row r="409" spans="2:11" x14ac:dyDescent="0.25">
      <c r="B409" s="98" t="s">
        <v>882</v>
      </c>
      <c r="C409" s="98" t="s">
        <v>183</v>
      </c>
      <c r="D409" s="98" t="s">
        <v>631</v>
      </c>
      <c r="E409" s="98" t="s">
        <v>18</v>
      </c>
      <c r="F409" s="98" t="s">
        <v>184</v>
      </c>
      <c r="G409" s="98">
        <v>12</v>
      </c>
      <c r="H409" s="98" t="str">
        <f t="shared" si="35"/>
        <v>BSS-TC-23190 TC_OBI_PM1.4_003_CH_Manual PM override_ allowed exception to Missed</v>
      </c>
      <c r="I409" s="98" t="s">
        <v>630</v>
      </c>
      <c r="J409" s="98" t="s">
        <v>20</v>
      </c>
      <c r="K409" s="98" t="s">
        <v>631</v>
      </c>
    </row>
    <row r="410" spans="2:11" x14ac:dyDescent="0.25">
      <c r="B410" s="98" t="s">
        <v>882</v>
      </c>
      <c r="C410" s="98" t="s">
        <v>183</v>
      </c>
      <c r="D410" s="98" t="s">
        <v>631</v>
      </c>
      <c r="E410" s="98" t="s">
        <v>21</v>
      </c>
      <c r="F410" s="98" t="s">
        <v>184</v>
      </c>
      <c r="G410" s="98">
        <v>13</v>
      </c>
      <c r="H410" s="98" t="str">
        <f t="shared" si="35"/>
        <v>BSS-TC-23190 TC_OBI_PM1.4_003_CH_Manual PM override_ allowed exception to Missed</v>
      </c>
      <c r="I410" s="98" t="s">
        <v>630</v>
      </c>
      <c r="J410" s="98" t="s">
        <v>22</v>
      </c>
      <c r="K410" s="98" t="s">
        <v>631</v>
      </c>
    </row>
    <row r="411" spans="2:11" x14ac:dyDescent="0.25">
      <c r="B411" s="98" t="s">
        <v>882</v>
      </c>
      <c r="C411" s="98" t="s">
        <v>183</v>
      </c>
      <c r="D411" s="98" t="s">
        <v>631</v>
      </c>
      <c r="E411" s="98" t="s">
        <v>23</v>
      </c>
      <c r="F411" s="98" t="s">
        <v>184</v>
      </c>
      <c r="G411" s="98">
        <v>14</v>
      </c>
      <c r="H411" s="98" t="str">
        <f t="shared" si="35"/>
        <v>BSS-TC-23190 TC_OBI_PM1.4_003_CH_Manual PM override_ allowed exception to Missed</v>
      </c>
      <c r="I411" s="98" t="s">
        <v>630</v>
      </c>
      <c r="J411" s="98" t="s">
        <v>41</v>
      </c>
      <c r="K411" s="98" t="s">
        <v>631</v>
      </c>
    </row>
    <row r="412" spans="2:11" x14ac:dyDescent="0.25">
      <c r="B412" s="98" t="s">
        <v>882</v>
      </c>
      <c r="C412" s="98" t="s">
        <v>183</v>
      </c>
      <c r="D412" s="98" t="s">
        <v>631</v>
      </c>
      <c r="E412" s="98" t="s">
        <v>76</v>
      </c>
      <c r="F412" s="98" t="s">
        <v>184</v>
      </c>
      <c r="G412" s="98">
        <v>15</v>
      </c>
      <c r="H412" s="98" t="str">
        <f t="shared" si="35"/>
        <v>BSS-TC-23190 TC_OBI_PM1.4_003_CH_Manual PM override_ allowed exception to Missed</v>
      </c>
      <c r="I412" s="98" t="s">
        <v>630</v>
      </c>
      <c r="J412" s="98" t="s">
        <v>44</v>
      </c>
      <c r="K412" s="98" t="s">
        <v>631</v>
      </c>
    </row>
    <row r="413" spans="2:11" x14ac:dyDescent="0.25">
      <c r="B413" s="98" t="s">
        <v>882</v>
      </c>
      <c r="C413" s="98" t="s">
        <v>183</v>
      </c>
      <c r="D413" s="98" t="s">
        <v>631</v>
      </c>
      <c r="E413" s="98" t="s">
        <v>25</v>
      </c>
      <c r="F413" s="98" t="s">
        <v>184</v>
      </c>
      <c r="G413" s="98">
        <v>16</v>
      </c>
      <c r="H413" s="98" t="str">
        <f t="shared" si="35"/>
        <v>BSS-TC-23190 TC_OBI_PM1.4_003_CH_Manual PM override_ allowed exception to Missed</v>
      </c>
      <c r="I413" s="98" t="s">
        <v>630</v>
      </c>
      <c r="J413" s="98" t="s">
        <v>27</v>
      </c>
      <c r="K413" s="98" t="s">
        <v>631</v>
      </c>
    </row>
    <row r="414" spans="2:11" x14ac:dyDescent="0.25">
      <c r="B414" s="98" t="s">
        <v>882</v>
      </c>
      <c r="C414" s="98" t="s">
        <v>183</v>
      </c>
      <c r="D414" s="98" t="s">
        <v>631</v>
      </c>
      <c r="E414" s="98" t="s">
        <v>45</v>
      </c>
      <c r="F414" s="98" t="s">
        <v>184</v>
      </c>
      <c r="G414" s="98">
        <v>17</v>
      </c>
      <c r="H414" s="98" t="str">
        <f t="shared" si="35"/>
        <v>BSS-TC-23190 TC_OBI_PM1.4_003_CH_Manual PM override_ allowed exception to Missed</v>
      </c>
      <c r="I414" s="98" t="s">
        <v>630</v>
      </c>
      <c r="J414" s="98" t="s">
        <v>42</v>
      </c>
      <c r="K414" s="98" t="s">
        <v>631</v>
      </c>
    </row>
    <row r="415" spans="2:11" x14ac:dyDescent="0.25">
      <c r="B415" s="98" t="s">
        <v>882</v>
      </c>
      <c r="C415" s="98" t="s">
        <v>183</v>
      </c>
      <c r="D415" s="98" t="s">
        <v>631</v>
      </c>
      <c r="E415" s="98" t="s">
        <v>50</v>
      </c>
      <c r="F415" s="98" t="s">
        <v>184</v>
      </c>
      <c r="G415" s="98">
        <v>18</v>
      </c>
      <c r="H415" s="98" t="str">
        <f t="shared" si="35"/>
        <v>BSS-TC-23190 TC_OBI_PM1.4_003_CH_Manual PM override_ allowed exception to Missed</v>
      </c>
      <c r="I415" s="98" t="s">
        <v>630</v>
      </c>
      <c r="J415" s="98" t="s">
        <v>51</v>
      </c>
      <c r="K415" s="98" t="s">
        <v>631</v>
      </c>
    </row>
    <row r="416" spans="2:11" x14ac:dyDescent="0.25">
      <c r="B416" s="98" t="s">
        <v>882</v>
      </c>
      <c r="C416" s="98" t="s">
        <v>183</v>
      </c>
      <c r="D416" s="98" t="s">
        <v>631</v>
      </c>
      <c r="E416" s="98" t="s">
        <v>731</v>
      </c>
      <c r="F416" s="98" t="s">
        <v>184</v>
      </c>
      <c r="G416" s="98">
        <v>19</v>
      </c>
      <c r="H416" s="98" t="str">
        <f t="shared" si="35"/>
        <v>BSS-TC-23190 TC_OBI_PM1.4_003_CH_Manual PM override_ allowed exception to Missed</v>
      </c>
      <c r="I416" s="98" t="s">
        <v>630</v>
      </c>
      <c r="J416" s="98" t="s">
        <v>732</v>
      </c>
      <c r="K416" s="98" t="s">
        <v>119</v>
      </c>
    </row>
    <row r="417" spans="2:11" x14ac:dyDescent="0.25">
      <c r="B417" s="98" t="s">
        <v>883</v>
      </c>
      <c r="C417" s="98" t="s">
        <v>188</v>
      </c>
      <c r="D417" s="98" t="s">
        <v>631</v>
      </c>
      <c r="E417" s="98" t="s">
        <v>793</v>
      </c>
      <c r="F417" s="98" t="s">
        <v>794</v>
      </c>
      <c r="G417" s="98">
        <v>1</v>
      </c>
      <c r="H417" s="98" t="str">
        <f t="shared" ref="H417:H433" si="36">HYPERLINK("http://rms/perspective.req?projectId=233&amp;docId=959421","BSS-TC-23192 TC_OBI_PM1.4_005_CH_Manual PM override_ Total to allowed exception")</f>
        <v>BSS-TC-23192 TC_OBI_PM1.4_005_CH_Manual PM override_ Total to allowed exception</v>
      </c>
      <c r="I417" s="98" t="s">
        <v>630</v>
      </c>
      <c r="J417" s="98" t="s">
        <v>631</v>
      </c>
      <c r="K417" s="98" t="s">
        <v>523</v>
      </c>
    </row>
    <row r="418" spans="2:11" x14ac:dyDescent="0.25">
      <c r="B418" s="98" t="s">
        <v>883</v>
      </c>
      <c r="C418" s="98" t="s">
        <v>188</v>
      </c>
      <c r="D418" s="98" t="s">
        <v>631</v>
      </c>
      <c r="E418" s="98" t="s">
        <v>18</v>
      </c>
      <c r="F418" s="98" t="s">
        <v>794</v>
      </c>
      <c r="G418" s="98">
        <v>2</v>
      </c>
      <c r="H418" s="98" t="str">
        <f t="shared" si="36"/>
        <v>BSS-TC-23192 TC_OBI_PM1.4_005_CH_Manual PM override_ Total to allowed exception</v>
      </c>
      <c r="I418" s="98" t="s">
        <v>630</v>
      </c>
      <c r="J418" s="98" t="s">
        <v>20</v>
      </c>
      <c r="K418" s="98" t="s">
        <v>631</v>
      </c>
    </row>
    <row r="419" spans="2:11" x14ac:dyDescent="0.25">
      <c r="B419" s="98" t="s">
        <v>883</v>
      </c>
      <c r="C419" s="98" t="s">
        <v>188</v>
      </c>
      <c r="D419" s="98" t="s">
        <v>631</v>
      </c>
      <c r="E419" s="98" t="s">
        <v>21</v>
      </c>
      <c r="F419" s="98" t="s">
        <v>794</v>
      </c>
      <c r="G419" s="98">
        <v>3</v>
      </c>
      <c r="H419" s="98" t="str">
        <f t="shared" si="36"/>
        <v>BSS-TC-23192 TC_OBI_PM1.4_005_CH_Manual PM override_ Total to allowed exception</v>
      </c>
      <c r="I419" s="98" t="s">
        <v>630</v>
      </c>
      <c r="J419" s="98" t="s">
        <v>22</v>
      </c>
      <c r="K419" s="98" t="s">
        <v>631</v>
      </c>
    </row>
    <row r="420" spans="2:11" x14ac:dyDescent="0.25">
      <c r="B420" s="98" t="s">
        <v>883</v>
      </c>
      <c r="C420" s="98" t="s">
        <v>188</v>
      </c>
      <c r="D420" s="98" t="s">
        <v>631</v>
      </c>
      <c r="E420" s="98" t="s">
        <v>155</v>
      </c>
      <c r="F420" s="98" t="s">
        <v>794</v>
      </c>
      <c r="G420" s="98">
        <v>4</v>
      </c>
      <c r="H420" s="98" t="str">
        <f t="shared" si="36"/>
        <v>BSS-TC-23192 TC_OBI_PM1.4_005_CH_Manual PM override_ Total to allowed exception</v>
      </c>
      <c r="I420" s="98" t="s">
        <v>630</v>
      </c>
      <c r="J420" s="98" t="s">
        <v>156</v>
      </c>
      <c r="K420" s="98" t="s">
        <v>631</v>
      </c>
    </row>
    <row r="421" spans="2:11" x14ac:dyDescent="0.25">
      <c r="B421" s="98" t="s">
        <v>883</v>
      </c>
      <c r="C421" s="98" t="s">
        <v>188</v>
      </c>
      <c r="D421" s="98" t="s">
        <v>631</v>
      </c>
      <c r="E421" s="98" t="s">
        <v>169</v>
      </c>
      <c r="F421" s="98" t="s">
        <v>794</v>
      </c>
      <c r="G421" s="98">
        <v>5</v>
      </c>
      <c r="H421" s="98" t="str">
        <f t="shared" si="36"/>
        <v>BSS-TC-23192 TC_OBI_PM1.4_005_CH_Manual PM override_ Total to allowed exception</v>
      </c>
      <c r="I421" s="98" t="s">
        <v>630</v>
      </c>
      <c r="J421" s="98" t="s">
        <v>170</v>
      </c>
      <c r="K421" s="98" t="s">
        <v>631</v>
      </c>
    </row>
    <row r="422" spans="2:11" x14ac:dyDescent="0.25">
      <c r="B422" s="98" t="s">
        <v>883</v>
      </c>
      <c r="C422" s="98" t="s">
        <v>188</v>
      </c>
      <c r="D422" s="98" t="s">
        <v>631</v>
      </c>
      <c r="E422" s="98" t="s">
        <v>171</v>
      </c>
      <c r="F422" s="98" t="s">
        <v>794</v>
      </c>
      <c r="G422" s="98">
        <v>6</v>
      </c>
      <c r="H422" s="98" t="str">
        <f t="shared" si="36"/>
        <v>BSS-TC-23192 TC_OBI_PM1.4_005_CH_Manual PM override_ Total to allowed exception</v>
      </c>
      <c r="I422" s="98" t="s">
        <v>630</v>
      </c>
      <c r="J422" s="98" t="s">
        <v>172</v>
      </c>
      <c r="K422" s="98" t="s">
        <v>631</v>
      </c>
    </row>
    <row r="423" spans="2:11" x14ac:dyDescent="0.25">
      <c r="B423" s="98" t="s">
        <v>883</v>
      </c>
      <c r="C423" s="98" t="s">
        <v>188</v>
      </c>
      <c r="D423" s="98" t="s">
        <v>631</v>
      </c>
      <c r="E423" s="98" t="s">
        <v>45</v>
      </c>
      <c r="F423" s="98" t="s">
        <v>794</v>
      </c>
      <c r="G423" s="98">
        <v>7</v>
      </c>
      <c r="H423" s="98" t="str">
        <f t="shared" si="36"/>
        <v>BSS-TC-23192 TC_OBI_PM1.4_005_CH_Manual PM override_ Total to allowed exception</v>
      </c>
      <c r="I423" s="98" t="s">
        <v>630</v>
      </c>
      <c r="J423" s="98" t="s">
        <v>42</v>
      </c>
      <c r="K423" s="98" t="s">
        <v>631</v>
      </c>
    </row>
    <row r="424" spans="2:11" x14ac:dyDescent="0.25">
      <c r="B424" s="98" t="s">
        <v>883</v>
      </c>
      <c r="C424" s="98" t="s">
        <v>188</v>
      </c>
      <c r="D424" s="98" t="s">
        <v>631</v>
      </c>
      <c r="E424" s="98" t="s">
        <v>568</v>
      </c>
      <c r="F424" s="98" t="s">
        <v>794</v>
      </c>
      <c r="G424" s="98">
        <v>8</v>
      </c>
      <c r="H424" s="98" t="str">
        <f t="shared" si="36"/>
        <v>BSS-TC-23192 TC_OBI_PM1.4_005_CH_Manual PM override_ Total to allowed exception</v>
      </c>
      <c r="I424" s="98" t="s">
        <v>630</v>
      </c>
      <c r="J424" s="98" t="s">
        <v>795</v>
      </c>
      <c r="K424" s="98" t="s">
        <v>78</v>
      </c>
    </row>
    <row r="425" spans="2:11" x14ac:dyDescent="0.25">
      <c r="B425" s="98" t="s">
        <v>883</v>
      </c>
      <c r="C425" s="98" t="s">
        <v>188</v>
      </c>
      <c r="D425" s="98" t="s">
        <v>631</v>
      </c>
      <c r="E425" s="98" t="s">
        <v>551</v>
      </c>
      <c r="F425" s="98" t="s">
        <v>794</v>
      </c>
      <c r="G425" s="98">
        <v>9</v>
      </c>
      <c r="H425" s="98" t="str">
        <f t="shared" si="36"/>
        <v>BSS-TC-23192 TC_OBI_PM1.4_005_CH_Manual PM override_ Total to allowed exception</v>
      </c>
      <c r="I425" s="98" t="s">
        <v>630</v>
      </c>
      <c r="J425" s="98" t="s">
        <v>157</v>
      </c>
      <c r="K425" s="98" t="s">
        <v>631</v>
      </c>
    </row>
    <row r="426" spans="2:11" x14ac:dyDescent="0.25">
      <c r="B426" s="98" t="s">
        <v>883</v>
      </c>
      <c r="C426" s="98" t="s">
        <v>188</v>
      </c>
      <c r="D426" s="98" t="s">
        <v>631</v>
      </c>
      <c r="E426" s="98" t="s">
        <v>190</v>
      </c>
      <c r="F426" s="98" t="s">
        <v>794</v>
      </c>
      <c r="G426" s="98">
        <v>10</v>
      </c>
      <c r="H426" s="98" t="str">
        <f t="shared" si="36"/>
        <v>BSS-TC-23192 TC_OBI_PM1.4_005_CH_Manual PM override_ Total to allowed exception</v>
      </c>
      <c r="I426" s="98" t="s">
        <v>630</v>
      </c>
      <c r="J426" s="98" t="s">
        <v>631</v>
      </c>
      <c r="K426" s="98" t="s">
        <v>159</v>
      </c>
    </row>
    <row r="427" spans="2:11" x14ac:dyDescent="0.25">
      <c r="B427" s="98" t="s">
        <v>883</v>
      </c>
      <c r="C427" s="98" t="s">
        <v>188</v>
      </c>
      <c r="D427" s="98" t="s">
        <v>631</v>
      </c>
      <c r="E427" s="98" t="s">
        <v>18</v>
      </c>
      <c r="F427" s="98" t="s">
        <v>794</v>
      </c>
      <c r="G427" s="98">
        <v>11</v>
      </c>
      <c r="H427" s="98" t="str">
        <f t="shared" si="36"/>
        <v>BSS-TC-23192 TC_OBI_PM1.4_005_CH_Manual PM override_ Total to allowed exception</v>
      </c>
      <c r="I427" s="98" t="s">
        <v>630</v>
      </c>
      <c r="J427" s="98" t="s">
        <v>20</v>
      </c>
      <c r="K427" s="98" t="s">
        <v>631</v>
      </c>
    </row>
    <row r="428" spans="2:11" x14ac:dyDescent="0.25">
      <c r="B428" s="98" t="s">
        <v>883</v>
      </c>
      <c r="C428" s="98" t="s">
        <v>188</v>
      </c>
      <c r="D428" s="98" t="s">
        <v>631</v>
      </c>
      <c r="E428" s="98" t="s">
        <v>21</v>
      </c>
      <c r="F428" s="98" t="s">
        <v>794</v>
      </c>
      <c r="G428" s="98">
        <v>12</v>
      </c>
      <c r="H428" s="98" t="str">
        <f t="shared" si="36"/>
        <v>BSS-TC-23192 TC_OBI_PM1.4_005_CH_Manual PM override_ Total to allowed exception</v>
      </c>
      <c r="I428" s="98" t="s">
        <v>630</v>
      </c>
      <c r="J428" s="98" t="s">
        <v>22</v>
      </c>
      <c r="K428" s="98" t="s">
        <v>631</v>
      </c>
    </row>
    <row r="429" spans="2:11" x14ac:dyDescent="0.25">
      <c r="B429" s="98" t="s">
        <v>883</v>
      </c>
      <c r="C429" s="98" t="s">
        <v>188</v>
      </c>
      <c r="D429" s="98" t="s">
        <v>631</v>
      </c>
      <c r="E429" s="98" t="s">
        <v>23</v>
      </c>
      <c r="F429" s="98" t="s">
        <v>794</v>
      </c>
      <c r="G429" s="98">
        <v>13</v>
      </c>
      <c r="H429" s="98" t="str">
        <f t="shared" si="36"/>
        <v>BSS-TC-23192 TC_OBI_PM1.4_005_CH_Manual PM override_ Total to allowed exception</v>
      </c>
      <c r="I429" s="98" t="s">
        <v>630</v>
      </c>
      <c r="J429" s="98" t="s">
        <v>41</v>
      </c>
      <c r="K429" s="98" t="s">
        <v>631</v>
      </c>
    </row>
    <row r="430" spans="2:11" x14ac:dyDescent="0.25">
      <c r="B430" s="98" t="s">
        <v>883</v>
      </c>
      <c r="C430" s="98" t="s">
        <v>188</v>
      </c>
      <c r="D430" s="98" t="s">
        <v>631</v>
      </c>
      <c r="E430" s="98" t="s">
        <v>76</v>
      </c>
      <c r="F430" s="98" t="s">
        <v>794</v>
      </c>
      <c r="G430" s="98">
        <v>14</v>
      </c>
      <c r="H430" s="98" t="str">
        <f t="shared" si="36"/>
        <v>BSS-TC-23192 TC_OBI_PM1.4_005_CH_Manual PM override_ Total to allowed exception</v>
      </c>
      <c r="I430" s="98" t="s">
        <v>630</v>
      </c>
      <c r="J430" s="98" t="s">
        <v>44</v>
      </c>
      <c r="K430" s="98" t="s">
        <v>631</v>
      </c>
    </row>
    <row r="431" spans="2:11" x14ac:dyDescent="0.25">
      <c r="B431" s="98" t="s">
        <v>883</v>
      </c>
      <c r="C431" s="98" t="s">
        <v>188</v>
      </c>
      <c r="D431" s="98" t="s">
        <v>631</v>
      </c>
      <c r="E431" s="98" t="s">
        <v>25</v>
      </c>
      <c r="F431" s="98" t="s">
        <v>794</v>
      </c>
      <c r="G431" s="98">
        <v>15</v>
      </c>
      <c r="H431" s="98" t="str">
        <f t="shared" si="36"/>
        <v>BSS-TC-23192 TC_OBI_PM1.4_005_CH_Manual PM override_ Total to allowed exception</v>
      </c>
      <c r="I431" s="98" t="s">
        <v>630</v>
      </c>
      <c r="J431" s="98" t="s">
        <v>27</v>
      </c>
      <c r="K431" s="98" t="s">
        <v>631</v>
      </c>
    </row>
    <row r="432" spans="2:11" x14ac:dyDescent="0.25">
      <c r="B432" s="98" t="s">
        <v>883</v>
      </c>
      <c r="C432" s="98" t="s">
        <v>188</v>
      </c>
      <c r="D432" s="98" t="s">
        <v>631</v>
      </c>
      <c r="E432" s="98" t="s">
        <v>45</v>
      </c>
      <c r="F432" s="98" t="s">
        <v>794</v>
      </c>
      <c r="G432" s="98">
        <v>16</v>
      </c>
      <c r="H432" s="98" t="str">
        <f t="shared" si="36"/>
        <v>BSS-TC-23192 TC_OBI_PM1.4_005_CH_Manual PM override_ Total to allowed exception</v>
      </c>
      <c r="I432" s="98" t="s">
        <v>630</v>
      </c>
      <c r="J432" s="98" t="s">
        <v>42</v>
      </c>
      <c r="K432" s="98" t="s">
        <v>631</v>
      </c>
    </row>
    <row r="433" spans="2:11" x14ac:dyDescent="0.25">
      <c r="B433" s="98" t="s">
        <v>883</v>
      </c>
      <c r="C433" s="98" t="s">
        <v>188</v>
      </c>
      <c r="D433" s="98" t="s">
        <v>631</v>
      </c>
      <c r="E433" s="98" t="s">
        <v>568</v>
      </c>
      <c r="F433" s="98" t="s">
        <v>794</v>
      </c>
      <c r="G433" s="98">
        <v>17</v>
      </c>
      <c r="H433" s="98" t="str">
        <f t="shared" si="36"/>
        <v>BSS-TC-23192 TC_OBI_PM1.4_005_CH_Manual PM override_ Total to allowed exception</v>
      </c>
      <c r="I433" s="98" t="s">
        <v>630</v>
      </c>
      <c r="J433" s="98" t="s">
        <v>796</v>
      </c>
      <c r="K433" s="98" t="s">
        <v>631</v>
      </c>
    </row>
    <row r="434" spans="2:11" x14ac:dyDescent="0.25">
      <c r="B434" s="98" t="s">
        <v>884</v>
      </c>
      <c r="C434" s="98" t="s">
        <v>198</v>
      </c>
      <c r="D434" s="98" t="s">
        <v>631</v>
      </c>
      <c r="E434" s="98" t="s">
        <v>797</v>
      </c>
      <c r="F434" s="98" t="s">
        <v>798</v>
      </c>
      <c r="G434" s="98">
        <v>1</v>
      </c>
      <c r="H434" s="98" t="str">
        <f t="shared" ref="H434:H453" si="37">HYPERLINK("http://rms/perspective.req?projectId=233&amp;docId=959423","BSS-TC-23194 TC_OBI_PM1.4_006_CH_Manual PM override_ Same CH Override _current month")</f>
        <v>BSS-TC-23194 TC_OBI_PM1.4_006_CH_Manual PM override_ Same CH Override _current month</v>
      </c>
      <c r="I434" s="98" t="s">
        <v>630</v>
      </c>
      <c r="J434" s="98" t="s">
        <v>631</v>
      </c>
      <c r="K434" s="98" t="s">
        <v>523</v>
      </c>
    </row>
    <row r="435" spans="2:11" x14ac:dyDescent="0.25">
      <c r="B435" s="98" t="s">
        <v>884</v>
      </c>
      <c r="C435" s="98" t="s">
        <v>198</v>
      </c>
      <c r="D435" s="98" t="s">
        <v>631</v>
      </c>
      <c r="E435" s="98" t="s">
        <v>18</v>
      </c>
      <c r="F435" s="98" t="s">
        <v>798</v>
      </c>
      <c r="G435" s="98">
        <v>2</v>
      </c>
      <c r="H435" s="98" t="str">
        <f t="shared" si="37"/>
        <v>BSS-TC-23194 TC_OBI_PM1.4_006_CH_Manual PM override_ Same CH Override _current month</v>
      </c>
      <c r="I435" s="98" t="s">
        <v>630</v>
      </c>
      <c r="J435" s="98" t="s">
        <v>20</v>
      </c>
      <c r="K435" s="98" t="s">
        <v>631</v>
      </c>
    </row>
    <row r="436" spans="2:11" x14ac:dyDescent="0.25">
      <c r="B436" s="98" t="s">
        <v>884</v>
      </c>
      <c r="C436" s="98" t="s">
        <v>198</v>
      </c>
      <c r="D436" s="98" t="s">
        <v>631</v>
      </c>
      <c r="E436" s="98" t="s">
        <v>21</v>
      </c>
      <c r="F436" s="98" t="s">
        <v>798</v>
      </c>
      <c r="G436" s="98">
        <v>3</v>
      </c>
      <c r="H436" s="98" t="str">
        <f t="shared" si="37"/>
        <v>BSS-TC-23194 TC_OBI_PM1.4_006_CH_Manual PM override_ Same CH Override _current month</v>
      </c>
      <c r="I436" s="98" t="s">
        <v>630</v>
      </c>
      <c r="J436" s="98" t="s">
        <v>22</v>
      </c>
      <c r="K436" s="98" t="s">
        <v>631</v>
      </c>
    </row>
    <row r="437" spans="2:11" x14ac:dyDescent="0.25">
      <c r="B437" s="98" t="s">
        <v>884</v>
      </c>
      <c r="C437" s="98" t="s">
        <v>198</v>
      </c>
      <c r="D437" s="98" t="s">
        <v>631</v>
      </c>
      <c r="E437" s="98" t="s">
        <v>155</v>
      </c>
      <c r="F437" s="98" t="s">
        <v>798</v>
      </c>
      <c r="G437" s="98">
        <v>4</v>
      </c>
      <c r="H437" s="98" t="str">
        <f t="shared" si="37"/>
        <v>BSS-TC-23194 TC_OBI_PM1.4_006_CH_Manual PM override_ Same CH Override _current month</v>
      </c>
      <c r="I437" s="98" t="s">
        <v>630</v>
      </c>
      <c r="J437" s="98" t="s">
        <v>156</v>
      </c>
      <c r="K437" s="98" t="s">
        <v>631</v>
      </c>
    </row>
    <row r="438" spans="2:11" x14ac:dyDescent="0.25">
      <c r="B438" s="98" t="s">
        <v>884</v>
      </c>
      <c r="C438" s="98" t="s">
        <v>198</v>
      </c>
      <c r="D438" s="98" t="s">
        <v>631</v>
      </c>
      <c r="E438" s="98" t="s">
        <v>169</v>
      </c>
      <c r="F438" s="98" t="s">
        <v>798</v>
      </c>
      <c r="G438" s="98">
        <v>5</v>
      </c>
      <c r="H438" s="98" t="str">
        <f t="shared" si="37"/>
        <v>BSS-TC-23194 TC_OBI_PM1.4_006_CH_Manual PM override_ Same CH Override _current month</v>
      </c>
      <c r="I438" s="98" t="s">
        <v>630</v>
      </c>
      <c r="J438" s="98" t="s">
        <v>170</v>
      </c>
      <c r="K438" s="98" t="s">
        <v>631</v>
      </c>
    </row>
    <row r="439" spans="2:11" x14ac:dyDescent="0.25">
      <c r="B439" s="98" t="s">
        <v>884</v>
      </c>
      <c r="C439" s="98" t="s">
        <v>198</v>
      </c>
      <c r="D439" s="98" t="s">
        <v>631</v>
      </c>
      <c r="E439" s="98" t="s">
        <v>171</v>
      </c>
      <c r="F439" s="98" t="s">
        <v>798</v>
      </c>
      <c r="G439" s="98">
        <v>6</v>
      </c>
      <c r="H439" s="98" t="str">
        <f t="shared" si="37"/>
        <v>BSS-TC-23194 TC_OBI_PM1.4_006_CH_Manual PM override_ Same CH Override _current month</v>
      </c>
      <c r="I439" s="98" t="s">
        <v>630</v>
      </c>
      <c r="J439" s="98" t="s">
        <v>172</v>
      </c>
      <c r="K439" s="98" t="s">
        <v>631</v>
      </c>
    </row>
    <row r="440" spans="2:11" x14ac:dyDescent="0.25">
      <c r="B440" s="98" t="s">
        <v>884</v>
      </c>
      <c r="C440" s="98" t="s">
        <v>198</v>
      </c>
      <c r="D440" s="98" t="s">
        <v>631</v>
      </c>
      <c r="E440" s="98" t="s">
        <v>174</v>
      </c>
      <c r="F440" s="98" t="s">
        <v>798</v>
      </c>
      <c r="G440" s="98">
        <v>7</v>
      </c>
      <c r="H440" s="98" t="str">
        <f t="shared" si="37"/>
        <v>BSS-TC-23194 TC_OBI_PM1.4_006_CH_Manual PM override_ Same CH Override _current month</v>
      </c>
      <c r="I440" s="98" t="s">
        <v>630</v>
      </c>
      <c r="J440" s="98" t="s">
        <v>175</v>
      </c>
      <c r="K440" s="98" t="s">
        <v>631</v>
      </c>
    </row>
    <row r="441" spans="2:11" x14ac:dyDescent="0.25">
      <c r="B441" s="98" t="s">
        <v>884</v>
      </c>
      <c r="C441" s="98" t="s">
        <v>198</v>
      </c>
      <c r="D441" s="98" t="s">
        <v>631</v>
      </c>
      <c r="E441" s="98" t="s">
        <v>750</v>
      </c>
      <c r="F441" s="98" t="s">
        <v>798</v>
      </c>
      <c r="G441" s="98">
        <v>8</v>
      </c>
      <c r="H441" s="98" t="str">
        <f t="shared" si="37"/>
        <v>BSS-TC-23194 TC_OBI_PM1.4_006_CH_Manual PM override_ Same CH Override _current month</v>
      </c>
      <c r="I441" s="98" t="s">
        <v>630</v>
      </c>
      <c r="J441" s="98" t="s">
        <v>751</v>
      </c>
      <c r="K441" s="98" t="s">
        <v>78</v>
      </c>
    </row>
    <row r="442" spans="2:11" x14ac:dyDescent="0.25">
      <c r="B442" s="98" t="s">
        <v>884</v>
      </c>
      <c r="C442" s="98" t="s">
        <v>198</v>
      </c>
      <c r="D442" s="98" t="s">
        <v>631</v>
      </c>
      <c r="E442" s="98" t="s">
        <v>50</v>
      </c>
      <c r="F442" s="98" t="s">
        <v>798</v>
      </c>
      <c r="G442" s="98">
        <v>9</v>
      </c>
      <c r="H442" s="98" t="str">
        <f t="shared" si="37"/>
        <v>BSS-TC-23194 TC_OBI_PM1.4_006_CH_Manual PM override_ Same CH Override _current month</v>
      </c>
      <c r="I442" s="98" t="s">
        <v>630</v>
      </c>
      <c r="J442" s="98" t="s">
        <v>51</v>
      </c>
      <c r="K442" s="98" t="s">
        <v>631</v>
      </c>
    </row>
    <row r="443" spans="2:11" x14ac:dyDescent="0.25">
      <c r="B443" s="98" t="s">
        <v>884</v>
      </c>
      <c r="C443" s="98" t="s">
        <v>198</v>
      </c>
      <c r="D443" s="98" t="s">
        <v>631</v>
      </c>
      <c r="E443" s="98" t="s">
        <v>731</v>
      </c>
      <c r="F443" s="98" t="s">
        <v>798</v>
      </c>
      <c r="G443" s="98">
        <v>10</v>
      </c>
      <c r="H443" s="98" t="str">
        <f t="shared" si="37"/>
        <v>BSS-TC-23194 TC_OBI_PM1.4_006_CH_Manual PM override_ Same CH Override _current month</v>
      </c>
      <c r="I443" s="98" t="s">
        <v>630</v>
      </c>
      <c r="J443" s="98" t="s">
        <v>732</v>
      </c>
      <c r="K443" s="98" t="s">
        <v>119</v>
      </c>
    </row>
    <row r="444" spans="2:11" x14ac:dyDescent="0.25">
      <c r="B444" s="98" t="s">
        <v>884</v>
      </c>
      <c r="C444" s="98" t="s">
        <v>198</v>
      </c>
      <c r="D444" s="98" t="s">
        <v>631</v>
      </c>
      <c r="E444" s="98" t="s">
        <v>799</v>
      </c>
      <c r="F444" s="98" t="s">
        <v>798</v>
      </c>
      <c r="G444" s="98">
        <v>11</v>
      </c>
      <c r="H444" s="98" t="str">
        <f t="shared" si="37"/>
        <v>BSS-TC-23194 TC_OBI_PM1.4_006_CH_Manual PM override_ Same CH Override _current month</v>
      </c>
      <c r="I444" s="98" t="s">
        <v>630</v>
      </c>
      <c r="J444" s="98" t="s">
        <v>157</v>
      </c>
      <c r="K444" s="98" t="s">
        <v>631</v>
      </c>
    </row>
    <row r="445" spans="2:11" x14ac:dyDescent="0.25">
      <c r="B445" s="98" t="s">
        <v>884</v>
      </c>
      <c r="C445" s="98" t="s">
        <v>198</v>
      </c>
      <c r="D445" s="98" t="s">
        <v>631</v>
      </c>
      <c r="E445" s="98" t="s">
        <v>800</v>
      </c>
      <c r="F445" s="98" t="s">
        <v>798</v>
      </c>
      <c r="G445" s="98">
        <v>12</v>
      </c>
      <c r="H445" s="98" t="str">
        <f t="shared" si="37"/>
        <v>BSS-TC-23194 TC_OBI_PM1.4_006_CH_Manual PM override_ Same CH Override _current month</v>
      </c>
      <c r="I445" s="98" t="s">
        <v>630</v>
      </c>
      <c r="J445" s="98" t="s">
        <v>631</v>
      </c>
      <c r="K445" s="98" t="s">
        <v>159</v>
      </c>
    </row>
    <row r="446" spans="2:11" x14ac:dyDescent="0.25">
      <c r="B446" s="98" t="s">
        <v>884</v>
      </c>
      <c r="C446" s="98" t="s">
        <v>198</v>
      </c>
      <c r="D446" s="98" t="s">
        <v>631</v>
      </c>
      <c r="E446" s="98" t="s">
        <v>18</v>
      </c>
      <c r="F446" s="98" t="s">
        <v>798</v>
      </c>
      <c r="G446" s="98">
        <v>13</v>
      </c>
      <c r="H446" s="98" t="str">
        <f t="shared" si="37"/>
        <v>BSS-TC-23194 TC_OBI_PM1.4_006_CH_Manual PM override_ Same CH Override _current month</v>
      </c>
      <c r="I446" s="98" t="s">
        <v>630</v>
      </c>
      <c r="J446" s="98" t="s">
        <v>20</v>
      </c>
      <c r="K446" s="98" t="s">
        <v>631</v>
      </c>
    </row>
    <row r="447" spans="2:11" x14ac:dyDescent="0.25">
      <c r="B447" s="98" t="s">
        <v>884</v>
      </c>
      <c r="C447" s="98" t="s">
        <v>198</v>
      </c>
      <c r="D447" s="98" t="s">
        <v>631</v>
      </c>
      <c r="E447" s="98" t="s">
        <v>21</v>
      </c>
      <c r="F447" s="98" t="s">
        <v>798</v>
      </c>
      <c r="G447" s="98">
        <v>14</v>
      </c>
      <c r="H447" s="98" t="str">
        <f t="shared" si="37"/>
        <v>BSS-TC-23194 TC_OBI_PM1.4_006_CH_Manual PM override_ Same CH Override _current month</v>
      </c>
      <c r="I447" s="98" t="s">
        <v>630</v>
      </c>
      <c r="J447" s="98" t="s">
        <v>22</v>
      </c>
      <c r="K447" s="98" t="s">
        <v>631</v>
      </c>
    </row>
    <row r="448" spans="2:11" x14ac:dyDescent="0.25">
      <c r="B448" s="98" t="s">
        <v>884</v>
      </c>
      <c r="C448" s="98" t="s">
        <v>198</v>
      </c>
      <c r="D448" s="98" t="s">
        <v>631</v>
      </c>
      <c r="E448" s="98" t="s">
        <v>23</v>
      </c>
      <c r="F448" s="98" t="s">
        <v>798</v>
      </c>
      <c r="G448" s="98">
        <v>15</v>
      </c>
      <c r="H448" s="98" t="str">
        <f t="shared" si="37"/>
        <v>BSS-TC-23194 TC_OBI_PM1.4_006_CH_Manual PM override_ Same CH Override _current month</v>
      </c>
      <c r="I448" s="98" t="s">
        <v>630</v>
      </c>
      <c r="J448" s="98" t="s">
        <v>41</v>
      </c>
      <c r="K448" s="98" t="s">
        <v>631</v>
      </c>
    </row>
    <row r="449" spans="2:11" x14ac:dyDescent="0.25">
      <c r="B449" s="98" t="s">
        <v>884</v>
      </c>
      <c r="C449" s="98" t="s">
        <v>198</v>
      </c>
      <c r="D449" s="98" t="s">
        <v>631</v>
      </c>
      <c r="E449" s="98" t="s">
        <v>76</v>
      </c>
      <c r="F449" s="98" t="s">
        <v>798</v>
      </c>
      <c r="G449" s="98">
        <v>16</v>
      </c>
      <c r="H449" s="98" t="str">
        <f t="shared" si="37"/>
        <v>BSS-TC-23194 TC_OBI_PM1.4_006_CH_Manual PM override_ Same CH Override _current month</v>
      </c>
      <c r="I449" s="98" t="s">
        <v>630</v>
      </c>
      <c r="J449" s="98" t="s">
        <v>44</v>
      </c>
      <c r="K449" s="98" t="s">
        <v>631</v>
      </c>
    </row>
    <row r="450" spans="2:11" x14ac:dyDescent="0.25">
      <c r="B450" s="98" t="s">
        <v>884</v>
      </c>
      <c r="C450" s="98" t="s">
        <v>198</v>
      </c>
      <c r="D450" s="98" t="s">
        <v>631</v>
      </c>
      <c r="E450" s="98" t="s">
        <v>25</v>
      </c>
      <c r="F450" s="98" t="s">
        <v>798</v>
      </c>
      <c r="G450" s="98">
        <v>17</v>
      </c>
      <c r="H450" s="98" t="str">
        <f t="shared" si="37"/>
        <v>BSS-TC-23194 TC_OBI_PM1.4_006_CH_Manual PM override_ Same CH Override _current month</v>
      </c>
      <c r="I450" s="98" t="s">
        <v>630</v>
      </c>
      <c r="J450" s="98" t="s">
        <v>27</v>
      </c>
      <c r="K450" s="98" t="s">
        <v>631</v>
      </c>
    </row>
    <row r="451" spans="2:11" x14ac:dyDescent="0.25">
      <c r="B451" s="98" t="s">
        <v>884</v>
      </c>
      <c r="C451" s="98" t="s">
        <v>198</v>
      </c>
      <c r="D451" s="98" t="s">
        <v>631</v>
      </c>
      <c r="E451" s="98" t="s">
        <v>45</v>
      </c>
      <c r="F451" s="98" t="s">
        <v>798</v>
      </c>
      <c r="G451" s="98">
        <v>18</v>
      </c>
      <c r="H451" s="98" t="str">
        <f t="shared" si="37"/>
        <v>BSS-TC-23194 TC_OBI_PM1.4_006_CH_Manual PM override_ Same CH Override _current month</v>
      </c>
      <c r="I451" s="98" t="s">
        <v>630</v>
      </c>
      <c r="J451" s="98" t="s">
        <v>42</v>
      </c>
      <c r="K451" s="98" t="s">
        <v>631</v>
      </c>
    </row>
    <row r="452" spans="2:11" x14ac:dyDescent="0.25">
      <c r="B452" s="98" t="s">
        <v>884</v>
      </c>
      <c r="C452" s="98" t="s">
        <v>198</v>
      </c>
      <c r="D452" s="98" t="s">
        <v>631</v>
      </c>
      <c r="E452" s="98" t="s">
        <v>164</v>
      </c>
      <c r="F452" s="98" t="s">
        <v>798</v>
      </c>
      <c r="G452" s="98">
        <v>19</v>
      </c>
      <c r="H452" s="98" t="str">
        <f t="shared" si="37"/>
        <v>BSS-TC-23194 TC_OBI_PM1.4_006_CH_Manual PM override_ Same CH Override _current month</v>
      </c>
      <c r="I452" s="98" t="s">
        <v>630</v>
      </c>
      <c r="J452" s="98" t="s">
        <v>195</v>
      </c>
      <c r="K452" s="98" t="s">
        <v>631</v>
      </c>
    </row>
    <row r="453" spans="2:11" x14ac:dyDescent="0.25">
      <c r="B453" s="98" t="s">
        <v>884</v>
      </c>
      <c r="C453" s="98" t="s">
        <v>198</v>
      </c>
      <c r="D453" s="98" t="s">
        <v>631</v>
      </c>
      <c r="E453" s="98" t="s">
        <v>789</v>
      </c>
      <c r="F453" s="98" t="s">
        <v>798</v>
      </c>
      <c r="G453" s="98">
        <v>20</v>
      </c>
      <c r="H453" s="98" t="str">
        <f t="shared" si="37"/>
        <v>BSS-TC-23194 TC_OBI_PM1.4_006_CH_Manual PM override_ Same CH Override _current month</v>
      </c>
      <c r="I453" s="98" t="s">
        <v>630</v>
      </c>
      <c r="J453" s="98" t="s">
        <v>173</v>
      </c>
      <c r="K453" s="98" t="s">
        <v>166</v>
      </c>
    </row>
    <row r="454" spans="2:11" x14ac:dyDescent="0.25">
      <c r="B454" s="98" t="s">
        <v>885</v>
      </c>
      <c r="C454" s="98" t="s">
        <v>204</v>
      </c>
      <c r="D454" s="98" t="s">
        <v>631</v>
      </c>
      <c r="E454" s="98" t="s">
        <v>801</v>
      </c>
      <c r="F454" s="98" t="s">
        <v>524</v>
      </c>
      <c r="G454" s="98">
        <v>1</v>
      </c>
      <c r="H454" s="98" t="str">
        <f t="shared" ref="H454:H463" si="38">HYPERLINK("http://rms/perspective.req?projectId=233&amp;docId=959424","BSS-TC-23195 TC_OBI_PM1.4_007_CH_Manual override_flag 2 ")</f>
        <v xml:space="preserve">BSS-TC-23195 TC_OBI_PM1.4_007_CH_Manual override_flag 2 </v>
      </c>
      <c r="I454" s="98" t="s">
        <v>630</v>
      </c>
      <c r="J454" s="98" t="s">
        <v>631</v>
      </c>
      <c r="K454" s="98" t="s">
        <v>523</v>
      </c>
    </row>
    <row r="455" spans="2:11" x14ac:dyDescent="0.25">
      <c r="B455" s="98" t="s">
        <v>885</v>
      </c>
      <c r="C455" s="98" t="s">
        <v>204</v>
      </c>
      <c r="D455" s="98" t="s">
        <v>631</v>
      </c>
      <c r="E455" s="98" t="s">
        <v>18</v>
      </c>
      <c r="F455" s="98" t="s">
        <v>524</v>
      </c>
      <c r="G455" s="98">
        <v>2</v>
      </c>
      <c r="H455" s="98" t="str">
        <f t="shared" si="38"/>
        <v xml:space="preserve">BSS-TC-23195 TC_OBI_PM1.4_007_CH_Manual override_flag 2 </v>
      </c>
      <c r="I455" s="98" t="s">
        <v>630</v>
      </c>
      <c r="J455" s="98" t="s">
        <v>20</v>
      </c>
      <c r="K455" s="98" t="s">
        <v>631</v>
      </c>
    </row>
    <row r="456" spans="2:11" x14ac:dyDescent="0.25">
      <c r="B456" s="98" t="s">
        <v>885</v>
      </c>
      <c r="C456" s="98" t="s">
        <v>204</v>
      </c>
      <c r="D456" s="98" t="s">
        <v>631</v>
      </c>
      <c r="E456" s="98" t="s">
        <v>21</v>
      </c>
      <c r="F456" s="98" t="s">
        <v>524</v>
      </c>
      <c r="G456" s="98">
        <v>3</v>
      </c>
      <c r="H456" s="98" t="str">
        <f t="shared" si="38"/>
        <v xml:space="preserve">BSS-TC-23195 TC_OBI_PM1.4_007_CH_Manual override_flag 2 </v>
      </c>
      <c r="I456" s="98" t="s">
        <v>630</v>
      </c>
      <c r="J456" s="98" t="s">
        <v>22</v>
      </c>
      <c r="K456" s="98" t="s">
        <v>631</v>
      </c>
    </row>
    <row r="457" spans="2:11" x14ac:dyDescent="0.25">
      <c r="B457" s="98" t="s">
        <v>885</v>
      </c>
      <c r="C457" s="98" t="s">
        <v>204</v>
      </c>
      <c r="D457" s="98" t="s">
        <v>631</v>
      </c>
      <c r="E457" s="98" t="s">
        <v>155</v>
      </c>
      <c r="F457" s="98" t="s">
        <v>524</v>
      </c>
      <c r="G457" s="98">
        <v>4</v>
      </c>
      <c r="H457" s="98" t="str">
        <f t="shared" si="38"/>
        <v xml:space="preserve">BSS-TC-23195 TC_OBI_PM1.4_007_CH_Manual override_flag 2 </v>
      </c>
      <c r="I457" s="98" t="s">
        <v>630</v>
      </c>
      <c r="J457" s="98" t="s">
        <v>156</v>
      </c>
      <c r="K457" s="98" t="s">
        <v>631</v>
      </c>
    </row>
    <row r="458" spans="2:11" x14ac:dyDescent="0.25">
      <c r="B458" s="98" t="s">
        <v>885</v>
      </c>
      <c r="C458" s="98" t="s">
        <v>204</v>
      </c>
      <c r="D458" s="98" t="s">
        <v>631</v>
      </c>
      <c r="E458" s="98" t="s">
        <v>169</v>
      </c>
      <c r="F458" s="98" t="s">
        <v>524</v>
      </c>
      <c r="G458" s="98">
        <v>5</v>
      </c>
      <c r="H458" s="98" t="str">
        <f t="shared" si="38"/>
        <v xml:space="preserve">BSS-TC-23195 TC_OBI_PM1.4_007_CH_Manual override_flag 2 </v>
      </c>
      <c r="I458" s="98" t="s">
        <v>630</v>
      </c>
      <c r="J458" s="98" t="s">
        <v>170</v>
      </c>
      <c r="K458" s="98" t="s">
        <v>631</v>
      </c>
    </row>
    <row r="459" spans="2:11" x14ac:dyDescent="0.25">
      <c r="B459" s="98" t="s">
        <v>885</v>
      </c>
      <c r="C459" s="98" t="s">
        <v>204</v>
      </c>
      <c r="D459" s="98" t="s">
        <v>631</v>
      </c>
      <c r="E459" s="98" t="s">
        <v>171</v>
      </c>
      <c r="F459" s="98" t="s">
        <v>524</v>
      </c>
      <c r="G459" s="98">
        <v>6</v>
      </c>
      <c r="H459" s="98" t="str">
        <f t="shared" si="38"/>
        <v xml:space="preserve">BSS-TC-23195 TC_OBI_PM1.4_007_CH_Manual override_flag 2 </v>
      </c>
      <c r="I459" s="98" t="s">
        <v>630</v>
      </c>
      <c r="J459" s="98" t="s">
        <v>172</v>
      </c>
      <c r="K459" s="98" t="s">
        <v>631</v>
      </c>
    </row>
    <row r="460" spans="2:11" x14ac:dyDescent="0.25">
      <c r="B460" s="98" t="s">
        <v>885</v>
      </c>
      <c r="C460" s="98" t="s">
        <v>204</v>
      </c>
      <c r="D460" s="98" t="s">
        <v>631</v>
      </c>
      <c r="E460" s="98" t="s">
        <v>201</v>
      </c>
      <c r="F460" s="98" t="s">
        <v>524</v>
      </c>
      <c r="G460" s="98">
        <v>7</v>
      </c>
      <c r="H460" s="98" t="str">
        <f t="shared" si="38"/>
        <v xml:space="preserve">BSS-TC-23195 TC_OBI_PM1.4_007_CH_Manual override_flag 2 </v>
      </c>
      <c r="I460" s="98" t="s">
        <v>630</v>
      </c>
      <c r="J460" s="98" t="s">
        <v>163</v>
      </c>
      <c r="K460" s="98" t="s">
        <v>631</v>
      </c>
    </row>
    <row r="461" spans="2:11" x14ac:dyDescent="0.25">
      <c r="B461" s="98" t="s">
        <v>885</v>
      </c>
      <c r="C461" s="98" t="s">
        <v>204</v>
      </c>
      <c r="D461" s="98" t="s">
        <v>631</v>
      </c>
      <c r="E461" s="98" t="s">
        <v>208</v>
      </c>
      <c r="F461" s="98" t="s">
        <v>524</v>
      </c>
      <c r="G461" s="98">
        <v>8</v>
      </c>
      <c r="H461" s="98" t="str">
        <f t="shared" si="38"/>
        <v xml:space="preserve">BSS-TC-23195 TC_OBI_PM1.4_007_CH_Manual override_flag 2 </v>
      </c>
      <c r="I461" s="98" t="s">
        <v>630</v>
      </c>
      <c r="J461" s="98" t="s">
        <v>528</v>
      </c>
      <c r="K461" s="98" t="s">
        <v>209</v>
      </c>
    </row>
    <row r="462" spans="2:11" x14ac:dyDescent="0.25">
      <c r="B462" s="98" t="s">
        <v>885</v>
      </c>
      <c r="C462" s="98" t="s">
        <v>204</v>
      </c>
      <c r="D462" s="98" t="s">
        <v>631</v>
      </c>
      <c r="E462" s="98" t="s">
        <v>211</v>
      </c>
      <c r="F462" s="98" t="s">
        <v>524</v>
      </c>
      <c r="G462" s="98">
        <v>9</v>
      </c>
      <c r="H462" s="98" t="str">
        <f t="shared" si="38"/>
        <v xml:space="preserve">BSS-TC-23195 TC_OBI_PM1.4_007_CH_Manual override_flag 2 </v>
      </c>
      <c r="I462" s="98" t="s">
        <v>630</v>
      </c>
      <c r="J462" s="98" t="s">
        <v>526</v>
      </c>
      <c r="K462" s="98" t="s">
        <v>212</v>
      </c>
    </row>
    <row r="463" spans="2:11" x14ac:dyDescent="0.25">
      <c r="B463" s="98" t="s">
        <v>885</v>
      </c>
      <c r="C463" s="98" t="s">
        <v>204</v>
      </c>
      <c r="D463" s="98" t="s">
        <v>631</v>
      </c>
      <c r="E463" s="98" t="s">
        <v>202</v>
      </c>
      <c r="F463" s="98" t="s">
        <v>524</v>
      </c>
      <c r="G463" s="98">
        <v>10</v>
      </c>
      <c r="H463" s="98" t="str">
        <f t="shared" si="38"/>
        <v xml:space="preserve">BSS-TC-23195 TC_OBI_PM1.4_007_CH_Manual override_flag 2 </v>
      </c>
      <c r="I463" s="98" t="s">
        <v>630</v>
      </c>
      <c r="J463" s="98" t="s">
        <v>802</v>
      </c>
      <c r="K463" s="98" t="s">
        <v>203</v>
      </c>
    </row>
    <row r="464" spans="2:11" x14ac:dyDescent="0.25">
      <c r="B464" s="98" t="s">
        <v>886</v>
      </c>
      <c r="C464" s="98" t="s">
        <v>206</v>
      </c>
      <c r="D464" s="98" t="s">
        <v>631</v>
      </c>
      <c r="E464" s="98" t="s">
        <v>803</v>
      </c>
      <c r="F464" s="98" t="s">
        <v>525</v>
      </c>
      <c r="G464" s="98">
        <v>1</v>
      </c>
      <c r="H464" s="98" t="str">
        <f t="shared" ref="H464:H473" si="39">HYPERLINK("http://rms/perspective.req?projectId=233&amp;docId=959425","BSS-TC-23196 TC_OBI_PM1.4_008_CH_Manual override_flag 3")</f>
        <v>BSS-TC-23196 TC_OBI_PM1.4_008_CH_Manual override_flag 3</v>
      </c>
      <c r="I464" s="98" t="s">
        <v>630</v>
      </c>
      <c r="J464" s="98" t="s">
        <v>631</v>
      </c>
      <c r="K464" s="98" t="s">
        <v>200</v>
      </c>
    </row>
    <row r="465" spans="2:11" x14ac:dyDescent="0.25">
      <c r="B465" s="98" t="s">
        <v>886</v>
      </c>
      <c r="C465" s="98" t="s">
        <v>206</v>
      </c>
      <c r="D465" s="98" t="s">
        <v>631</v>
      </c>
      <c r="E465" s="98" t="s">
        <v>18</v>
      </c>
      <c r="F465" s="98" t="s">
        <v>525</v>
      </c>
      <c r="G465" s="98">
        <v>2</v>
      </c>
      <c r="H465" s="98" t="str">
        <f t="shared" si="39"/>
        <v>BSS-TC-23196 TC_OBI_PM1.4_008_CH_Manual override_flag 3</v>
      </c>
      <c r="I465" s="98" t="s">
        <v>630</v>
      </c>
      <c r="J465" s="98" t="s">
        <v>20</v>
      </c>
      <c r="K465" s="98" t="s">
        <v>631</v>
      </c>
    </row>
    <row r="466" spans="2:11" x14ac:dyDescent="0.25">
      <c r="B466" s="98" t="s">
        <v>886</v>
      </c>
      <c r="C466" s="98" t="s">
        <v>206</v>
      </c>
      <c r="D466" s="98" t="s">
        <v>631</v>
      </c>
      <c r="E466" s="98" t="s">
        <v>21</v>
      </c>
      <c r="F466" s="98" t="s">
        <v>525</v>
      </c>
      <c r="G466" s="98">
        <v>3</v>
      </c>
      <c r="H466" s="98" t="str">
        <f t="shared" si="39"/>
        <v>BSS-TC-23196 TC_OBI_PM1.4_008_CH_Manual override_flag 3</v>
      </c>
      <c r="I466" s="98" t="s">
        <v>630</v>
      </c>
      <c r="J466" s="98" t="s">
        <v>22</v>
      </c>
      <c r="K466" s="98" t="s">
        <v>631</v>
      </c>
    </row>
    <row r="467" spans="2:11" x14ac:dyDescent="0.25">
      <c r="B467" s="98" t="s">
        <v>886</v>
      </c>
      <c r="C467" s="98" t="s">
        <v>206</v>
      </c>
      <c r="D467" s="98" t="s">
        <v>631</v>
      </c>
      <c r="E467" s="98" t="s">
        <v>155</v>
      </c>
      <c r="F467" s="98" t="s">
        <v>525</v>
      </c>
      <c r="G467" s="98">
        <v>4</v>
      </c>
      <c r="H467" s="98" t="str">
        <f t="shared" si="39"/>
        <v>BSS-TC-23196 TC_OBI_PM1.4_008_CH_Manual override_flag 3</v>
      </c>
      <c r="I467" s="98" t="s">
        <v>630</v>
      </c>
      <c r="J467" s="98" t="s">
        <v>156</v>
      </c>
      <c r="K467" s="98" t="s">
        <v>631</v>
      </c>
    </row>
    <row r="468" spans="2:11" x14ac:dyDescent="0.25">
      <c r="B468" s="98" t="s">
        <v>886</v>
      </c>
      <c r="C468" s="98" t="s">
        <v>206</v>
      </c>
      <c r="D468" s="98" t="s">
        <v>631</v>
      </c>
      <c r="E468" s="98" t="s">
        <v>169</v>
      </c>
      <c r="F468" s="98" t="s">
        <v>525</v>
      </c>
      <c r="G468" s="98">
        <v>5</v>
      </c>
      <c r="H468" s="98" t="str">
        <f t="shared" si="39"/>
        <v>BSS-TC-23196 TC_OBI_PM1.4_008_CH_Manual override_flag 3</v>
      </c>
      <c r="I468" s="98" t="s">
        <v>630</v>
      </c>
      <c r="J468" s="98" t="s">
        <v>170</v>
      </c>
      <c r="K468" s="98" t="s">
        <v>631</v>
      </c>
    </row>
    <row r="469" spans="2:11" x14ac:dyDescent="0.25">
      <c r="B469" s="98" t="s">
        <v>886</v>
      </c>
      <c r="C469" s="98" t="s">
        <v>206</v>
      </c>
      <c r="D469" s="98" t="s">
        <v>631</v>
      </c>
      <c r="E469" s="98" t="s">
        <v>171</v>
      </c>
      <c r="F469" s="98" t="s">
        <v>525</v>
      </c>
      <c r="G469" s="98">
        <v>6</v>
      </c>
      <c r="H469" s="98" t="str">
        <f t="shared" si="39"/>
        <v>BSS-TC-23196 TC_OBI_PM1.4_008_CH_Manual override_flag 3</v>
      </c>
      <c r="I469" s="98" t="s">
        <v>630</v>
      </c>
      <c r="J469" s="98" t="s">
        <v>172</v>
      </c>
      <c r="K469" s="98" t="s">
        <v>631</v>
      </c>
    </row>
    <row r="470" spans="2:11" x14ac:dyDescent="0.25">
      <c r="B470" s="98" t="s">
        <v>886</v>
      </c>
      <c r="C470" s="98" t="s">
        <v>206</v>
      </c>
      <c r="D470" s="98" t="s">
        <v>631</v>
      </c>
      <c r="E470" s="98" t="s">
        <v>201</v>
      </c>
      <c r="F470" s="98" t="s">
        <v>525</v>
      </c>
      <c r="G470" s="98">
        <v>7</v>
      </c>
      <c r="H470" s="98" t="str">
        <f t="shared" si="39"/>
        <v>BSS-TC-23196 TC_OBI_PM1.4_008_CH_Manual override_flag 3</v>
      </c>
      <c r="I470" s="98" t="s">
        <v>630</v>
      </c>
      <c r="J470" s="98" t="s">
        <v>163</v>
      </c>
      <c r="K470" s="98" t="s">
        <v>631</v>
      </c>
    </row>
    <row r="471" spans="2:11" x14ac:dyDescent="0.25">
      <c r="B471" s="98" t="s">
        <v>886</v>
      </c>
      <c r="C471" s="98" t="s">
        <v>206</v>
      </c>
      <c r="D471" s="98" t="s">
        <v>631</v>
      </c>
      <c r="E471" s="98" t="s">
        <v>208</v>
      </c>
      <c r="F471" s="98" t="s">
        <v>525</v>
      </c>
      <c r="G471" s="98">
        <v>8</v>
      </c>
      <c r="H471" s="98" t="str">
        <f t="shared" si="39"/>
        <v>BSS-TC-23196 TC_OBI_PM1.4_008_CH_Manual override_flag 3</v>
      </c>
      <c r="I471" s="98" t="s">
        <v>630</v>
      </c>
      <c r="J471" s="98" t="s">
        <v>210</v>
      </c>
      <c r="K471" s="98" t="s">
        <v>209</v>
      </c>
    </row>
    <row r="472" spans="2:11" x14ac:dyDescent="0.25">
      <c r="B472" s="98" t="s">
        <v>886</v>
      </c>
      <c r="C472" s="98" t="s">
        <v>206</v>
      </c>
      <c r="D472" s="98" t="s">
        <v>631</v>
      </c>
      <c r="E472" s="98" t="s">
        <v>211</v>
      </c>
      <c r="F472" s="98" t="s">
        <v>525</v>
      </c>
      <c r="G472" s="98">
        <v>9</v>
      </c>
      <c r="H472" s="98" t="str">
        <f t="shared" si="39"/>
        <v>BSS-TC-23196 TC_OBI_PM1.4_008_CH_Manual override_flag 3</v>
      </c>
      <c r="I472" s="98" t="s">
        <v>630</v>
      </c>
      <c r="J472" s="98" t="s">
        <v>526</v>
      </c>
      <c r="K472" s="98" t="s">
        <v>212</v>
      </c>
    </row>
    <row r="473" spans="2:11" x14ac:dyDescent="0.25">
      <c r="B473" s="98" t="s">
        <v>886</v>
      </c>
      <c r="C473" s="98" t="s">
        <v>206</v>
      </c>
      <c r="D473" s="98" t="s">
        <v>631</v>
      </c>
      <c r="E473" s="98" t="s">
        <v>202</v>
      </c>
      <c r="F473" s="98" t="s">
        <v>525</v>
      </c>
      <c r="G473" s="98">
        <v>10</v>
      </c>
      <c r="H473" s="98" t="str">
        <f t="shared" si="39"/>
        <v>BSS-TC-23196 TC_OBI_PM1.4_008_CH_Manual override_flag 3</v>
      </c>
      <c r="I473" s="98" t="s">
        <v>630</v>
      </c>
      <c r="J473" s="98" t="s">
        <v>804</v>
      </c>
      <c r="K473" s="98" t="s">
        <v>203</v>
      </c>
    </row>
    <row r="474" spans="2:11" x14ac:dyDescent="0.25">
      <c r="B474" s="98" t="s">
        <v>887</v>
      </c>
      <c r="C474" s="98" t="s">
        <v>398</v>
      </c>
      <c r="D474" s="98" t="s">
        <v>631</v>
      </c>
      <c r="E474" s="98" t="s">
        <v>805</v>
      </c>
      <c r="F474" s="98" t="s">
        <v>399</v>
      </c>
      <c r="G474" s="98">
        <v>1</v>
      </c>
      <c r="H474" s="98" t="str">
        <f t="shared" ref="H474:H483" si="40">HYPERLINK("http://rms/perspective.req?projectId=233&amp;docId=959406","BSS-TC-23178 TC_OBI_003_CR_109_PM1.4_Exclusion_Condition_3")</f>
        <v>BSS-TC-23178 TC_OBI_003_CR_109_PM1.4_Exclusion_Condition_3</v>
      </c>
      <c r="I474" s="98" t="s">
        <v>630</v>
      </c>
      <c r="J474" s="98" t="s">
        <v>80</v>
      </c>
      <c r="K474" s="98" t="s">
        <v>369</v>
      </c>
    </row>
    <row r="475" spans="2:11" x14ac:dyDescent="0.25">
      <c r="B475" s="98" t="s">
        <v>887</v>
      </c>
      <c r="C475" s="98" t="s">
        <v>398</v>
      </c>
      <c r="D475" s="98" t="s">
        <v>631</v>
      </c>
      <c r="E475" s="98" t="s">
        <v>370</v>
      </c>
      <c r="F475" s="98" t="s">
        <v>399</v>
      </c>
      <c r="G475" s="98">
        <v>2</v>
      </c>
      <c r="H475" s="98" t="str">
        <f t="shared" si="40"/>
        <v>BSS-TC-23178 TC_OBI_003_CR_109_PM1.4_Exclusion_Condition_3</v>
      </c>
      <c r="I475" s="98" t="s">
        <v>630</v>
      </c>
      <c r="J475" s="98" t="s">
        <v>156</v>
      </c>
      <c r="K475" s="98" t="s">
        <v>631</v>
      </c>
    </row>
    <row r="476" spans="2:11" x14ac:dyDescent="0.25">
      <c r="B476" s="98" t="s">
        <v>887</v>
      </c>
      <c r="C476" s="98" t="s">
        <v>398</v>
      </c>
      <c r="D476" s="98" t="s">
        <v>631</v>
      </c>
      <c r="E476" s="98" t="s">
        <v>388</v>
      </c>
      <c r="F476" s="98" t="s">
        <v>399</v>
      </c>
      <c r="G476" s="98">
        <v>3</v>
      </c>
      <c r="H476" s="98" t="str">
        <f t="shared" si="40"/>
        <v>BSS-TC-23178 TC_OBI_003_CR_109_PM1.4_Exclusion_Condition_3</v>
      </c>
      <c r="I476" s="98" t="s">
        <v>630</v>
      </c>
      <c r="J476" s="98" t="s">
        <v>389</v>
      </c>
      <c r="K476" s="98" t="s">
        <v>631</v>
      </c>
    </row>
    <row r="477" spans="2:11" x14ac:dyDescent="0.25">
      <c r="B477" s="98" t="s">
        <v>887</v>
      </c>
      <c r="C477" s="98" t="s">
        <v>398</v>
      </c>
      <c r="D477" s="98" t="s">
        <v>631</v>
      </c>
      <c r="E477" s="98" t="s">
        <v>390</v>
      </c>
      <c r="F477" s="98" t="s">
        <v>399</v>
      </c>
      <c r="G477" s="98">
        <v>4</v>
      </c>
      <c r="H477" s="98" t="str">
        <f t="shared" si="40"/>
        <v>BSS-TC-23178 TC_OBI_003_CR_109_PM1.4_Exclusion_Condition_3</v>
      </c>
      <c r="I477" s="98" t="s">
        <v>630</v>
      </c>
      <c r="J477" s="98" t="s">
        <v>391</v>
      </c>
      <c r="K477" s="98" t="s">
        <v>631</v>
      </c>
    </row>
    <row r="478" spans="2:11" x14ac:dyDescent="0.25">
      <c r="B478" s="98" t="s">
        <v>887</v>
      </c>
      <c r="C478" s="98" t="s">
        <v>398</v>
      </c>
      <c r="D478" s="98" t="s">
        <v>631</v>
      </c>
      <c r="E478" s="98" t="s">
        <v>392</v>
      </c>
      <c r="F478" s="98" t="s">
        <v>399</v>
      </c>
      <c r="G478" s="98">
        <v>5</v>
      </c>
      <c r="H478" s="98" t="str">
        <f t="shared" si="40"/>
        <v>BSS-TC-23178 TC_OBI_003_CR_109_PM1.4_Exclusion_Condition_3</v>
      </c>
      <c r="I478" s="98" t="s">
        <v>630</v>
      </c>
      <c r="J478" s="98" t="s">
        <v>394</v>
      </c>
      <c r="K478" s="98" t="s">
        <v>393</v>
      </c>
    </row>
    <row r="479" spans="2:11" x14ac:dyDescent="0.25">
      <c r="B479" s="98" t="s">
        <v>887</v>
      </c>
      <c r="C479" s="98" t="s">
        <v>398</v>
      </c>
      <c r="D479" s="98" t="s">
        <v>631</v>
      </c>
      <c r="E479" s="98" t="s">
        <v>377</v>
      </c>
      <c r="F479" s="98" t="s">
        <v>399</v>
      </c>
      <c r="G479" s="98">
        <v>6</v>
      </c>
      <c r="H479" s="98" t="str">
        <f t="shared" si="40"/>
        <v>BSS-TC-23178 TC_OBI_003_CR_109_PM1.4_Exclusion_Condition_3</v>
      </c>
      <c r="I479" s="98" t="s">
        <v>630</v>
      </c>
      <c r="J479" s="98" t="s">
        <v>396</v>
      </c>
      <c r="K479" s="98" t="s">
        <v>395</v>
      </c>
    </row>
    <row r="480" spans="2:11" x14ac:dyDescent="0.25">
      <c r="B480" s="98" t="s">
        <v>887</v>
      </c>
      <c r="C480" s="98" t="s">
        <v>398</v>
      </c>
      <c r="D480" s="98" t="s">
        <v>631</v>
      </c>
      <c r="E480" s="98" t="s">
        <v>742</v>
      </c>
      <c r="F480" s="98" t="s">
        <v>399</v>
      </c>
      <c r="G480" s="98">
        <v>7</v>
      </c>
      <c r="H480" s="98" t="str">
        <f t="shared" si="40"/>
        <v>BSS-TC-23178 TC_OBI_003_CR_109_PM1.4_Exclusion_Condition_3</v>
      </c>
      <c r="I480" s="98" t="s">
        <v>630</v>
      </c>
      <c r="J480" s="98" t="s">
        <v>381</v>
      </c>
      <c r="K480" s="98" t="s">
        <v>380</v>
      </c>
    </row>
    <row r="481" spans="2:11" x14ac:dyDescent="0.25">
      <c r="B481" s="98" t="s">
        <v>887</v>
      </c>
      <c r="C481" s="98" t="s">
        <v>398</v>
      </c>
      <c r="D481" s="98" t="s">
        <v>631</v>
      </c>
      <c r="E481" s="98" t="s">
        <v>382</v>
      </c>
      <c r="F481" s="98" t="s">
        <v>399</v>
      </c>
      <c r="G481" s="98">
        <v>8</v>
      </c>
      <c r="H481" s="98" t="str">
        <f t="shared" si="40"/>
        <v>BSS-TC-23178 TC_OBI_003_CR_109_PM1.4_Exclusion_Condition_3</v>
      </c>
      <c r="I481" s="98" t="s">
        <v>630</v>
      </c>
      <c r="J481" s="98" t="s">
        <v>383</v>
      </c>
      <c r="K481" s="98" t="s">
        <v>631</v>
      </c>
    </row>
    <row r="482" spans="2:11" x14ac:dyDescent="0.25">
      <c r="B482" s="98" t="s">
        <v>887</v>
      </c>
      <c r="C482" s="98" t="s">
        <v>398</v>
      </c>
      <c r="D482" s="98" t="s">
        <v>631</v>
      </c>
      <c r="E482" s="98" t="s">
        <v>384</v>
      </c>
      <c r="F482" s="98" t="s">
        <v>399</v>
      </c>
      <c r="G482" s="98">
        <v>9</v>
      </c>
      <c r="H482" s="98" t="str">
        <f t="shared" si="40"/>
        <v>BSS-TC-23178 TC_OBI_003_CR_109_PM1.4_Exclusion_Condition_3</v>
      </c>
      <c r="I482" s="98" t="s">
        <v>630</v>
      </c>
      <c r="J482" s="98" t="s">
        <v>397</v>
      </c>
      <c r="K482" s="98" t="s">
        <v>631</v>
      </c>
    </row>
    <row r="483" spans="2:11" x14ac:dyDescent="0.25">
      <c r="B483" s="98" t="s">
        <v>887</v>
      </c>
      <c r="C483" s="98" t="s">
        <v>398</v>
      </c>
      <c r="D483" s="98" t="s">
        <v>631</v>
      </c>
      <c r="E483" s="98" t="s">
        <v>806</v>
      </c>
      <c r="F483" s="98" t="s">
        <v>399</v>
      </c>
      <c r="G483" s="98">
        <v>10</v>
      </c>
      <c r="H483" s="98" t="str">
        <f t="shared" si="40"/>
        <v>BSS-TC-23178 TC_OBI_003_CR_109_PM1.4_Exclusion_Condition_3</v>
      </c>
      <c r="I483" s="98" t="s">
        <v>630</v>
      </c>
      <c r="J483" s="98" t="s">
        <v>381</v>
      </c>
      <c r="K483" s="98" t="s">
        <v>380</v>
      </c>
    </row>
    <row r="484" spans="2:11" x14ac:dyDescent="0.25">
      <c r="B484" s="98" t="s">
        <v>888</v>
      </c>
      <c r="C484" s="98" t="s">
        <v>401</v>
      </c>
      <c r="D484" s="98" t="s">
        <v>631</v>
      </c>
      <c r="E484" s="98" t="s">
        <v>403</v>
      </c>
      <c r="F484" s="98" t="s">
        <v>807</v>
      </c>
      <c r="G484" s="98">
        <v>1</v>
      </c>
      <c r="H484" s="98" t="str">
        <f t="shared" ref="H484:H494" si="41">HYPERLINK("http://rms/perspective.req?projectId=233&amp;docId=959407","BSS-TC-23179 TC_OBI_004_CR109_PM1.4_Exclusion_Condition_4")</f>
        <v>BSS-TC-23179 TC_OBI_004_CR109_PM1.4_Exclusion_Condition_4</v>
      </c>
      <c r="I484" s="98" t="s">
        <v>630</v>
      </c>
      <c r="J484" s="98" t="s">
        <v>80</v>
      </c>
      <c r="K484" s="98" t="s">
        <v>326</v>
      </c>
    </row>
    <row r="485" spans="2:11" x14ac:dyDescent="0.25">
      <c r="B485" s="98" t="s">
        <v>888</v>
      </c>
      <c r="C485" s="98" t="s">
        <v>401</v>
      </c>
      <c r="D485" s="98" t="s">
        <v>631</v>
      </c>
      <c r="E485" s="98" t="s">
        <v>404</v>
      </c>
      <c r="F485" s="98" t="s">
        <v>807</v>
      </c>
      <c r="G485" s="98">
        <v>2</v>
      </c>
      <c r="H485" s="98" t="str">
        <f t="shared" si="41"/>
        <v>BSS-TC-23179 TC_OBI_004_CR109_PM1.4_Exclusion_Condition_4</v>
      </c>
      <c r="I485" s="98" t="s">
        <v>630</v>
      </c>
      <c r="J485" s="98" t="s">
        <v>80</v>
      </c>
      <c r="K485" s="98" t="s">
        <v>326</v>
      </c>
    </row>
    <row r="486" spans="2:11" x14ac:dyDescent="0.25">
      <c r="B486" s="98" t="s">
        <v>888</v>
      </c>
      <c r="C486" s="98" t="s">
        <v>401</v>
      </c>
      <c r="D486" s="98" t="s">
        <v>631</v>
      </c>
      <c r="E486" s="98" t="s">
        <v>370</v>
      </c>
      <c r="F486" s="98" t="s">
        <v>807</v>
      </c>
      <c r="G486" s="98">
        <v>3</v>
      </c>
      <c r="H486" s="98" t="str">
        <f t="shared" si="41"/>
        <v>BSS-TC-23179 TC_OBI_004_CR109_PM1.4_Exclusion_Condition_4</v>
      </c>
      <c r="I486" s="98" t="s">
        <v>630</v>
      </c>
      <c r="J486" s="98" t="s">
        <v>156</v>
      </c>
      <c r="K486" s="98" t="s">
        <v>631</v>
      </c>
    </row>
    <row r="487" spans="2:11" x14ac:dyDescent="0.25">
      <c r="B487" s="98" t="s">
        <v>888</v>
      </c>
      <c r="C487" s="98" t="s">
        <v>401</v>
      </c>
      <c r="D487" s="98" t="s">
        <v>631</v>
      </c>
      <c r="E487" s="98" t="s">
        <v>405</v>
      </c>
      <c r="F487" s="98" t="s">
        <v>807</v>
      </c>
      <c r="G487" s="98">
        <v>4</v>
      </c>
      <c r="H487" s="98" t="str">
        <f t="shared" si="41"/>
        <v>BSS-TC-23179 TC_OBI_004_CR109_PM1.4_Exclusion_Condition_4</v>
      </c>
      <c r="I487" s="98" t="s">
        <v>630</v>
      </c>
      <c r="J487" s="98" t="s">
        <v>389</v>
      </c>
      <c r="K487" s="98" t="s">
        <v>631</v>
      </c>
    </row>
    <row r="488" spans="2:11" x14ac:dyDescent="0.25">
      <c r="B488" s="98" t="s">
        <v>888</v>
      </c>
      <c r="C488" s="98" t="s">
        <v>401</v>
      </c>
      <c r="D488" s="98" t="s">
        <v>631</v>
      </c>
      <c r="E488" s="98" t="s">
        <v>373</v>
      </c>
      <c r="F488" s="98" t="s">
        <v>807</v>
      </c>
      <c r="G488" s="98">
        <v>5</v>
      </c>
      <c r="H488" s="98" t="str">
        <f t="shared" si="41"/>
        <v>BSS-TC-23179 TC_OBI_004_CR109_PM1.4_Exclusion_Condition_4</v>
      </c>
      <c r="I488" s="98" t="s">
        <v>630</v>
      </c>
      <c r="J488" s="98" t="s">
        <v>374</v>
      </c>
      <c r="K488" s="98" t="s">
        <v>631</v>
      </c>
    </row>
    <row r="489" spans="2:11" x14ac:dyDescent="0.25">
      <c r="B489" s="98" t="s">
        <v>888</v>
      </c>
      <c r="C489" s="98" t="s">
        <v>401</v>
      </c>
      <c r="D489" s="98" t="s">
        <v>631</v>
      </c>
      <c r="E489" s="98" t="s">
        <v>406</v>
      </c>
      <c r="F489" s="98" t="s">
        <v>807</v>
      </c>
      <c r="G489" s="98">
        <v>6</v>
      </c>
      <c r="H489" s="98" t="str">
        <f t="shared" si="41"/>
        <v>BSS-TC-23179 TC_OBI_004_CR109_PM1.4_Exclusion_Condition_4</v>
      </c>
      <c r="I489" s="98" t="s">
        <v>630</v>
      </c>
      <c r="J489" s="98" t="s">
        <v>284</v>
      </c>
      <c r="K489" s="98" t="s">
        <v>376</v>
      </c>
    </row>
    <row r="490" spans="2:11" x14ac:dyDescent="0.25">
      <c r="B490" s="98" t="s">
        <v>888</v>
      </c>
      <c r="C490" s="98" t="s">
        <v>401</v>
      </c>
      <c r="D490" s="98" t="s">
        <v>631</v>
      </c>
      <c r="E490" s="98" t="s">
        <v>377</v>
      </c>
      <c r="F490" s="98" t="s">
        <v>807</v>
      </c>
      <c r="G490" s="98">
        <v>7</v>
      </c>
      <c r="H490" s="98" t="str">
        <f t="shared" si="41"/>
        <v>BSS-TC-23179 TC_OBI_004_CR109_PM1.4_Exclusion_Condition_4</v>
      </c>
      <c r="I490" s="98" t="s">
        <v>630</v>
      </c>
      <c r="J490" s="98" t="s">
        <v>379</v>
      </c>
      <c r="K490" s="98" t="s">
        <v>378</v>
      </c>
    </row>
    <row r="491" spans="2:11" x14ac:dyDescent="0.25">
      <c r="B491" s="98" t="s">
        <v>888</v>
      </c>
      <c r="C491" s="98" t="s">
        <v>401</v>
      </c>
      <c r="D491" s="98" t="s">
        <v>631</v>
      </c>
      <c r="E491" s="98" t="s">
        <v>742</v>
      </c>
      <c r="F491" s="98" t="s">
        <v>807</v>
      </c>
      <c r="G491" s="98">
        <v>8</v>
      </c>
      <c r="H491" s="98" t="str">
        <f t="shared" si="41"/>
        <v>BSS-TC-23179 TC_OBI_004_CR109_PM1.4_Exclusion_Condition_4</v>
      </c>
      <c r="I491" s="98" t="s">
        <v>630</v>
      </c>
      <c r="J491" s="98" t="s">
        <v>381</v>
      </c>
      <c r="K491" s="98" t="s">
        <v>380</v>
      </c>
    </row>
    <row r="492" spans="2:11" x14ac:dyDescent="0.25">
      <c r="B492" s="98" t="s">
        <v>888</v>
      </c>
      <c r="C492" s="98" t="s">
        <v>401</v>
      </c>
      <c r="D492" s="98" t="s">
        <v>631</v>
      </c>
      <c r="E492" s="98" t="s">
        <v>407</v>
      </c>
      <c r="F492" s="98" t="s">
        <v>807</v>
      </c>
      <c r="G492" s="98">
        <v>9</v>
      </c>
      <c r="H492" s="98" t="str">
        <f t="shared" si="41"/>
        <v>BSS-TC-23179 TC_OBI_004_CR109_PM1.4_Exclusion_Condition_4</v>
      </c>
      <c r="I492" s="98" t="s">
        <v>630</v>
      </c>
      <c r="J492" s="98" t="s">
        <v>383</v>
      </c>
      <c r="K492" s="98" t="s">
        <v>631</v>
      </c>
    </row>
    <row r="493" spans="2:11" x14ac:dyDescent="0.25">
      <c r="B493" s="98" t="s">
        <v>888</v>
      </c>
      <c r="C493" s="98" t="s">
        <v>401</v>
      </c>
      <c r="D493" s="98" t="s">
        <v>631</v>
      </c>
      <c r="E493" s="98" t="s">
        <v>408</v>
      </c>
      <c r="F493" s="98" t="s">
        <v>807</v>
      </c>
      <c r="G493" s="98">
        <v>10</v>
      </c>
      <c r="H493" s="98" t="str">
        <f t="shared" si="41"/>
        <v>BSS-TC-23179 TC_OBI_004_CR109_PM1.4_Exclusion_Condition_4</v>
      </c>
      <c r="I493" s="98" t="s">
        <v>630</v>
      </c>
      <c r="J493" s="98" t="s">
        <v>409</v>
      </c>
      <c r="K493" s="98" t="s">
        <v>631</v>
      </c>
    </row>
    <row r="494" spans="2:11" x14ac:dyDescent="0.25">
      <c r="B494" s="98" t="s">
        <v>888</v>
      </c>
      <c r="C494" s="98" t="s">
        <v>401</v>
      </c>
      <c r="D494" s="98" t="s">
        <v>631</v>
      </c>
      <c r="E494" s="98" t="s">
        <v>808</v>
      </c>
      <c r="F494" s="98" t="s">
        <v>807</v>
      </c>
      <c r="G494" s="98">
        <v>11</v>
      </c>
      <c r="H494" s="98" t="str">
        <f t="shared" si="41"/>
        <v>BSS-TC-23179 TC_OBI_004_CR109_PM1.4_Exclusion_Condition_4</v>
      </c>
      <c r="I494" s="98" t="s">
        <v>630</v>
      </c>
      <c r="J494" s="98" t="s">
        <v>381</v>
      </c>
      <c r="K494" s="98" t="s">
        <v>380</v>
      </c>
    </row>
    <row r="495" spans="2:11" x14ac:dyDescent="0.25">
      <c r="B495" s="98" t="s">
        <v>889</v>
      </c>
      <c r="C495" s="98" t="s">
        <v>365</v>
      </c>
      <c r="D495" s="98" t="s">
        <v>631</v>
      </c>
      <c r="E495" s="98" t="s">
        <v>368</v>
      </c>
      <c r="F495" s="98" t="s">
        <v>367</v>
      </c>
      <c r="G495" s="98">
        <v>1</v>
      </c>
      <c r="H495" s="98" t="str">
        <f t="shared" ref="H495:H504" si="42">HYPERLINK("http://rms/perspective.req?projectId=233&amp;docId=959404","BSS-TC-23176 TC_OBI_001_CR109_PM1.4_Exclusion_Condition_1")</f>
        <v>BSS-TC-23176 TC_OBI_001_CR109_PM1.4_Exclusion_Condition_1</v>
      </c>
      <c r="I495" s="98" t="s">
        <v>630</v>
      </c>
      <c r="J495" s="98" t="s">
        <v>80</v>
      </c>
      <c r="K495" s="98" t="s">
        <v>369</v>
      </c>
    </row>
    <row r="496" spans="2:11" x14ac:dyDescent="0.25">
      <c r="B496" s="98" t="s">
        <v>889</v>
      </c>
      <c r="C496" s="98" t="s">
        <v>365</v>
      </c>
      <c r="D496" s="98" t="s">
        <v>631</v>
      </c>
      <c r="E496" s="98" t="s">
        <v>370</v>
      </c>
      <c r="F496" s="98" t="s">
        <v>367</v>
      </c>
      <c r="G496" s="98">
        <v>2</v>
      </c>
      <c r="H496" s="98" t="str">
        <f t="shared" si="42"/>
        <v>BSS-TC-23176 TC_OBI_001_CR109_PM1.4_Exclusion_Condition_1</v>
      </c>
      <c r="I496" s="98" t="s">
        <v>630</v>
      </c>
      <c r="J496" s="98" t="s">
        <v>156</v>
      </c>
      <c r="K496" s="98" t="s">
        <v>631</v>
      </c>
    </row>
    <row r="497" spans="2:11" x14ac:dyDescent="0.25">
      <c r="B497" s="98" t="s">
        <v>889</v>
      </c>
      <c r="C497" s="98" t="s">
        <v>365</v>
      </c>
      <c r="D497" s="98" t="s">
        <v>631</v>
      </c>
      <c r="E497" s="98" t="s">
        <v>371</v>
      </c>
      <c r="F497" s="98" t="s">
        <v>367</v>
      </c>
      <c r="G497" s="98">
        <v>3</v>
      </c>
      <c r="H497" s="98" t="str">
        <f t="shared" si="42"/>
        <v>BSS-TC-23176 TC_OBI_001_CR109_PM1.4_Exclusion_Condition_1</v>
      </c>
      <c r="I497" s="98" t="s">
        <v>630</v>
      </c>
      <c r="J497" s="98" t="s">
        <v>372</v>
      </c>
      <c r="K497" s="98" t="s">
        <v>631</v>
      </c>
    </row>
    <row r="498" spans="2:11" x14ac:dyDescent="0.25">
      <c r="B498" s="98" t="s">
        <v>889</v>
      </c>
      <c r="C498" s="98" t="s">
        <v>365</v>
      </c>
      <c r="D498" s="98" t="s">
        <v>631</v>
      </c>
      <c r="E498" s="98" t="s">
        <v>373</v>
      </c>
      <c r="F498" s="98" t="s">
        <v>367</v>
      </c>
      <c r="G498" s="98">
        <v>4</v>
      </c>
      <c r="H498" s="98" t="str">
        <f t="shared" si="42"/>
        <v>BSS-TC-23176 TC_OBI_001_CR109_PM1.4_Exclusion_Condition_1</v>
      </c>
      <c r="I498" s="98" t="s">
        <v>630</v>
      </c>
      <c r="J498" s="98" t="s">
        <v>374</v>
      </c>
      <c r="K498" s="98" t="s">
        <v>631</v>
      </c>
    </row>
    <row r="499" spans="2:11" x14ac:dyDescent="0.25">
      <c r="B499" s="98" t="s">
        <v>889</v>
      </c>
      <c r="C499" s="98" t="s">
        <v>365</v>
      </c>
      <c r="D499" s="98" t="s">
        <v>631</v>
      </c>
      <c r="E499" s="98" t="s">
        <v>375</v>
      </c>
      <c r="F499" s="98" t="s">
        <v>367</v>
      </c>
      <c r="G499" s="98">
        <v>5</v>
      </c>
      <c r="H499" s="98" t="str">
        <f t="shared" si="42"/>
        <v>BSS-TC-23176 TC_OBI_001_CR109_PM1.4_Exclusion_Condition_1</v>
      </c>
      <c r="I499" s="98" t="s">
        <v>630</v>
      </c>
      <c r="J499" s="98" t="s">
        <v>284</v>
      </c>
      <c r="K499" s="98" t="s">
        <v>376</v>
      </c>
    </row>
    <row r="500" spans="2:11" x14ac:dyDescent="0.25">
      <c r="B500" s="98" t="s">
        <v>889</v>
      </c>
      <c r="C500" s="98" t="s">
        <v>365</v>
      </c>
      <c r="D500" s="98" t="s">
        <v>631</v>
      </c>
      <c r="E500" s="98" t="s">
        <v>377</v>
      </c>
      <c r="F500" s="98" t="s">
        <v>367</v>
      </c>
      <c r="G500" s="98">
        <v>6</v>
      </c>
      <c r="H500" s="98" t="str">
        <f t="shared" si="42"/>
        <v>BSS-TC-23176 TC_OBI_001_CR109_PM1.4_Exclusion_Condition_1</v>
      </c>
      <c r="I500" s="98" t="s">
        <v>630</v>
      </c>
      <c r="J500" s="98" t="s">
        <v>379</v>
      </c>
      <c r="K500" s="98" t="s">
        <v>378</v>
      </c>
    </row>
    <row r="501" spans="2:11" x14ac:dyDescent="0.25">
      <c r="B501" s="98" t="s">
        <v>889</v>
      </c>
      <c r="C501" s="98" t="s">
        <v>365</v>
      </c>
      <c r="D501" s="98" t="s">
        <v>631</v>
      </c>
      <c r="E501" s="98" t="s">
        <v>742</v>
      </c>
      <c r="F501" s="98" t="s">
        <v>367</v>
      </c>
      <c r="G501" s="98">
        <v>7</v>
      </c>
      <c r="H501" s="98" t="str">
        <f t="shared" si="42"/>
        <v>BSS-TC-23176 TC_OBI_001_CR109_PM1.4_Exclusion_Condition_1</v>
      </c>
      <c r="I501" s="98" t="s">
        <v>630</v>
      </c>
      <c r="J501" s="98" t="s">
        <v>381</v>
      </c>
      <c r="K501" s="98" t="s">
        <v>380</v>
      </c>
    </row>
    <row r="502" spans="2:11" x14ac:dyDescent="0.25">
      <c r="B502" s="98" t="s">
        <v>889</v>
      </c>
      <c r="C502" s="98" t="s">
        <v>365</v>
      </c>
      <c r="D502" s="98" t="s">
        <v>631</v>
      </c>
      <c r="E502" s="98" t="s">
        <v>382</v>
      </c>
      <c r="F502" s="98" t="s">
        <v>367</v>
      </c>
      <c r="G502" s="98">
        <v>8</v>
      </c>
      <c r="H502" s="98" t="str">
        <f t="shared" si="42"/>
        <v>BSS-TC-23176 TC_OBI_001_CR109_PM1.4_Exclusion_Condition_1</v>
      </c>
      <c r="I502" s="98" t="s">
        <v>630</v>
      </c>
      <c r="J502" s="98" t="s">
        <v>383</v>
      </c>
      <c r="K502" s="98" t="s">
        <v>631</v>
      </c>
    </row>
    <row r="503" spans="2:11" x14ac:dyDescent="0.25">
      <c r="B503" s="98" t="s">
        <v>889</v>
      </c>
      <c r="C503" s="98" t="s">
        <v>365</v>
      </c>
      <c r="D503" s="98" t="s">
        <v>631</v>
      </c>
      <c r="E503" s="98" t="s">
        <v>384</v>
      </c>
      <c r="F503" s="98" t="s">
        <v>367</v>
      </c>
      <c r="G503" s="98">
        <v>9</v>
      </c>
      <c r="H503" s="98" t="str">
        <f t="shared" si="42"/>
        <v>BSS-TC-23176 TC_OBI_001_CR109_PM1.4_Exclusion_Condition_1</v>
      </c>
      <c r="I503" s="98" t="s">
        <v>630</v>
      </c>
      <c r="J503" s="98" t="s">
        <v>385</v>
      </c>
      <c r="K503" s="98" t="s">
        <v>631</v>
      </c>
    </row>
    <row r="504" spans="2:11" x14ac:dyDescent="0.25">
      <c r="B504" s="98" t="s">
        <v>889</v>
      </c>
      <c r="C504" s="98" t="s">
        <v>365</v>
      </c>
      <c r="D504" s="98" t="s">
        <v>631</v>
      </c>
      <c r="E504" s="98" t="s">
        <v>809</v>
      </c>
      <c r="F504" s="98" t="s">
        <v>367</v>
      </c>
      <c r="G504" s="98">
        <v>10</v>
      </c>
      <c r="H504" s="98" t="str">
        <f t="shared" si="42"/>
        <v>BSS-TC-23176 TC_OBI_001_CR109_PM1.4_Exclusion_Condition_1</v>
      </c>
      <c r="I504" s="98" t="s">
        <v>630</v>
      </c>
      <c r="J504" s="98" t="s">
        <v>381</v>
      </c>
      <c r="K504" s="98" t="s">
        <v>380</v>
      </c>
    </row>
    <row r="505" spans="2:11" x14ac:dyDescent="0.25">
      <c r="B505" s="98" t="s">
        <v>890</v>
      </c>
      <c r="C505" s="98" t="s">
        <v>538</v>
      </c>
      <c r="D505" s="98" t="s">
        <v>631</v>
      </c>
      <c r="E505" s="98" t="s">
        <v>334</v>
      </c>
      <c r="F505" s="98" t="s">
        <v>810</v>
      </c>
      <c r="G505" s="98">
        <v>1</v>
      </c>
      <c r="H505" s="98" t="str">
        <f>HYPERLINK("http://rms/perspective.req?projectId=233&amp;docId=959512","BSS-TC-23229 TC_OBI_004_CR109_PM1.4_TSL_Line_Validation")</f>
        <v>BSS-TC-23229 TC_OBI_004_CR109_PM1.4_TSL_Line_Validation</v>
      </c>
      <c r="I505" s="98" t="s">
        <v>630</v>
      </c>
      <c r="J505" s="98" t="s">
        <v>80</v>
      </c>
      <c r="K505" s="98" t="s">
        <v>326</v>
      </c>
    </row>
    <row r="506" spans="2:11" x14ac:dyDescent="0.25">
      <c r="B506" s="98" t="s">
        <v>890</v>
      </c>
      <c r="C506" s="98" t="s">
        <v>538</v>
      </c>
      <c r="D506" s="98" t="s">
        <v>631</v>
      </c>
      <c r="E506" s="98" t="s">
        <v>265</v>
      </c>
      <c r="F506" s="98" t="s">
        <v>810</v>
      </c>
      <c r="G506" s="98">
        <v>2</v>
      </c>
      <c r="H506" s="98" t="str">
        <f>HYPERLINK("http://rms/perspective.req?projectId=233&amp;docId=959512","BSS-TC-23229 TC_OBI_004_CR109_PM1.4_TSL_Line_Validation")</f>
        <v>BSS-TC-23229 TC_OBI_004_CR109_PM1.4_TSL_Line_Validation</v>
      </c>
      <c r="I506" s="98" t="s">
        <v>630</v>
      </c>
      <c r="J506" s="98" t="s">
        <v>266</v>
      </c>
      <c r="K506" s="98" t="s">
        <v>631</v>
      </c>
    </row>
    <row r="507" spans="2:11" x14ac:dyDescent="0.25">
      <c r="B507" s="98" t="s">
        <v>890</v>
      </c>
      <c r="C507" s="98" t="s">
        <v>538</v>
      </c>
      <c r="D507" s="98" t="s">
        <v>631</v>
      </c>
      <c r="E507" s="98" t="s">
        <v>267</v>
      </c>
      <c r="F507" s="98" t="s">
        <v>810</v>
      </c>
      <c r="G507" s="98">
        <v>3</v>
      </c>
      <c r="H507" s="98" t="str">
        <f>HYPERLINK("http://rms/perspective.req?projectId=233&amp;docId=959512","BSS-TC-23229 TC_OBI_004_CR109_PM1.4_TSL_Line_Validation")</f>
        <v>BSS-TC-23229 TC_OBI_004_CR109_PM1.4_TSL_Line_Validation</v>
      </c>
      <c r="I507" s="98" t="s">
        <v>630</v>
      </c>
      <c r="J507" s="98" t="s">
        <v>27</v>
      </c>
      <c r="K507" s="98" t="s">
        <v>631</v>
      </c>
    </row>
    <row r="508" spans="2:11" x14ac:dyDescent="0.25">
      <c r="B508" s="98" t="s">
        <v>890</v>
      </c>
      <c r="C508" s="98" t="s">
        <v>538</v>
      </c>
      <c r="D508" s="98" t="s">
        <v>631</v>
      </c>
      <c r="E508" s="98" t="s">
        <v>335</v>
      </c>
      <c r="F508" s="98" t="s">
        <v>810</v>
      </c>
      <c r="G508" s="98">
        <v>4</v>
      </c>
      <c r="H508" s="98" t="str">
        <f>HYPERLINK("http://rms/perspective.req?projectId=233&amp;docId=959512","BSS-TC-23229 TC_OBI_004_CR109_PM1.4_TSL_Line_Validation")</f>
        <v>BSS-TC-23229 TC_OBI_004_CR109_PM1.4_TSL_Line_Validation</v>
      </c>
      <c r="I508" s="98" t="s">
        <v>630</v>
      </c>
      <c r="J508" s="98" t="s">
        <v>329</v>
      </c>
      <c r="K508" s="98" t="s">
        <v>328</v>
      </c>
    </row>
    <row r="509" spans="2:11" x14ac:dyDescent="0.25">
      <c r="B509" s="98" t="s">
        <v>890</v>
      </c>
      <c r="C509" s="98" t="s">
        <v>538</v>
      </c>
      <c r="D509" s="98" t="s">
        <v>631</v>
      </c>
      <c r="E509" s="98" t="s">
        <v>811</v>
      </c>
      <c r="F509" s="98" t="s">
        <v>810</v>
      </c>
      <c r="G509" s="98">
        <v>5</v>
      </c>
      <c r="H509" s="98" t="str">
        <f>HYPERLINK("http://rms/perspective.req?projectId=233&amp;docId=959512","BSS-TC-23229 TC_OBI_004_CR109_PM1.4_TSL_Line_Validation")</f>
        <v>BSS-TC-23229 TC_OBI_004_CR109_PM1.4_TSL_Line_Validation</v>
      </c>
      <c r="I509" s="98" t="s">
        <v>630</v>
      </c>
      <c r="J509" s="98" t="s">
        <v>332</v>
      </c>
      <c r="K509" s="98" t="s">
        <v>331</v>
      </c>
    </row>
    <row r="510" spans="2:11" x14ac:dyDescent="0.25">
      <c r="B510" s="98" t="s">
        <v>891</v>
      </c>
      <c r="C510" s="98" t="s">
        <v>619</v>
      </c>
      <c r="D510" s="98" t="s">
        <v>631</v>
      </c>
      <c r="E510" s="98" t="s">
        <v>812</v>
      </c>
      <c r="F510" s="98" t="s">
        <v>813</v>
      </c>
      <c r="G510" s="98">
        <v>1</v>
      </c>
      <c r="H510" s="98" t="str">
        <f t="shared" ref="H510:H519" si="43">HYPERLINK("http://rms/perspective.req?projectId=233&amp;docId=959408","BSS-TC-23180 TC_OBI_005_CR109_PM1.4_Exclusion_Condition_5")</f>
        <v>BSS-TC-23180 TC_OBI_005_CR109_PM1.4_Exclusion_Condition_5</v>
      </c>
      <c r="I510" s="98" t="s">
        <v>630</v>
      </c>
      <c r="J510" s="98" t="s">
        <v>80</v>
      </c>
      <c r="K510" s="98" t="s">
        <v>326</v>
      </c>
    </row>
    <row r="511" spans="2:11" x14ac:dyDescent="0.25">
      <c r="B511" s="98" t="s">
        <v>891</v>
      </c>
      <c r="C511" s="98" t="s">
        <v>619</v>
      </c>
      <c r="D511" s="98" t="s">
        <v>631</v>
      </c>
      <c r="E511" s="98" t="s">
        <v>370</v>
      </c>
      <c r="F511" s="98" t="s">
        <v>813</v>
      </c>
      <c r="G511" s="98">
        <v>2</v>
      </c>
      <c r="H511" s="98" t="str">
        <f t="shared" si="43"/>
        <v>BSS-TC-23180 TC_OBI_005_CR109_PM1.4_Exclusion_Condition_5</v>
      </c>
      <c r="I511" s="98" t="s">
        <v>630</v>
      </c>
      <c r="J511" s="98" t="s">
        <v>156</v>
      </c>
      <c r="K511" s="98" t="s">
        <v>631</v>
      </c>
    </row>
    <row r="512" spans="2:11" x14ac:dyDescent="0.25">
      <c r="B512" s="98" t="s">
        <v>891</v>
      </c>
      <c r="C512" s="98" t="s">
        <v>619</v>
      </c>
      <c r="D512" s="98" t="s">
        <v>631</v>
      </c>
      <c r="E512" s="98" t="s">
        <v>405</v>
      </c>
      <c r="F512" s="98" t="s">
        <v>813</v>
      </c>
      <c r="G512" s="98">
        <v>3</v>
      </c>
      <c r="H512" s="98" t="str">
        <f t="shared" si="43"/>
        <v>BSS-TC-23180 TC_OBI_005_CR109_PM1.4_Exclusion_Condition_5</v>
      </c>
      <c r="I512" s="98" t="s">
        <v>630</v>
      </c>
      <c r="J512" s="98" t="s">
        <v>389</v>
      </c>
      <c r="K512" s="98" t="s">
        <v>631</v>
      </c>
    </row>
    <row r="513" spans="2:11" x14ac:dyDescent="0.25">
      <c r="B513" s="98" t="s">
        <v>891</v>
      </c>
      <c r="C513" s="98" t="s">
        <v>619</v>
      </c>
      <c r="D513" s="98" t="s">
        <v>631</v>
      </c>
      <c r="E513" s="98" t="s">
        <v>373</v>
      </c>
      <c r="F513" s="98" t="s">
        <v>813</v>
      </c>
      <c r="G513" s="98">
        <v>4</v>
      </c>
      <c r="H513" s="98" t="str">
        <f t="shared" si="43"/>
        <v>BSS-TC-23180 TC_OBI_005_CR109_PM1.4_Exclusion_Condition_5</v>
      </c>
      <c r="I513" s="98" t="s">
        <v>630</v>
      </c>
      <c r="J513" s="98" t="s">
        <v>374</v>
      </c>
      <c r="K513" s="98" t="s">
        <v>631</v>
      </c>
    </row>
    <row r="514" spans="2:11" x14ac:dyDescent="0.25">
      <c r="B514" s="98" t="s">
        <v>891</v>
      </c>
      <c r="C514" s="98" t="s">
        <v>619</v>
      </c>
      <c r="D514" s="98" t="s">
        <v>631</v>
      </c>
      <c r="E514" s="98" t="s">
        <v>406</v>
      </c>
      <c r="F514" s="98" t="s">
        <v>813</v>
      </c>
      <c r="G514" s="98">
        <v>5</v>
      </c>
      <c r="H514" s="98" t="str">
        <f t="shared" si="43"/>
        <v>BSS-TC-23180 TC_OBI_005_CR109_PM1.4_Exclusion_Condition_5</v>
      </c>
      <c r="I514" s="98" t="s">
        <v>630</v>
      </c>
      <c r="J514" s="98" t="s">
        <v>284</v>
      </c>
      <c r="K514" s="98" t="s">
        <v>376</v>
      </c>
    </row>
    <row r="515" spans="2:11" x14ac:dyDescent="0.25">
      <c r="B515" s="98" t="s">
        <v>891</v>
      </c>
      <c r="C515" s="98" t="s">
        <v>619</v>
      </c>
      <c r="D515" s="98" t="s">
        <v>631</v>
      </c>
      <c r="E515" s="98" t="s">
        <v>377</v>
      </c>
      <c r="F515" s="98" t="s">
        <v>813</v>
      </c>
      <c r="G515" s="98">
        <v>6</v>
      </c>
      <c r="H515" s="98" t="str">
        <f t="shared" si="43"/>
        <v>BSS-TC-23180 TC_OBI_005_CR109_PM1.4_Exclusion_Condition_5</v>
      </c>
      <c r="I515" s="98" t="s">
        <v>630</v>
      </c>
      <c r="J515" s="98" t="s">
        <v>379</v>
      </c>
      <c r="K515" s="98" t="s">
        <v>378</v>
      </c>
    </row>
    <row r="516" spans="2:11" x14ac:dyDescent="0.25">
      <c r="B516" s="98" t="s">
        <v>891</v>
      </c>
      <c r="C516" s="98" t="s">
        <v>619</v>
      </c>
      <c r="D516" s="98" t="s">
        <v>631</v>
      </c>
      <c r="E516" s="98" t="s">
        <v>814</v>
      </c>
      <c r="F516" s="98" t="s">
        <v>813</v>
      </c>
      <c r="G516" s="98">
        <v>7</v>
      </c>
      <c r="H516" s="98" t="str">
        <f t="shared" si="43"/>
        <v>BSS-TC-23180 TC_OBI_005_CR109_PM1.4_Exclusion_Condition_5</v>
      </c>
      <c r="I516" s="98" t="s">
        <v>630</v>
      </c>
      <c r="J516" s="98" t="s">
        <v>381</v>
      </c>
      <c r="K516" s="98" t="s">
        <v>380</v>
      </c>
    </row>
    <row r="517" spans="2:11" x14ac:dyDescent="0.25">
      <c r="B517" s="98" t="s">
        <v>891</v>
      </c>
      <c r="C517" s="98" t="s">
        <v>619</v>
      </c>
      <c r="D517" s="98" t="s">
        <v>631</v>
      </c>
      <c r="E517" s="98" t="s">
        <v>407</v>
      </c>
      <c r="F517" s="98" t="s">
        <v>813</v>
      </c>
      <c r="G517" s="98">
        <v>8</v>
      </c>
      <c r="H517" s="98" t="str">
        <f t="shared" si="43"/>
        <v>BSS-TC-23180 TC_OBI_005_CR109_PM1.4_Exclusion_Condition_5</v>
      </c>
      <c r="I517" s="98" t="s">
        <v>630</v>
      </c>
      <c r="J517" s="98" t="s">
        <v>383</v>
      </c>
      <c r="K517" s="98" t="s">
        <v>631</v>
      </c>
    </row>
    <row r="518" spans="2:11" x14ac:dyDescent="0.25">
      <c r="B518" s="98" t="s">
        <v>891</v>
      </c>
      <c r="C518" s="98" t="s">
        <v>619</v>
      </c>
      <c r="D518" s="98" t="s">
        <v>631</v>
      </c>
      <c r="E518" s="98" t="s">
        <v>408</v>
      </c>
      <c r="F518" s="98" t="s">
        <v>813</v>
      </c>
      <c r="G518" s="98">
        <v>9</v>
      </c>
      <c r="H518" s="98" t="str">
        <f t="shared" si="43"/>
        <v>BSS-TC-23180 TC_OBI_005_CR109_PM1.4_Exclusion_Condition_5</v>
      </c>
      <c r="I518" s="98" t="s">
        <v>630</v>
      </c>
      <c r="J518" s="98" t="s">
        <v>409</v>
      </c>
      <c r="K518" s="98" t="s">
        <v>631</v>
      </c>
    </row>
    <row r="519" spans="2:11" x14ac:dyDescent="0.25">
      <c r="B519" s="98" t="s">
        <v>891</v>
      </c>
      <c r="C519" s="98" t="s">
        <v>619</v>
      </c>
      <c r="D519" s="98" t="s">
        <v>631</v>
      </c>
      <c r="E519" s="98" t="s">
        <v>815</v>
      </c>
      <c r="F519" s="98" t="s">
        <v>813</v>
      </c>
      <c r="G519" s="98">
        <v>10</v>
      </c>
      <c r="H519" s="98" t="str">
        <f t="shared" si="43"/>
        <v>BSS-TC-23180 TC_OBI_005_CR109_PM1.4_Exclusion_Condition_5</v>
      </c>
      <c r="I519" s="98" t="s">
        <v>630</v>
      </c>
      <c r="J519" s="98" t="s">
        <v>381</v>
      </c>
      <c r="K519" s="98" t="s">
        <v>380</v>
      </c>
    </row>
    <row r="520" spans="2:11" x14ac:dyDescent="0.25">
      <c r="B520" s="98" t="s">
        <v>892</v>
      </c>
      <c r="C520" s="98" t="s">
        <v>539</v>
      </c>
      <c r="D520" s="98" t="s">
        <v>631</v>
      </c>
      <c r="E520" s="98" t="s">
        <v>265</v>
      </c>
      <c r="F520" s="98" t="s">
        <v>338</v>
      </c>
      <c r="G520" s="98">
        <v>1</v>
      </c>
      <c r="H520" s="98" t="str">
        <f>HYPERLINK("http://rms/perspective.req?projectId=233&amp;docId=959513","BSS-TC-23230 TC_OBI_005_CR109_PM1.4_Legend_Validation")</f>
        <v>BSS-TC-23230 TC_OBI_005_CR109_PM1.4_Legend_Validation</v>
      </c>
      <c r="I520" s="98" t="s">
        <v>630</v>
      </c>
      <c r="J520" s="98" t="s">
        <v>266</v>
      </c>
      <c r="K520" s="98" t="s">
        <v>631</v>
      </c>
    </row>
    <row r="521" spans="2:11" x14ac:dyDescent="0.25">
      <c r="B521" s="98" t="s">
        <v>892</v>
      </c>
      <c r="C521" s="98" t="s">
        <v>539</v>
      </c>
      <c r="D521" s="98" t="s">
        <v>631</v>
      </c>
      <c r="E521" s="98" t="s">
        <v>267</v>
      </c>
      <c r="F521" s="98" t="s">
        <v>338</v>
      </c>
      <c r="G521" s="98">
        <v>2</v>
      </c>
      <c r="H521" s="98" t="str">
        <f>HYPERLINK("http://rms/perspective.req?projectId=233&amp;docId=959513","BSS-TC-23230 TC_OBI_005_CR109_PM1.4_Legend_Validation")</f>
        <v>BSS-TC-23230 TC_OBI_005_CR109_PM1.4_Legend_Validation</v>
      </c>
      <c r="I521" s="98" t="s">
        <v>630</v>
      </c>
      <c r="J521" s="98" t="s">
        <v>27</v>
      </c>
      <c r="K521" s="98" t="s">
        <v>631</v>
      </c>
    </row>
    <row r="522" spans="2:11" x14ac:dyDescent="0.25">
      <c r="B522" s="98" t="s">
        <v>892</v>
      </c>
      <c r="C522" s="98" t="s">
        <v>539</v>
      </c>
      <c r="D522" s="98" t="s">
        <v>631</v>
      </c>
      <c r="E522" s="98" t="s">
        <v>339</v>
      </c>
      <c r="F522" s="98" t="s">
        <v>338</v>
      </c>
      <c r="G522" s="98">
        <v>3</v>
      </c>
      <c r="H522" s="98" t="str">
        <f>HYPERLINK("http://rms/perspective.req?projectId=233&amp;docId=959513","BSS-TC-23230 TC_OBI_005_CR109_PM1.4_Legend_Validation")</f>
        <v>BSS-TC-23230 TC_OBI_005_CR109_PM1.4_Legend_Validation</v>
      </c>
      <c r="I522" s="98" t="s">
        <v>630</v>
      </c>
      <c r="J522" s="98" t="s">
        <v>737</v>
      </c>
      <c r="K522" s="98" t="s">
        <v>340</v>
      </c>
    </row>
    <row r="523" spans="2:11" x14ac:dyDescent="0.25">
      <c r="B523" s="98" t="s">
        <v>893</v>
      </c>
      <c r="C523" s="98" t="s">
        <v>132</v>
      </c>
      <c r="D523" s="98" t="s">
        <v>631</v>
      </c>
      <c r="E523" s="98" t="s">
        <v>816</v>
      </c>
      <c r="F523" s="98" t="s">
        <v>131</v>
      </c>
      <c r="G523" s="98">
        <v>1</v>
      </c>
      <c r="H523" s="98" t="str">
        <f t="shared" ref="H523:H531" si="44">HYPERLINK("http://rms/perspective.req?projectId=233&amp;docId=959363","BSS-TC-23147 TC_OBI_PM 1.4_004_CH Qualification against PM_Missed _Incident raised&lt;=10 days  from outage notication and not an allowed exception")</f>
        <v>BSS-TC-23147 TC_OBI_PM 1.4_004_CH Qualification against PM_Missed _Incident raised&lt;=10 days  from outage notication and not an allowed exception</v>
      </c>
      <c r="I523" s="98" t="s">
        <v>630</v>
      </c>
      <c r="J523" s="98" t="s">
        <v>80</v>
      </c>
      <c r="K523" s="98" t="s">
        <v>517</v>
      </c>
    </row>
    <row r="524" spans="2:11" x14ac:dyDescent="0.25">
      <c r="B524" s="98" t="s">
        <v>893</v>
      </c>
      <c r="C524" s="98" t="s">
        <v>132</v>
      </c>
      <c r="D524" s="98" t="s">
        <v>631</v>
      </c>
      <c r="E524" s="98" t="s">
        <v>18</v>
      </c>
      <c r="F524" s="98" t="s">
        <v>131</v>
      </c>
      <c r="G524" s="98">
        <v>2</v>
      </c>
      <c r="H524" s="98" t="str">
        <f t="shared" si="44"/>
        <v>BSS-TC-23147 TC_OBI_PM 1.4_004_CH Qualification against PM_Missed _Incident raised&lt;=10 days  from outage notication and not an allowed exception</v>
      </c>
      <c r="I524" s="98" t="s">
        <v>630</v>
      </c>
      <c r="J524" s="98" t="s">
        <v>20</v>
      </c>
      <c r="K524" s="98" t="s">
        <v>631</v>
      </c>
    </row>
    <row r="525" spans="2:11" x14ac:dyDescent="0.25">
      <c r="B525" s="98" t="s">
        <v>893</v>
      </c>
      <c r="C525" s="98" t="s">
        <v>132</v>
      </c>
      <c r="D525" s="98" t="s">
        <v>631</v>
      </c>
      <c r="E525" s="98" t="s">
        <v>21</v>
      </c>
      <c r="F525" s="98" t="s">
        <v>131</v>
      </c>
      <c r="G525" s="98">
        <v>3</v>
      </c>
      <c r="H525" s="98" t="str">
        <f t="shared" si="44"/>
        <v>BSS-TC-23147 TC_OBI_PM 1.4_004_CH Qualification against PM_Missed _Incident raised&lt;=10 days  from outage notication and not an allowed exception</v>
      </c>
      <c r="I525" s="98" t="s">
        <v>630</v>
      </c>
      <c r="J525" s="98" t="s">
        <v>22</v>
      </c>
      <c r="K525" s="98" t="s">
        <v>631</v>
      </c>
    </row>
    <row r="526" spans="2:11" x14ac:dyDescent="0.25">
      <c r="B526" s="98" t="s">
        <v>893</v>
      </c>
      <c r="C526" s="98" t="s">
        <v>132</v>
      </c>
      <c r="D526" s="98" t="s">
        <v>631</v>
      </c>
      <c r="E526" s="98" t="s">
        <v>23</v>
      </c>
      <c r="F526" s="98" t="s">
        <v>131</v>
      </c>
      <c r="G526" s="98">
        <v>4</v>
      </c>
      <c r="H526" s="98" t="str">
        <f t="shared" si="44"/>
        <v>BSS-TC-23147 TC_OBI_PM 1.4_004_CH Qualification against PM_Missed _Incident raised&lt;=10 days  from outage notication and not an allowed exception</v>
      </c>
      <c r="I526" s="98" t="s">
        <v>630</v>
      </c>
      <c r="J526" s="98" t="s">
        <v>41</v>
      </c>
      <c r="K526" s="98" t="s">
        <v>631</v>
      </c>
    </row>
    <row r="527" spans="2:11" x14ac:dyDescent="0.25">
      <c r="B527" s="98" t="s">
        <v>893</v>
      </c>
      <c r="C527" s="98" t="s">
        <v>132</v>
      </c>
      <c r="D527" s="98" t="s">
        <v>631</v>
      </c>
      <c r="E527" s="98" t="s">
        <v>43</v>
      </c>
      <c r="F527" s="98" t="s">
        <v>131</v>
      </c>
      <c r="G527" s="98">
        <v>5</v>
      </c>
      <c r="H527" s="98" t="str">
        <f t="shared" si="44"/>
        <v>BSS-TC-23147 TC_OBI_PM 1.4_004_CH Qualification against PM_Missed _Incident raised&lt;=10 days  from outage notication and not an allowed exception</v>
      </c>
      <c r="I527" s="98" t="s">
        <v>630</v>
      </c>
      <c r="J527" s="98" t="s">
        <v>44</v>
      </c>
      <c r="K527" s="98" t="s">
        <v>631</v>
      </c>
    </row>
    <row r="528" spans="2:11" x14ac:dyDescent="0.25">
      <c r="B528" s="98" t="s">
        <v>893</v>
      </c>
      <c r="C528" s="98" t="s">
        <v>132</v>
      </c>
      <c r="D528" s="98" t="s">
        <v>631</v>
      </c>
      <c r="E528" s="98" t="s">
        <v>25</v>
      </c>
      <c r="F528" s="98" t="s">
        <v>131</v>
      </c>
      <c r="G528" s="98">
        <v>6</v>
      </c>
      <c r="H528" s="98" t="str">
        <f t="shared" si="44"/>
        <v>BSS-TC-23147 TC_OBI_PM 1.4_004_CH Qualification against PM_Missed _Incident raised&lt;=10 days  from outage notication and not an allowed exception</v>
      </c>
      <c r="I528" s="98" t="s">
        <v>630</v>
      </c>
      <c r="J528" s="98" t="s">
        <v>27</v>
      </c>
      <c r="K528" s="98" t="s">
        <v>631</v>
      </c>
    </row>
    <row r="529" spans="2:11" x14ac:dyDescent="0.25">
      <c r="B529" s="98" t="s">
        <v>893</v>
      </c>
      <c r="C529" s="98" t="s">
        <v>132</v>
      </c>
      <c r="D529" s="98" t="s">
        <v>631</v>
      </c>
      <c r="E529" s="98" t="s">
        <v>521</v>
      </c>
      <c r="F529" s="98" t="s">
        <v>131</v>
      </c>
      <c r="G529" s="98">
        <v>7</v>
      </c>
      <c r="H529" s="98" t="str">
        <f t="shared" si="44"/>
        <v>BSS-TC-23147 TC_OBI_PM 1.4_004_CH Qualification against PM_Missed _Incident raised&lt;=10 days  from outage notication and not an allowed exception</v>
      </c>
      <c r="I529" s="98" t="s">
        <v>630</v>
      </c>
      <c r="J529" s="98" t="s">
        <v>522</v>
      </c>
      <c r="K529" s="98" t="s">
        <v>631</v>
      </c>
    </row>
    <row r="530" spans="2:11" x14ac:dyDescent="0.25">
      <c r="B530" s="98" t="s">
        <v>893</v>
      </c>
      <c r="C530" s="98" t="s">
        <v>132</v>
      </c>
      <c r="D530" s="98" t="s">
        <v>631</v>
      </c>
      <c r="E530" s="98" t="s">
        <v>50</v>
      </c>
      <c r="F530" s="98" t="s">
        <v>131</v>
      </c>
      <c r="G530" s="98">
        <v>8</v>
      </c>
      <c r="H530" s="98" t="str">
        <f t="shared" si="44"/>
        <v>BSS-TC-23147 TC_OBI_PM 1.4_004_CH Qualification against PM_Missed _Incident raised&lt;=10 days  from outage notication and not an allowed exception</v>
      </c>
      <c r="I530" s="98" t="s">
        <v>630</v>
      </c>
      <c r="J530" s="98" t="s">
        <v>51</v>
      </c>
      <c r="K530" s="98" t="s">
        <v>631</v>
      </c>
    </row>
    <row r="531" spans="2:11" x14ac:dyDescent="0.25">
      <c r="B531" s="98" t="s">
        <v>893</v>
      </c>
      <c r="C531" s="98" t="s">
        <v>132</v>
      </c>
      <c r="D531" s="98" t="s">
        <v>631</v>
      </c>
      <c r="E531" s="98" t="s">
        <v>731</v>
      </c>
      <c r="F531" s="98" t="s">
        <v>131</v>
      </c>
      <c r="G531" s="98">
        <v>9</v>
      </c>
      <c r="H531" s="98" t="str">
        <f t="shared" si="44"/>
        <v>BSS-TC-23147 TC_OBI_PM 1.4_004_CH Qualification against PM_Missed _Incident raised&lt;=10 days  from outage notication and not an allowed exception</v>
      </c>
      <c r="I531" s="98" t="s">
        <v>630</v>
      </c>
      <c r="J531" s="98" t="s">
        <v>732</v>
      </c>
      <c r="K531" s="98" t="s">
        <v>119</v>
      </c>
    </row>
    <row r="532" spans="2:11" x14ac:dyDescent="0.25">
      <c r="B532" s="98" t="s">
        <v>894</v>
      </c>
      <c r="C532" s="98" t="s">
        <v>540</v>
      </c>
      <c r="D532" s="98" t="s">
        <v>631</v>
      </c>
      <c r="E532" s="98" t="s">
        <v>265</v>
      </c>
      <c r="F532" s="98" t="s">
        <v>343</v>
      </c>
      <c r="G532" s="98">
        <v>1</v>
      </c>
      <c r="H532" s="98" t="str">
        <f>HYPERLINK("http://rms/perspective.req?projectId=233&amp;docId=959514","BSS-TC-23231 TC_OBI_006_CR109_PM1.4_""Click here for report values table"" _Link_Under_Monthly_Bar_chart")</f>
        <v>BSS-TC-23231 TC_OBI_006_CR109_PM1.4_"Click here for report values table" _Link_Under_Monthly_Bar_chart</v>
      </c>
      <c r="I532" s="98" t="s">
        <v>630</v>
      </c>
      <c r="J532" s="98" t="s">
        <v>266</v>
      </c>
      <c r="K532" s="98" t="s">
        <v>631</v>
      </c>
    </row>
    <row r="533" spans="2:11" x14ac:dyDescent="0.25">
      <c r="B533" s="98" t="s">
        <v>894</v>
      </c>
      <c r="C533" s="98" t="s">
        <v>540</v>
      </c>
      <c r="D533" s="98" t="s">
        <v>631</v>
      </c>
      <c r="E533" s="98" t="s">
        <v>267</v>
      </c>
      <c r="F533" s="98" t="s">
        <v>343</v>
      </c>
      <c r="G533" s="98">
        <v>2</v>
      </c>
      <c r="H533" s="98" t="str">
        <f>HYPERLINK("http://rms/perspective.req?projectId=233&amp;docId=959514","BSS-TC-23231 TC_OBI_006_CR109_PM1.4_""Click here for report values table"" _Link_Under_Monthly_Bar_chart")</f>
        <v>BSS-TC-23231 TC_OBI_006_CR109_PM1.4_"Click here for report values table" _Link_Under_Monthly_Bar_chart</v>
      </c>
      <c r="I533" s="98" t="s">
        <v>630</v>
      </c>
      <c r="J533" s="98" t="s">
        <v>27</v>
      </c>
      <c r="K533" s="98" t="s">
        <v>631</v>
      </c>
    </row>
    <row r="534" spans="2:11" x14ac:dyDescent="0.25">
      <c r="B534" s="98" t="s">
        <v>894</v>
      </c>
      <c r="C534" s="98" t="s">
        <v>540</v>
      </c>
      <c r="D534" s="98" t="s">
        <v>631</v>
      </c>
      <c r="E534" s="98" t="s">
        <v>344</v>
      </c>
      <c r="F534" s="98" t="s">
        <v>343</v>
      </c>
      <c r="G534" s="98">
        <v>3</v>
      </c>
      <c r="H534" s="98" t="str">
        <f>HYPERLINK("http://rms/perspective.req?projectId=233&amp;docId=959514","BSS-TC-23231 TC_OBI_006_CR109_PM1.4_""Click here for report values table"" _Link_Under_Monthly_Bar_chart")</f>
        <v>BSS-TC-23231 TC_OBI_006_CR109_PM1.4_"Click here for report values table" _Link_Under_Monthly_Bar_chart</v>
      </c>
      <c r="I534" s="98" t="s">
        <v>630</v>
      </c>
      <c r="J534" s="98" t="s">
        <v>346</v>
      </c>
      <c r="K534" s="98" t="s">
        <v>345</v>
      </c>
    </row>
    <row r="535" spans="2:11" x14ac:dyDescent="0.25">
      <c r="B535" s="98" t="s">
        <v>894</v>
      </c>
      <c r="C535" s="98" t="s">
        <v>540</v>
      </c>
      <c r="D535" s="98" t="s">
        <v>631</v>
      </c>
      <c r="E535" s="98" t="s">
        <v>738</v>
      </c>
      <c r="F535" s="98" t="s">
        <v>343</v>
      </c>
      <c r="G535" s="98">
        <v>4</v>
      </c>
      <c r="H535" s="98" t="str">
        <f>HYPERLINK("http://rms/perspective.req?projectId=233&amp;docId=959514","BSS-TC-23231 TC_OBI_006_CR109_PM1.4_""Click here for report values table"" _Link_Under_Monthly_Bar_chart")</f>
        <v>BSS-TC-23231 TC_OBI_006_CR109_PM1.4_"Click here for report values table" _Link_Under_Monthly_Bar_chart</v>
      </c>
      <c r="I535" s="98" t="s">
        <v>630</v>
      </c>
      <c r="J535" s="98" t="s">
        <v>739</v>
      </c>
      <c r="K535" s="98" t="s">
        <v>348</v>
      </c>
    </row>
    <row r="536" spans="2:11" x14ac:dyDescent="0.25">
      <c r="B536" s="98" t="s">
        <v>895</v>
      </c>
      <c r="C536" s="98" t="s">
        <v>133</v>
      </c>
      <c r="D536" s="98" t="s">
        <v>631</v>
      </c>
      <c r="E536" s="98" t="s">
        <v>817</v>
      </c>
      <c r="F536" s="98" t="s">
        <v>134</v>
      </c>
      <c r="G536" s="98">
        <v>1</v>
      </c>
      <c r="H536" s="98" t="str">
        <f t="shared" ref="H536:H544" si="45">HYPERLINK("http://rms/perspective.req?projectId=233&amp;docId=959364","BSS-TC-23148 TC_OBI_PM 1.4_005_CH Qualification against PM_Missed _CH Gets unconnected more than once ina month.")</f>
        <v>BSS-TC-23148 TC_OBI_PM 1.4_005_CH Qualification against PM_Missed _CH Gets unconnected more than once ina month.</v>
      </c>
      <c r="I536" s="98" t="s">
        <v>630</v>
      </c>
      <c r="J536" s="98" t="s">
        <v>80</v>
      </c>
      <c r="K536" s="98" t="s">
        <v>517</v>
      </c>
    </row>
    <row r="537" spans="2:11" x14ac:dyDescent="0.25">
      <c r="B537" s="98" t="s">
        <v>895</v>
      </c>
      <c r="C537" s="98" t="s">
        <v>133</v>
      </c>
      <c r="D537" s="98" t="s">
        <v>631</v>
      </c>
      <c r="E537" s="98" t="s">
        <v>18</v>
      </c>
      <c r="F537" s="98" t="s">
        <v>134</v>
      </c>
      <c r="G537" s="98">
        <v>2</v>
      </c>
      <c r="H537" s="98" t="str">
        <f t="shared" si="45"/>
        <v>BSS-TC-23148 TC_OBI_PM 1.4_005_CH Qualification against PM_Missed _CH Gets unconnected more than once ina month.</v>
      </c>
      <c r="I537" s="98" t="s">
        <v>630</v>
      </c>
      <c r="J537" s="98" t="s">
        <v>20</v>
      </c>
      <c r="K537" s="98" t="s">
        <v>631</v>
      </c>
    </row>
    <row r="538" spans="2:11" x14ac:dyDescent="0.25">
      <c r="B538" s="98" t="s">
        <v>895</v>
      </c>
      <c r="C538" s="98" t="s">
        <v>133</v>
      </c>
      <c r="D538" s="98" t="s">
        <v>631</v>
      </c>
      <c r="E538" s="98" t="s">
        <v>21</v>
      </c>
      <c r="F538" s="98" t="s">
        <v>134</v>
      </c>
      <c r="G538" s="98">
        <v>3</v>
      </c>
      <c r="H538" s="98" t="str">
        <f t="shared" si="45"/>
        <v>BSS-TC-23148 TC_OBI_PM 1.4_005_CH Qualification against PM_Missed _CH Gets unconnected more than once ina month.</v>
      </c>
      <c r="I538" s="98" t="s">
        <v>630</v>
      </c>
      <c r="J538" s="98" t="s">
        <v>22</v>
      </c>
      <c r="K538" s="98" t="s">
        <v>631</v>
      </c>
    </row>
    <row r="539" spans="2:11" x14ac:dyDescent="0.25">
      <c r="B539" s="98" t="s">
        <v>895</v>
      </c>
      <c r="C539" s="98" t="s">
        <v>133</v>
      </c>
      <c r="D539" s="98" t="s">
        <v>631</v>
      </c>
      <c r="E539" s="98" t="s">
        <v>23</v>
      </c>
      <c r="F539" s="98" t="s">
        <v>134</v>
      </c>
      <c r="G539" s="98">
        <v>4</v>
      </c>
      <c r="H539" s="98" t="str">
        <f t="shared" si="45"/>
        <v>BSS-TC-23148 TC_OBI_PM 1.4_005_CH Qualification against PM_Missed _CH Gets unconnected more than once ina month.</v>
      </c>
      <c r="I539" s="98" t="s">
        <v>630</v>
      </c>
      <c r="J539" s="98" t="s">
        <v>41</v>
      </c>
      <c r="K539" s="98" t="s">
        <v>631</v>
      </c>
    </row>
    <row r="540" spans="2:11" x14ac:dyDescent="0.25">
      <c r="B540" s="98" t="s">
        <v>895</v>
      </c>
      <c r="C540" s="98" t="s">
        <v>133</v>
      </c>
      <c r="D540" s="98" t="s">
        <v>631</v>
      </c>
      <c r="E540" s="98" t="s">
        <v>43</v>
      </c>
      <c r="F540" s="98" t="s">
        <v>134</v>
      </c>
      <c r="G540" s="98">
        <v>5</v>
      </c>
      <c r="H540" s="98" t="str">
        <f t="shared" si="45"/>
        <v>BSS-TC-23148 TC_OBI_PM 1.4_005_CH Qualification against PM_Missed _CH Gets unconnected more than once ina month.</v>
      </c>
      <c r="I540" s="98" t="s">
        <v>630</v>
      </c>
      <c r="J540" s="98" t="s">
        <v>44</v>
      </c>
      <c r="K540" s="98" t="s">
        <v>631</v>
      </c>
    </row>
    <row r="541" spans="2:11" x14ac:dyDescent="0.25">
      <c r="B541" s="98" t="s">
        <v>895</v>
      </c>
      <c r="C541" s="98" t="s">
        <v>133</v>
      </c>
      <c r="D541" s="98" t="s">
        <v>631</v>
      </c>
      <c r="E541" s="98" t="s">
        <v>25</v>
      </c>
      <c r="F541" s="98" t="s">
        <v>134</v>
      </c>
      <c r="G541" s="98">
        <v>6</v>
      </c>
      <c r="H541" s="98" t="str">
        <f t="shared" si="45"/>
        <v>BSS-TC-23148 TC_OBI_PM 1.4_005_CH Qualification against PM_Missed _CH Gets unconnected more than once ina month.</v>
      </c>
      <c r="I541" s="98" t="s">
        <v>630</v>
      </c>
      <c r="J541" s="98" t="s">
        <v>27</v>
      </c>
      <c r="K541" s="98" t="s">
        <v>631</v>
      </c>
    </row>
    <row r="542" spans="2:11" x14ac:dyDescent="0.25">
      <c r="B542" s="98" t="s">
        <v>895</v>
      </c>
      <c r="C542" s="98" t="s">
        <v>133</v>
      </c>
      <c r="D542" s="98" t="s">
        <v>631</v>
      </c>
      <c r="E542" s="98" t="s">
        <v>521</v>
      </c>
      <c r="F542" s="98" t="s">
        <v>134</v>
      </c>
      <c r="G542" s="98">
        <v>7</v>
      </c>
      <c r="H542" s="98" t="str">
        <f t="shared" si="45"/>
        <v>BSS-TC-23148 TC_OBI_PM 1.4_005_CH Qualification against PM_Missed _CH Gets unconnected more than once ina month.</v>
      </c>
      <c r="I542" s="98" t="s">
        <v>630</v>
      </c>
      <c r="J542" s="98" t="s">
        <v>522</v>
      </c>
      <c r="K542" s="98" t="s">
        <v>631</v>
      </c>
    </row>
    <row r="543" spans="2:11" x14ac:dyDescent="0.25">
      <c r="B543" s="98" t="s">
        <v>895</v>
      </c>
      <c r="C543" s="98" t="s">
        <v>133</v>
      </c>
      <c r="D543" s="98" t="s">
        <v>631</v>
      </c>
      <c r="E543" s="98" t="s">
        <v>50</v>
      </c>
      <c r="F543" s="98" t="s">
        <v>134</v>
      </c>
      <c r="G543" s="98">
        <v>8</v>
      </c>
      <c r="H543" s="98" t="str">
        <f t="shared" si="45"/>
        <v>BSS-TC-23148 TC_OBI_PM 1.4_005_CH Qualification against PM_Missed _CH Gets unconnected more than once ina month.</v>
      </c>
      <c r="I543" s="98" t="s">
        <v>630</v>
      </c>
      <c r="J543" s="98" t="s">
        <v>51</v>
      </c>
      <c r="K543" s="98" t="s">
        <v>631</v>
      </c>
    </row>
    <row r="544" spans="2:11" x14ac:dyDescent="0.25">
      <c r="B544" s="98" t="s">
        <v>895</v>
      </c>
      <c r="C544" s="98" t="s">
        <v>133</v>
      </c>
      <c r="D544" s="98" t="s">
        <v>631</v>
      </c>
      <c r="E544" s="98" t="s">
        <v>731</v>
      </c>
      <c r="F544" s="98" t="s">
        <v>134</v>
      </c>
      <c r="G544" s="98">
        <v>9</v>
      </c>
      <c r="H544" s="98" t="str">
        <f t="shared" si="45"/>
        <v>BSS-TC-23148 TC_OBI_PM 1.4_005_CH Qualification against PM_Missed _CH Gets unconnected more than once ina month.</v>
      </c>
      <c r="I544" s="98" t="s">
        <v>630</v>
      </c>
      <c r="J544" s="98" t="s">
        <v>732</v>
      </c>
      <c r="K544" s="98" t="s">
        <v>119</v>
      </c>
    </row>
    <row r="545" spans="2:11" x14ac:dyDescent="0.25">
      <c r="B545" s="98" t="s">
        <v>896</v>
      </c>
      <c r="C545" s="98" t="s">
        <v>541</v>
      </c>
      <c r="D545" s="98" t="s">
        <v>631</v>
      </c>
      <c r="E545" s="98" t="s">
        <v>265</v>
      </c>
      <c r="F545" s="98" t="s">
        <v>318</v>
      </c>
      <c r="G545" s="98">
        <v>1</v>
      </c>
      <c r="H545" s="98" t="str">
        <f t="shared" ref="H545:H550" si="46">HYPERLINK("http://rms/perspective.req?projectId=233&amp;docId=959515","BSS-TC-23232 TC_OBI_007_CR109_PM1.4_Mid_Level_Report_Barchart_and_Tabular_View_Validation")</f>
        <v>BSS-TC-23232 TC_OBI_007_CR109_PM1.4_Mid_Level_Report_Barchart_and_Tabular_View_Validation</v>
      </c>
      <c r="I545" s="98" t="s">
        <v>630</v>
      </c>
      <c r="J545" s="98" t="s">
        <v>266</v>
      </c>
      <c r="K545" s="98" t="s">
        <v>631</v>
      </c>
    </row>
    <row r="546" spans="2:11" x14ac:dyDescent="0.25">
      <c r="B546" s="98" t="s">
        <v>896</v>
      </c>
      <c r="C546" s="98" t="s">
        <v>541</v>
      </c>
      <c r="D546" s="98" t="s">
        <v>631</v>
      </c>
      <c r="E546" s="98" t="s">
        <v>267</v>
      </c>
      <c r="F546" s="98" t="s">
        <v>318</v>
      </c>
      <c r="G546" s="98">
        <v>2</v>
      </c>
      <c r="H546" s="98" t="str">
        <f t="shared" si="46"/>
        <v>BSS-TC-23232 TC_OBI_007_CR109_PM1.4_Mid_Level_Report_Barchart_and_Tabular_View_Validation</v>
      </c>
      <c r="I546" s="98" t="s">
        <v>630</v>
      </c>
      <c r="J546" s="98" t="s">
        <v>27</v>
      </c>
      <c r="K546" s="98" t="s">
        <v>631</v>
      </c>
    </row>
    <row r="547" spans="2:11" x14ac:dyDescent="0.25">
      <c r="B547" s="98" t="s">
        <v>896</v>
      </c>
      <c r="C547" s="98" t="s">
        <v>541</v>
      </c>
      <c r="D547" s="98" t="s">
        <v>631</v>
      </c>
      <c r="E547" s="98" t="s">
        <v>268</v>
      </c>
      <c r="F547" s="98" t="s">
        <v>318</v>
      </c>
      <c r="G547" s="98">
        <v>3</v>
      </c>
      <c r="H547" s="98" t="str">
        <f t="shared" si="46"/>
        <v>BSS-TC-23232 TC_OBI_007_CR109_PM1.4_Mid_Level_Report_Barchart_and_Tabular_View_Validation</v>
      </c>
      <c r="I547" s="98" t="s">
        <v>630</v>
      </c>
      <c r="J547" s="98" t="s">
        <v>270</v>
      </c>
      <c r="K547" s="98" t="s">
        <v>269</v>
      </c>
    </row>
    <row r="548" spans="2:11" x14ac:dyDescent="0.25">
      <c r="B548" s="98" t="s">
        <v>896</v>
      </c>
      <c r="C548" s="98" t="s">
        <v>541</v>
      </c>
      <c r="D548" s="98" t="s">
        <v>631</v>
      </c>
      <c r="E548" s="98" t="s">
        <v>319</v>
      </c>
      <c r="F548" s="98" t="s">
        <v>318</v>
      </c>
      <c r="G548" s="98">
        <v>4</v>
      </c>
      <c r="H548" s="98" t="str">
        <f t="shared" si="46"/>
        <v>BSS-TC-23232 TC_OBI_007_CR109_PM1.4_Mid_Level_Report_Barchart_and_Tabular_View_Validation</v>
      </c>
      <c r="I548" s="98" t="s">
        <v>630</v>
      </c>
      <c r="J548" s="98" t="s">
        <v>818</v>
      </c>
      <c r="K548" s="98" t="s">
        <v>320</v>
      </c>
    </row>
    <row r="549" spans="2:11" x14ac:dyDescent="0.25">
      <c r="B549" s="98" t="s">
        <v>896</v>
      </c>
      <c r="C549" s="98" t="s">
        <v>541</v>
      </c>
      <c r="D549" s="98" t="s">
        <v>631</v>
      </c>
      <c r="E549" s="98" t="s">
        <v>322</v>
      </c>
      <c r="F549" s="98" t="s">
        <v>318</v>
      </c>
      <c r="G549" s="98">
        <v>5</v>
      </c>
      <c r="H549" s="98" t="str">
        <f t="shared" si="46"/>
        <v>BSS-TC-23232 TC_OBI_007_CR109_PM1.4_Mid_Level_Report_Barchart_and_Tabular_View_Validation</v>
      </c>
      <c r="I549" s="98" t="s">
        <v>630</v>
      </c>
      <c r="J549" s="98" t="s">
        <v>46</v>
      </c>
      <c r="K549" s="98" t="s">
        <v>631</v>
      </c>
    </row>
    <row r="550" spans="2:11" x14ac:dyDescent="0.25">
      <c r="B550" s="98" t="s">
        <v>896</v>
      </c>
      <c r="C550" s="98" t="s">
        <v>541</v>
      </c>
      <c r="D550" s="98" t="s">
        <v>631</v>
      </c>
      <c r="E550" s="98" t="s">
        <v>47</v>
      </c>
      <c r="F550" s="98" t="s">
        <v>318</v>
      </c>
      <c r="G550" s="98">
        <v>6</v>
      </c>
      <c r="H550" s="98" t="str">
        <f t="shared" si="46"/>
        <v>BSS-TC-23232 TC_OBI_007_CR109_PM1.4_Mid_Level_Report_Barchart_and_Tabular_View_Validation</v>
      </c>
      <c r="I550" s="98" t="s">
        <v>630</v>
      </c>
      <c r="J550" s="98" t="s">
        <v>48</v>
      </c>
      <c r="K550" s="98" t="s">
        <v>79</v>
      </c>
    </row>
    <row r="551" spans="2:11" x14ac:dyDescent="0.25">
      <c r="B551" s="98" t="s">
        <v>897</v>
      </c>
      <c r="C551" s="98" t="s">
        <v>135</v>
      </c>
      <c r="D551" s="98" t="s">
        <v>631</v>
      </c>
      <c r="E551" s="98" t="s">
        <v>819</v>
      </c>
      <c r="F551" s="98" t="s">
        <v>547</v>
      </c>
      <c r="G551" s="98">
        <v>1</v>
      </c>
      <c r="H551" s="98" t="str">
        <f t="shared" ref="H551:H559" si="47">HYPERLINK("http://rms/perspective.req?projectId=233&amp;docId=959365","BSS-TC-23149 TC_OBI_PM 1.4_006_CH Qualification against PM_Missed _Outage Duration_calculation")</f>
        <v>BSS-TC-23149 TC_OBI_PM 1.4_006_CH Qualification against PM_Missed _Outage Duration_calculation</v>
      </c>
      <c r="I551" s="98" t="s">
        <v>630</v>
      </c>
      <c r="J551" s="98" t="s">
        <v>80</v>
      </c>
      <c r="K551" s="98" t="s">
        <v>517</v>
      </c>
    </row>
    <row r="552" spans="2:11" x14ac:dyDescent="0.25">
      <c r="B552" s="98" t="s">
        <v>897</v>
      </c>
      <c r="C552" s="98" t="s">
        <v>135</v>
      </c>
      <c r="D552" s="98" t="s">
        <v>631</v>
      </c>
      <c r="E552" s="98" t="s">
        <v>18</v>
      </c>
      <c r="F552" s="98" t="s">
        <v>547</v>
      </c>
      <c r="G552" s="98">
        <v>2</v>
      </c>
      <c r="H552" s="98" t="str">
        <f t="shared" si="47"/>
        <v>BSS-TC-23149 TC_OBI_PM 1.4_006_CH Qualification against PM_Missed _Outage Duration_calculation</v>
      </c>
      <c r="I552" s="98" t="s">
        <v>630</v>
      </c>
      <c r="J552" s="98" t="s">
        <v>20</v>
      </c>
      <c r="K552" s="98" t="s">
        <v>631</v>
      </c>
    </row>
    <row r="553" spans="2:11" x14ac:dyDescent="0.25">
      <c r="B553" s="98" t="s">
        <v>897</v>
      </c>
      <c r="C553" s="98" t="s">
        <v>135</v>
      </c>
      <c r="D553" s="98" t="s">
        <v>631</v>
      </c>
      <c r="E553" s="98" t="s">
        <v>21</v>
      </c>
      <c r="F553" s="98" t="s">
        <v>547</v>
      </c>
      <c r="G553" s="98">
        <v>3</v>
      </c>
      <c r="H553" s="98" t="str">
        <f t="shared" si="47"/>
        <v>BSS-TC-23149 TC_OBI_PM 1.4_006_CH Qualification against PM_Missed _Outage Duration_calculation</v>
      </c>
      <c r="I553" s="98" t="s">
        <v>630</v>
      </c>
      <c r="J553" s="98" t="s">
        <v>22</v>
      </c>
      <c r="K553" s="98" t="s">
        <v>631</v>
      </c>
    </row>
    <row r="554" spans="2:11" x14ac:dyDescent="0.25">
      <c r="B554" s="98" t="s">
        <v>897</v>
      </c>
      <c r="C554" s="98" t="s">
        <v>135</v>
      </c>
      <c r="D554" s="98" t="s">
        <v>631</v>
      </c>
      <c r="E554" s="98" t="s">
        <v>23</v>
      </c>
      <c r="F554" s="98" t="s">
        <v>547</v>
      </c>
      <c r="G554" s="98">
        <v>4</v>
      </c>
      <c r="H554" s="98" t="str">
        <f t="shared" si="47"/>
        <v>BSS-TC-23149 TC_OBI_PM 1.4_006_CH Qualification against PM_Missed _Outage Duration_calculation</v>
      </c>
      <c r="I554" s="98" t="s">
        <v>630</v>
      </c>
      <c r="J554" s="98" t="s">
        <v>41</v>
      </c>
      <c r="K554" s="98" t="s">
        <v>631</v>
      </c>
    </row>
    <row r="555" spans="2:11" x14ac:dyDescent="0.25">
      <c r="B555" s="98" t="s">
        <v>897</v>
      </c>
      <c r="C555" s="98" t="s">
        <v>135</v>
      </c>
      <c r="D555" s="98" t="s">
        <v>631</v>
      </c>
      <c r="E555" s="98" t="s">
        <v>43</v>
      </c>
      <c r="F555" s="98" t="s">
        <v>547</v>
      </c>
      <c r="G555" s="98">
        <v>5</v>
      </c>
      <c r="H555" s="98" t="str">
        <f t="shared" si="47"/>
        <v>BSS-TC-23149 TC_OBI_PM 1.4_006_CH Qualification against PM_Missed _Outage Duration_calculation</v>
      </c>
      <c r="I555" s="98" t="s">
        <v>630</v>
      </c>
      <c r="J555" s="98" t="s">
        <v>44</v>
      </c>
      <c r="K555" s="98" t="s">
        <v>631</v>
      </c>
    </row>
    <row r="556" spans="2:11" x14ac:dyDescent="0.25">
      <c r="B556" s="98" t="s">
        <v>897</v>
      </c>
      <c r="C556" s="98" t="s">
        <v>135</v>
      </c>
      <c r="D556" s="98" t="s">
        <v>631</v>
      </c>
      <c r="E556" s="98" t="s">
        <v>25</v>
      </c>
      <c r="F556" s="98" t="s">
        <v>547</v>
      </c>
      <c r="G556" s="98">
        <v>6</v>
      </c>
      <c r="H556" s="98" t="str">
        <f t="shared" si="47"/>
        <v>BSS-TC-23149 TC_OBI_PM 1.4_006_CH Qualification against PM_Missed _Outage Duration_calculation</v>
      </c>
      <c r="I556" s="98" t="s">
        <v>630</v>
      </c>
      <c r="J556" s="98" t="s">
        <v>27</v>
      </c>
      <c r="K556" s="98" t="s">
        <v>631</v>
      </c>
    </row>
    <row r="557" spans="2:11" x14ac:dyDescent="0.25">
      <c r="B557" s="98" t="s">
        <v>897</v>
      </c>
      <c r="C557" s="98" t="s">
        <v>135</v>
      </c>
      <c r="D557" s="98" t="s">
        <v>631</v>
      </c>
      <c r="E557" s="98" t="s">
        <v>521</v>
      </c>
      <c r="F557" s="98" t="s">
        <v>547</v>
      </c>
      <c r="G557" s="98">
        <v>7</v>
      </c>
      <c r="H557" s="98" t="str">
        <f t="shared" si="47"/>
        <v>BSS-TC-23149 TC_OBI_PM 1.4_006_CH Qualification against PM_Missed _Outage Duration_calculation</v>
      </c>
      <c r="I557" s="98" t="s">
        <v>630</v>
      </c>
      <c r="J557" s="98" t="s">
        <v>522</v>
      </c>
      <c r="K557" s="98" t="s">
        <v>631</v>
      </c>
    </row>
    <row r="558" spans="2:11" x14ac:dyDescent="0.25">
      <c r="B558" s="98" t="s">
        <v>897</v>
      </c>
      <c r="C558" s="98" t="s">
        <v>135</v>
      </c>
      <c r="D558" s="98" t="s">
        <v>631</v>
      </c>
      <c r="E558" s="98" t="s">
        <v>50</v>
      </c>
      <c r="F558" s="98" t="s">
        <v>547</v>
      </c>
      <c r="G558" s="98">
        <v>8</v>
      </c>
      <c r="H558" s="98" t="str">
        <f t="shared" si="47"/>
        <v>BSS-TC-23149 TC_OBI_PM 1.4_006_CH Qualification against PM_Missed _Outage Duration_calculation</v>
      </c>
      <c r="I558" s="98" t="s">
        <v>630</v>
      </c>
      <c r="J558" s="98" t="s">
        <v>51</v>
      </c>
      <c r="K558" s="98" t="s">
        <v>631</v>
      </c>
    </row>
    <row r="559" spans="2:11" x14ac:dyDescent="0.25">
      <c r="B559" s="98" t="s">
        <v>897</v>
      </c>
      <c r="C559" s="98" t="s">
        <v>135</v>
      </c>
      <c r="D559" s="98" t="s">
        <v>631</v>
      </c>
      <c r="E559" s="98" t="s">
        <v>731</v>
      </c>
      <c r="F559" s="98" t="s">
        <v>547</v>
      </c>
      <c r="G559" s="98">
        <v>9</v>
      </c>
      <c r="H559" s="98" t="str">
        <f t="shared" si="47"/>
        <v>BSS-TC-23149 TC_OBI_PM 1.4_006_CH Qualification against PM_Missed _Outage Duration_calculation</v>
      </c>
      <c r="I559" s="98" t="s">
        <v>630</v>
      </c>
      <c r="J559" s="98" t="s">
        <v>820</v>
      </c>
      <c r="K559" s="98" t="s">
        <v>119</v>
      </c>
    </row>
    <row r="560" spans="2:11" x14ac:dyDescent="0.25">
      <c r="B560" s="98" t="s">
        <v>898</v>
      </c>
      <c r="C560" s="98" t="s">
        <v>255</v>
      </c>
      <c r="D560" s="98" t="s">
        <v>631</v>
      </c>
      <c r="E560" s="98" t="s">
        <v>821</v>
      </c>
      <c r="F560" s="98" t="s">
        <v>139</v>
      </c>
      <c r="G560" s="98">
        <v>1</v>
      </c>
      <c r="H560" s="98" t="str">
        <f t="shared" ref="H560:H569" si="48">HYPERLINK("http://rms/perspective.req?projectId=233&amp;docId=959366","BSS-TC-23150 TC_OBI_PM 1.4_007_Missed detail report _Outage 1_outage 2 Field validation")</f>
        <v>BSS-TC-23150 TC_OBI_PM 1.4_007_Missed detail report _Outage 1_outage 2 Field validation</v>
      </c>
      <c r="I560" s="98" t="s">
        <v>630</v>
      </c>
      <c r="J560" s="98" t="s">
        <v>80</v>
      </c>
      <c r="K560" s="98" t="s">
        <v>517</v>
      </c>
    </row>
    <row r="561" spans="2:11" x14ac:dyDescent="0.25">
      <c r="B561" s="98" t="s">
        <v>898</v>
      </c>
      <c r="C561" s="98" t="s">
        <v>255</v>
      </c>
      <c r="D561" s="98" t="s">
        <v>631</v>
      </c>
      <c r="E561" s="98" t="s">
        <v>822</v>
      </c>
      <c r="F561" s="98" t="s">
        <v>139</v>
      </c>
      <c r="G561" s="98">
        <v>2</v>
      </c>
      <c r="H561" s="98" t="str">
        <f t="shared" si="48"/>
        <v>BSS-TC-23150 TC_OBI_PM 1.4_007_Missed detail report _Outage 1_outage 2 Field validation</v>
      </c>
      <c r="I561" s="98" t="s">
        <v>630</v>
      </c>
      <c r="J561" s="98" t="s">
        <v>631</v>
      </c>
      <c r="K561" s="98" t="s">
        <v>517</v>
      </c>
    </row>
    <row r="562" spans="2:11" x14ac:dyDescent="0.25">
      <c r="B562" s="98" t="s">
        <v>898</v>
      </c>
      <c r="C562" s="98" t="s">
        <v>255</v>
      </c>
      <c r="D562" s="98" t="s">
        <v>631</v>
      </c>
      <c r="E562" s="98" t="s">
        <v>18</v>
      </c>
      <c r="F562" s="98" t="s">
        <v>139</v>
      </c>
      <c r="G562" s="98">
        <v>3</v>
      </c>
      <c r="H562" s="98" t="str">
        <f t="shared" si="48"/>
        <v>BSS-TC-23150 TC_OBI_PM 1.4_007_Missed detail report _Outage 1_outage 2 Field validation</v>
      </c>
      <c r="I562" s="98" t="s">
        <v>630</v>
      </c>
      <c r="J562" s="98" t="s">
        <v>20</v>
      </c>
      <c r="K562" s="98" t="s">
        <v>631</v>
      </c>
    </row>
    <row r="563" spans="2:11" x14ac:dyDescent="0.25">
      <c r="B563" s="98" t="s">
        <v>898</v>
      </c>
      <c r="C563" s="98" t="s">
        <v>255</v>
      </c>
      <c r="D563" s="98" t="s">
        <v>631</v>
      </c>
      <c r="E563" s="98" t="s">
        <v>21</v>
      </c>
      <c r="F563" s="98" t="s">
        <v>139</v>
      </c>
      <c r="G563" s="98">
        <v>4</v>
      </c>
      <c r="H563" s="98" t="str">
        <f t="shared" si="48"/>
        <v>BSS-TC-23150 TC_OBI_PM 1.4_007_Missed detail report _Outage 1_outage 2 Field validation</v>
      </c>
      <c r="I563" s="98" t="s">
        <v>630</v>
      </c>
      <c r="J563" s="98" t="s">
        <v>22</v>
      </c>
      <c r="K563" s="98" t="s">
        <v>631</v>
      </c>
    </row>
    <row r="564" spans="2:11" x14ac:dyDescent="0.25">
      <c r="B564" s="98" t="s">
        <v>898</v>
      </c>
      <c r="C564" s="98" t="s">
        <v>255</v>
      </c>
      <c r="D564" s="98" t="s">
        <v>631</v>
      </c>
      <c r="E564" s="98" t="s">
        <v>23</v>
      </c>
      <c r="F564" s="98" t="s">
        <v>139</v>
      </c>
      <c r="G564" s="98">
        <v>5</v>
      </c>
      <c r="H564" s="98" t="str">
        <f t="shared" si="48"/>
        <v>BSS-TC-23150 TC_OBI_PM 1.4_007_Missed detail report _Outage 1_outage 2 Field validation</v>
      </c>
      <c r="I564" s="98" t="s">
        <v>630</v>
      </c>
      <c r="J564" s="98" t="s">
        <v>41</v>
      </c>
      <c r="K564" s="98" t="s">
        <v>631</v>
      </c>
    </row>
    <row r="565" spans="2:11" x14ac:dyDescent="0.25">
      <c r="B565" s="98" t="s">
        <v>898</v>
      </c>
      <c r="C565" s="98" t="s">
        <v>255</v>
      </c>
      <c r="D565" s="98" t="s">
        <v>631</v>
      </c>
      <c r="E565" s="98" t="s">
        <v>43</v>
      </c>
      <c r="F565" s="98" t="s">
        <v>139</v>
      </c>
      <c r="G565" s="98">
        <v>6</v>
      </c>
      <c r="H565" s="98" t="str">
        <f t="shared" si="48"/>
        <v>BSS-TC-23150 TC_OBI_PM 1.4_007_Missed detail report _Outage 1_outage 2 Field validation</v>
      </c>
      <c r="I565" s="98" t="s">
        <v>630</v>
      </c>
      <c r="J565" s="98" t="s">
        <v>44</v>
      </c>
      <c r="K565" s="98" t="s">
        <v>631</v>
      </c>
    </row>
    <row r="566" spans="2:11" x14ac:dyDescent="0.25">
      <c r="B566" s="98" t="s">
        <v>898</v>
      </c>
      <c r="C566" s="98" t="s">
        <v>255</v>
      </c>
      <c r="D566" s="98" t="s">
        <v>631</v>
      </c>
      <c r="E566" s="98" t="s">
        <v>25</v>
      </c>
      <c r="F566" s="98" t="s">
        <v>139</v>
      </c>
      <c r="G566" s="98">
        <v>7</v>
      </c>
      <c r="H566" s="98" t="str">
        <f t="shared" si="48"/>
        <v>BSS-TC-23150 TC_OBI_PM 1.4_007_Missed detail report _Outage 1_outage 2 Field validation</v>
      </c>
      <c r="I566" s="98" t="s">
        <v>630</v>
      </c>
      <c r="J566" s="98" t="s">
        <v>27</v>
      </c>
      <c r="K566" s="98" t="s">
        <v>631</v>
      </c>
    </row>
    <row r="567" spans="2:11" x14ac:dyDescent="0.25">
      <c r="B567" s="98" t="s">
        <v>898</v>
      </c>
      <c r="C567" s="98" t="s">
        <v>255</v>
      </c>
      <c r="D567" s="98" t="s">
        <v>631</v>
      </c>
      <c r="E567" s="98" t="s">
        <v>521</v>
      </c>
      <c r="F567" s="98" t="s">
        <v>139</v>
      </c>
      <c r="G567" s="98">
        <v>8</v>
      </c>
      <c r="H567" s="98" t="str">
        <f t="shared" si="48"/>
        <v>BSS-TC-23150 TC_OBI_PM 1.4_007_Missed detail report _Outage 1_outage 2 Field validation</v>
      </c>
      <c r="I567" s="98" t="s">
        <v>630</v>
      </c>
      <c r="J567" s="98" t="s">
        <v>522</v>
      </c>
      <c r="K567" s="98" t="s">
        <v>631</v>
      </c>
    </row>
    <row r="568" spans="2:11" x14ac:dyDescent="0.25">
      <c r="B568" s="98" t="s">
        <v>898</v>
      </c>
      <c r="C568" s="98" t="s">
        <v>255</v>
      </c>
      <c r="D568" s="98" t="s">
        <v>631</v>
      </c>
      <c r="E568" s="98" t="s">
        <v>50</v>
      </c>
      <c r="F568" s="98" t="s">
        <v>139</v>
      </c>
      <c r="G568" s="98">
        <v>9</v>
      </c>
      <c r="H568" s="98" t="str">
        <f t="shared" si="48"/>
        <v>BSS-TC-23150 TC_OBI_PM 1.4_007_Missed detail report _Outage 1_outage 2 Field validation</v>
      </c>
      <c r="I568" s="98" t="s">
        <v>630</v>
      </c>
      <c r="J568" s="98" t="s">
        <v>51</v>
      </c>
      <c r="K568" s="98" t="s">
        <v>631</v>
      </c>
    </row>
    <row r="569" spans="2:11" x14ac:dyDescent="0.25">
      <c r="B569" s="98" t="s">
        <v>898</v>
      </c>
      <c r="C569" s="98" t="s">
        <v>255</v>
      </c>
      <c r="D569" s="98" t="s">
        <v>631</v>
      </c>
      <c r="E569" s="98" t="s">
        <v>823</v>
      </c>
      <c r="F569" s="98" t="s">
        <v>139</v>
      </c>
      <c r="G569" s="98">
        <v>10</v>
      </c>
      <c r="H569" s="98" t="str">
        <f t="shared" si="48"/>
        <v>BSS-TC-23150 TC_OBI_PM 1.4_007_Missed detail report _Outage 1_outage 2 Field validation</v>
      </c>
      <c r="I569" s="98" t="s">
        <v>630</v>
      </c>
      <c r="J569" s="98" t="s">
        <v>824</v>
      </c>
      <c r="K569" s="98" t="s">
        <v>119</v>
      </c>
    </row>
    <row r="570" spans="2:11" x14ac:dyDescent="0.25">
      <c r="B570" s="98" t="s">
        <v>899</v>
      </c>
      <c r="C570" s="98" t="s">
        <v>825</v>
      </c>
      <c r="D570" s="98" t="s">
        <v>631</v>
      </c>
      <c r="E570" s="98" t="s">
        <v>826</v>
      </c>
      <c r="F570" s="98" t="s">
        <v>827</v>
      </c>
      <c r="G570" s="98">
        <v>1</v>
      </c>
      <c r="H570" s="98" t="str">
        <f t="shared" ref="H570:H579" si="49">HYPERLINK("http://rms/perspective.req?projectId=233&amp;docId=961920","BSS-TC-23413 TC_OBI_020_CR109_PM1.4_CH Qualification against PM_Met criteria")</f>
        <v>BSS-TC-23413 TC_OBI_020_CR109_PM1.4_CH Qualification against PM_Met criteria</v>
      </c>
      <c r="I570" s="98" t="s">
        <v>630</v>
      </c>
      <c r="J570" s="98" t="s">
        <v>157</v>
      </c>
      <c r="K570" s="98" t="s">
        <v>517</v>
      </c>
    </row>
    <row r="571" spans="2:11" x14ac:dyDescent="0.25">
      <c r="B571" s="98" t="s">
        <v>899</v>
      </c>
      <c r="C571" s="98" t="s">
        <v>825</v>
      </c>
      <c r="D571" s="98" t="s">
        <v>631</v>
      </c>
      <c r="E571" s="98" t="s">
        <v>18</v>
      </c>
      <c r="F571" s="98" t="s">
        <v>827</v>
      </c>
      <c r="G571" s="98">
        <v>2</v>
      </c>
      <c r="H571" s="98" t="str">
        <f t="shared" si="49"/>
        <v>BSS-TC-23413 TC_OBI_020_CR109_PM1.4_CH Qualification against PM_Met criteria</v>
      </c>
      <c r="I571" s="98" t="s">
        <v>630</v>
      </c>
      <c r="J571" s="98" t="s">
        <v>20</v>
      </c>
      <c r="K571" s="98" t="s">
        <v>157</v>
      </c>
    </row>
    <row r="572" spans="2:11" x14ac:dyDescent="0.25">
      <c r="B572" s="98" t="s">
        <v>899</v>
      </c>
      <c r="C572" s="98" t="s">
        <v>825</v>
      </c>
      <c r="D572" s="98" t="s">
        <v>631</v>
      </c>
      <c r="E572" s="98" t="s">
        <v>21</v>
      </c>
      <c r="F572" s="98" t="s">
        <v>827</v>
      </c>
      <c r="G572" s="98">
        <v>3</v>
      </c>
      <c r="H572" s="98" t="str">
        <f t="shared" si="49"/>
        <v>BSS-TC-23413 TC_OBI_020_CR109_PM1.4_CH Qualification against PM_Met criteria</v>
      </c>
      <c r="I572" s="98" t="s">
        <v>630</v>
      </c>
      <c r="J572" s="98" t="s">
        <v>22</v>
      </c>
      <c r="K572" s="98" t="s">
        <v>157</v>
      </c>
    </row>
    <row r="573" spans="2:11" x14ac:dyDescent="0.25">
      <c r="B573" s="98" t="s">
        <v>899</v>
      </c>
      <c r="C573" s="98" t="s">
        <v>825</v>
      </c>
      <c r="D573" s="98" t="s">
        <v>631</v>
      </c>
      <c r="E573" s="98" t="s">
        <v>23</v>
      </c>
      <c r="F573" s="98" t="s">
        <v>827</v>
      </c>
      <c r="G573" s="98">
        <v>4</v>
      </c>
      <c r="H573" s="98" t="str">
        <f t="shared" si="49"/>
        <v>BSS-TC-23413 TC_OBI_020_CR109_PM1.4_CH Qualification against PM_Met criteria</v>
      </c>
      <c r="I573" s="98" t="s">
        <v>630</v>
      </c>
      <c r="J573" s="98" t="s">
        <v>41</v>
      </c>
      <c r="K573" s="98" t="s">
        <v>157</v>
      </c>
    </row>
    <row r="574" spans="2:11" x14ac:dyDescent="0.25">
      <c r="B574" s="98" t="s">
        <v>899</v>
      </c>
      <c r="C574" s="98" t="s">
        <v>825</v>
      </c>
      <c r="D574" s="98" t="s">
        <v>631</v>
      </c>
      <c r="E574" s="98" t="s">
        <v>43</v>
      </c>
      <c r="F574" s="98" t="s">
        <v>827</v>
      </c>
      <c r="G574" s="98">
        <v>5</v>
      </c>
      <c r="H574" s="98" t="str">
        <f t="shared" si="49"/>
        <v>BSS-TC-23413 TC_OBI_020_CR109_PM1.4_CH Qualification against PM_Met criteria</v>
      </c>
      <c r="I574" s="98" t="s">
        <v>630</v>
      </c>
      <c r="J574" s="98" t="s">
        <v>44</v>
      </c>
      <c r="K574" s="98" t="s">
        <v>157</v>
      </c>
    </row>
    <row r="575" spans="2:11" x14ac:dyDescent="0.25">
      <c r="B575" s="98" t="s">
        <v>899</v>
      </c>
      <c r="C575" s="98" t="s">
        <v>825</v>
      </c>
      <c r="D575" s="98" t="s">
        <v>631</v>
      </c>
      <c r="E575" s="98" t="s">
        <v>25</v>
      </c>
      <c r="F575" s="98" t="s">
        <v>827</v>
      </c>
      <c r="G575" s="98">
        <v>6</v>
      </c>
      <c r="H575" s="98" t="str">
        <f t="shared" si="49"/>
        <v>BSS-TC-23413 TC_OBI_020_CR109_PM1.4_CH Qualification against PM_Met criteria</v>
      </c>
      <c r="I575" s="98" t="s">
        <v>630</v>
      </c>
      <c r="J575" s="98" t="s">
        <v>27</v>
      </c>
      <c r="K575" s="98" t="s">
        <v>157</v>
      </c>
    </row>
    <row r="576" spans="2:11" x14ac:dyDescent="0.25">
      <c r="B576" s="98" t="s">
        <v>899</v>
      </c>
      <c r="C576" s="98" t="s">
        <v>825</v>
      </c>
      <c r="D576" s="98" t="s">
        <v>631</v>
      </c>
      <c r="E576" s="98" t="s">
        <v>268</v>
      </c>
      <c r="F576" s="98" t="s">
        <v>827</v>
      </c>
      <c r="G576" s="98">
        <v>7</v>
      </c>
      <c r="H576" s="98" t="str">
        <f t="shared" si="49"/>
        <v>BSS-TC-23413 TC_OBI_020_CR109_PM1.4_CH Qualification against PM_Met criteria</v>
      </c>
      <c r="I576" s="98" t="s">
        <v>630</v>
      </c>
      <c r="J576" s="98" t="s">
        <v>270</v>
      </c>
      <c r="K576" s="98" t="s">
        <v>157</v>
      </c>
    </row>
    <row r="577" spans="2:11" x14ac:dyDescent="0.25">
      <c r="B577" s="98" t="s">
        <v>899</v>
      </c>
      <c r="C577" s="98" t="s">
        <v>825</v>
      </c>
      <c r="D577" s="98" t="s">
        <v>631</v>
      </c>
      <c r="E577" s="98" t="s">
        <v>828</v>
      </c>
      <c r="F577" s="98" t="s">
        <v>827</v>
      </c>
      <c r="G577" s="98">
        <v>8</v>
      </c>
      <c r="H577" s="98" t="str">
        <f t="shared" si="49"/>
        <v>BSS-TC-23413 TC_OBI_020_CR109_PM1.4_CH Qualification against PM_Met criteria</v>
      </c>
      <c r="I577" s="98" t="s">
        <v>630</v>
      </c>
      <c r="J577" s="98" t="s">
        <v>829</v>
      </c>
      <c r="K577" s="98" t="s">
        <v>830</v>
      </c>
    </row>
    <row r="578" spans="2:11" x14ac:dyDescent="0.25">
      <c r="B578" s="98" t="s">
        <v>899</v>
      </c>
      <c r="C578" s="98" t="s">
        <v>825</v>
      </c>
      <c r="D578" s="98" t="s">
        <v>631</v>
      </c>
      <c r="E578" s="98" t="s">
        <v>831</v>
      </c>
      <c r="F578" s="98" t="s">
        <v>827</v>
      </c>
      <c r="G578" s="98">
        <v>9</v>
      </c>
      <c r="H578" s="98" t="str">
        <f t="shared" si="49"/>
        <v>BSS-TC-23413 TC_OBI_020_CR109_PM1.4_CH Qualification against PM_Met criteria</v>
      </c>
      <c r="I578" s="98" t="s">
        <v>630</v>
      </c>
      <c r="J578" s="98" t="s">
        <v>832</v>
      </c>
      <c r="K578" s="98" t="s">
        <v>157</v>
      </c>
    </row>
    <row r="579" spans="2:11" x14ac:dyDescent="0.25">
      <c r="B579" s="98" t="s">
        <v>899</v>
      </c>
      <c r="C579" s="98" t="s">
        <v>825</v>
      </c>
      <c r="D579" s="98" t="s">
        <v>631</v>
      </c>
      <c r="E579" s="98" t="s">
        <v>833</v>
      </c>
      <c r="F579" s="98" t="s">
        <v>827</v>
      </c>
      <c r="G579" s="98">
        <v>10</v>
      </c>
      <c r="H579" s="98" t="str">
        <f t="shared" si="49"/>
        <v>BSS-TC-23413 TC_OBI_020_CR109_PM1.4_CH Qualification against PM_Met criteria</v>
      </c>
      <c r="I579" s="98" t="s">
        <v>630</v>
      </c>
      <c r="J579" s="98" t="s">
        <v>834</v>
      </c>
      <c r="K579" s="98" t="s">
        <v>830</v>
      </c>
    </row>
    <row r="580" spans="2:11" x14ac:dyDescent="0.25">
      <c r="B580" s="98" t="s">
        <v>900</v>
      </c>
      <c r="C580" s="98" t="s">
        <v>142</v>
      </c>
      <c r="D580" s="98" t="s">
        <v>631</v>
      </c>
      <c r="E580" s="98" t="s">
        <v>835</v>
      </c>
      <c r="F580" s="98" t="s">
        <v>143</v>
      </c>
      <c r="G580" s="98">
        <v>1</v>
      </c>
      <c r="H580" s="98" t="str">
        <f t="shared" ref="H580:H589" si="50">HYPERLINK("http://rms/perspective.req?projectId=233&amp;docId=959367","BSS-TC-23151 TC_OBI_PM 1.4_008_Missed detail report _Outage 1 start,outage 1 end_outage 2 start ,outage 2 end_Field validation")</f>
        <v>BSS-TC-23151 TC_OBI_PM 1.4_008_Missed detail report _Outage 1 start,outage 1 end_outage 2 start ,outage 2 end_Field validation</v>
      </c>
      <c r="I580" s="98" t="s">
        <v>630</v>
      </c>
      <c r="J580" s="98" t="s">
        <v>80</v>
      </c>
      <c r="K580" s="98" t="s">
        <v>517</v>
      </c>
    </row>
    <row r="581" spans="2:11" x14ac:dyDescent="0.25">
      <c r="B581" s="98" t="s">
        <v>900</v>
      </c>
      <c r="C581" s="98" t="s">
        <v>142</v>
      </c>
      <c r="D581" s="98" t="s">
        <v>631</v>
      </c>
      <c r="E581" s="98" t="s">
        <v>836</v>
      </c>
      <c r="F581" s="98" t="s">
        <v>143</v>
      </c>
      <c r="G581" s="98">
        <v>2</v>
      </c>
      <c r="H581" s="98" t="str">
        <f t="shared" si="50"/>
        <v>BSS-TC-23151 TC_OBI_PM 1.4_008_Missed detail report _Outage 1 start,outage 1 end_outage 2 start ,outage 2 end_Field validation</v>
      </c>
      <c r="I581" s="98" t="s">
        <v>630</v>
      </c>
      <c r="J581" s="98" t="s">
        <v>631</v>
      </c>
      <c r="K581" s="98" t="s">
        <v>517</v>
      </c>
    </row>
    <row r="582" spans="2:11" x14ac:dyDescent="0.25">
      <c r="B582" s="98" t="s">
        <v>900</v>
      </c>
      <c r="C582" s="98" t="s">
        <v>142</v>
      </c>
      <c r="D582" s="98" t="s">
        <v>631</v>
      </c>
      <c r="E582" s="98" t="s">
        <v>18</v>
      </c>
      <c r="F582" s="98" t="s">
        <v>143</v>
      </c>
      <c r="G582" s="98">
        <v>3</v>
      </c>
      <c r="H582" s="98" t="str">
        <f t="shared" si="50"/>
        <v>BSS-TC-23151 TC_OBI_PM 1.4_008_Missed detail report _Outage 1 start,outage 1 end_outage 2 start ,outage 2 end_Field validation</v>
      </c>
      <c r="I582" s="98" t="s">
        <v>630</v>
      </c>
      <c r="J582" s="98" t="s">
        <v>20</v>
      </c>
      <c r="K582" s="98" t="s">
        <v>631</v>
      </c>
    </row>
    <row r="583" spans="2:11" x14ac:dyDescent="0.25">
      <c r="B583" s="98" t="s">
        <v>900</v>
      </c>
      <c r="C583" s="98" t="s">
        <v>142</v>
      </c>
      <c r="D583" s="98" t="s">
        <v>631</v>
      </c>
      <c r="E583" s="98" t="s">
        <v>21</v>
      </c>
      <c r="F583" s="98" t="s">
        <v>143</v>
      </c>
      <c r="G583" s="98">
        <v>4</v>
      </c>
      <c r="H583" s="98" t="str">
        <f t="shared" si="50"/>
        <v>BSS-TC-23151 TC_OBI_PM 1.4_008_Missed detail report _Outage 1 start,outage 1 end_outage 2 start ,outage 2 end_Field validation</v>
      </c>
      <c r="I583" s="98" t="s">
        <v>630</v>
      </c>
      <c r="J583" s="98" t="s">
        <v>22</v>
      </c>
      <c r="K583" s="98" t="s">
        <v>631</v>
      </c>
    </row>
    <row r="584" spans="2:11" x14ac:dyDescent="0.25">
      <c r="B584" s="98" t="s">
        <v>900</v>
      </c>
      <c r="C584" s="98" t="s">
        <v>142</v>
      </c>
      <c r="D584" s="98" t="s">
        <v>631</v>
      </c>
      <c r="E584" s="98" t="s">
        <v>23</v>
      </c>
      <c r="F584" s="98" t="s">
        <v>143</v>
      </c>
      <c r="G584" s="98">
        <v>5</v>
      </c>
      <c r="H584" s="98" t="str">
        <f t="shared" si="50"/>
        <v>BSS-TC-23151 TC_OBI_PM 1.4_008_Missed detail report _Outage 1 start,outage 1 end_outage 2 start ,outage 2 end_Field validation</v>
      </c>
      <c r="I584" s="98" t="s">
        <v>630</v>
      </c>
      <c r="J584" s="98" t="s">
        <v>41</v>
      </c>
      <c r="K584" s="98" t="s">
        <v>631</v>
      </c>
    </row>
    <row r="585" spans="2:11" x14ac:dyDescent="0.25">
      <c r="B585" s="98" t="s">
        <v>900</v>
      </c>
      <c r="C585" s="98" t="s">
        <v>142</v>
      </c>
      <c r="D585" s="98" t="s">
        <v>631</v>
      </c>
      <c r="E585" s="98" t="s">
        <v>43</v>
      </c>
      <c r="F585" s="98" t="s">
        <v>143</v>
      </c>
      <c r="G585" s="98">
        <v>6</v>
      </c>
      <c r="H585" s="98" t="str">
        <f t="shared" si="50"/>
        <v>BSS-TC-23151 TC_OBI_PM 1.4_008_Missed detail report _Outage 1 start,outage 1 end_outage 2 start ,outage 2 end_Field validation</v>
      </c>
      <c r="I585" s="98" t="s">
        <v>630</v>
      </c>
      <c r="J585" s="98" t="s">
        <v>44</v>
      </c>
      <c r="K585" s="98" t="s">
        <v>631</v>
      </c>
    </row>
    <row r="586" spans="2:11" x14ac:dyDescent="0.25">
      <c r="B586" s="98" t="s">
        <v>900</v>
      </c>
      <c r="C586" s="98" t="s">
        <v>142</v>
      </c>
      <c r="D586" s="98" t="s">
        <v>631</v>
      </c>
      <c r="E586" s="98" t="s">
        <v>25</v>
      </c>
      <c r="F586" s="98" t="s">
        <v>143</v>
      </c>
      <c r="G586" s="98">
        <v>7</v>
      </c>
      <c r="H586" s="98" t="str">
        <f t="shared" si="50"/>
        <v>BSS-TC-23151 TC_OBI_PM 1.4_008_Missed detail report _Outage 1 start,outage 1 end_outage 2 start ,outage 2 end_Field validation</v>
      </c>
      <c r="I586" s="98" t="s">
        <v>630</v>
      </c>
      <c r="J586" s="98" t="s">
        <v>27</v>
      </c>
      <c r="K586" s="98" t="s">
        <v>631</v>
      </c>
    </row>
    <row r="587" spans="2:11" x14ac:dyDescent="0.25">
      <c r="B587" s="98" t="s">
        <v>900</v>
      </c>
      <c r="C587" s="98" t="s">
        <v>142</v>
      </c>
      <c r="D587" s="98" t="s">
        <v>631</v>
      </c>
      <c r="E587" s="98" t="s">
        <v>521</v>
      </c>
      <c r="F587" s="98" t="s">
        <v>143</v>
      </c>
      <c r="G587" s="98">
        <v>8</v>
      </c>
      <c r="H587" s="98" t="str">
        <f t="shared" si="50"/>
        <v>BSS-TC-23151 TC_OBI_PM 1.4_008_Missed detail report _Outage 1 start,outage 1 end_outage 2 start ,outage 2 end_Field validation</v>
      </c>
      <c r="I587" s="98" t="s">
        <v>630</v>
      </c>
      <c r="J587" s="98" t="s">
        <v>522</v>
      </c>
      <c r="K587" s="98" t="s">
        <v>631</v>
      </c>
    </row>
    <row r="588" spans="2:11" x14ac:dyDescent="0.25">
      <c r="B588" s="98" t="s">
        <v>900</v>
      </c>
      <c r="C588" s="98" t="s">
        <v>142</v>
      </c>
      <c r="D588" s="98" t="s">
        <v>631</v>
      </c>
      <c r="E588" s="98" t="s">
        <v>50</v>
      </c>
      <c r="F588" s="98" t="s">
        <v>143</v>
      </c>
      <c r="G588" s="98">
        <v>9</v>
      </c>
      <c r="H588" s="98" t="str">
        <f t="shared" si="50"/>
        <v>BSS-TC-23151 TC_OBI_PM 1.4_008_Missed detail report _Outage 1 start,outage 1 end_outage 2 start ,outage 2 end_Field validation</v>
      </c>
      <c r="I588" s="98" t="s">
        <v>630</v>
      </c>
      <c r="J588" s="98" t="s">
        <v>51</v>
      </c>
      <c r="K588" s="98" t="s">
        <v>631</v>
      </c>
    </row>
    <row r="589" spans="2:11" x14ac:dyDescent="0.25">
      <c r="B589" s="98" t="s">
        <v>900</v>
      </c>
      <c r="C589" s="98" t="s">
        <v>142</v>
      </c>
      <c r="D589" s="98" t="s">
        <v>631</v>
      </c>
      <c r="E589" s="98" t="s">
        <v>766</v>
      </c>
      <c r="F589" s="98" t="s">
        <v>143</v>
      </c>
      <c r="G589" s="98">
        <v>10</v>
      </c>
      <c r="H589" s="98" t="str">
        <f t="shared" si="50"/>
        <v>BSS-TC-23151 TC_OBI_PM 1.4_008_Missed detail report _Outage 1 start,outage 1 end_outage 2 start ,outage 2 end_Field validation</v>
      </c>
      <c r="I589" s="98" t="s">
        <v>630</v>
      </c>
      <c r="J589" s="98" t="s">
        <v>824</v>
      </c>
      <c r="K589" s="98" t="s">
        <v>119</v>
      </c>
    </row>
    <row r="590" spans="2:11" x14ac:dyDescent="0.25">
      <c r="B590" s="98" t="s">
        <v>902</v>
      </c>
      <c r="C590" s="98" t="s">
        <v>250</v>
      </c>
      <c r="D590" s="98" t="s">
        <v>631</v>
      </c>
      <c r="E590" s="98" t="s">
        <v>837</v>
      </c>
      <c r="F590" s="98" t="s">
        <v>548</v>
      </c>
      <c r="G590" s="98">
        <v>1</v>
      </c>
      <c r="H590" s="98" t="str">
        <f t="shared" ref="H590:H597" si="51">HYPERLINK("http://rms/perspective.req?projectId=233&amp;docId=959370","BSS-TC-23154 TC_OBI_PM 1.4_011_Missed detail report _Manual PM Override Flag field_field validation")</f>
        <v>BSS-TC-23154 TC_OBI_PM 1.4_011_Missed detail report _Manual PM Override Flag field_field validation</v>
      </c>
      <c r="I590" s="98" t="s">
        <v>630</v>
      </c>
      <c r="J590" s="98" t="s">
        <v>80</v>
      </c>
      <c r="K590" s="98" t="s">
        <v>517</v>
      </c>
    </row>
    <row r="591" spans="2:11" x14ac:dyDescent="0.25">
      <c r="B591" s="98" t="s">
        <v>902</v>
      </c>
      <c r="C591" s="98" t="s">
        <v>250</v>
      </c>
      <c r="D591" s="98" t="s">
        <v>631</v>
      </c>
      <c r="E591" s="98" t="s">
        <v>18</v>
      </c>
      <c r="F591" s="98" t="s">
        <v>548</v>
      </c>
      <c r="G591" s="98">
        <v>2</v>
      </c>
      <c r="H591" s="98" t="str">
        <f t="shared" si="51"/>
        <v>BSS-TC-23154 TC_OBI_PM 1.4_011_Missed detail report _Manual PM Override Flag field_field validation</v>
      </c>
      <c r="I591" s="98" t="s">
        <v>630</v>
      </c>
      <c r="J591" s="98" t="s">
        <v>20</v>
      </c>
      <c r="K591" s="98" t="s">
        <v>631</v>
      </c>
    </row>
    <row r="592" spans="2:11" x14ac:dyDescent="0.25">
      <c r="B592" s="98" t="s">
        <v>902</v>
      </c>
      <c r="C592" s="98" t="s">
        <v>250</v>
      </c>
      <c r="D592" s="98" t="s">
        <v>631</v>
      </c>
      <c r="E592" s="98" t="s">
        <v>21</v>
      </c>
      <c r="F592" s="98" t="s">
        <v>548</v>
      </c>
      <c r="G592" s="98">
        <v>3</v>
      </c>
      <c r="H592" s="98" t="str">
        <f t="shared" si="51"/>
        <v>BSS-TC-23154 TC_OBI_PM 1.4_011_Missed detail report _Manual PM Override Flag field_field validation</v>
      </c>
      <c r="I592" s="98" t="s">
        <v>630</v>
      </c>
      <c r="J592" s="98" t="s">
        <v>22</v>
      </c>
      <c r="K592" s="98" t="s">
        <v>631</v>
      </c>
    </row>
    <row r="593" spans="2:11" x14ac:dyDescent="0.25">
      <c r="B593" s="98" t="s">
        <v>902</v>
      </c>
      <c r="C593" s="98" t="s">
        <v>250</v>
      </c>
      <c r="D593" s="98" t="s">
        <v>631</v>
      </c>
      <c r="E593" s="98" t="s">
        <v>23</v>
      </c>
      <c r="F593" s="98" t="s">
        <v>548</v>
      </c>
      <c r="G593" s="98">
        <v>4</v>
      </c>
      <c r="H593" s="98" t="str">
        <f t="shared" si="51"/>
        <v>BSS-TC-23154 TC_OBI_PM 1.4_011_Missed detail report _Manual PM Override Flag field_field validation</v>
      </c>
      <c r="I593" s="98" t="s">
        <v>630</v>
      </c>
      <c r="J593" s="98" t="s">
        <v>41</v>
      </c>
      <c r="K593" s="98" t="s">
        <v>631</v>
      </c>
    </row>
    <row r="594" spans="2:11" x14ac:dyDescent="0.25">
      <c r="B594" s="98" t="s">
        <v>902</v>
      </c>
      <c r="C594" s="98" t="s">
        <v>250</v>
      </c>
      <c r="D594" s="98" t="s">
        <v>631</v>
      </c>
      <c r="E594" s="98" t="s">
        <v>43</v>
      </c>
      <c r="F594" s="98" t="s">
        <v>548</v>
      </c>
      <c r="G594" s="98">
        <v>5</v>
      </c>
      <c r="H594" s="98" t="str">
        <f t="shared" si="51"/>
        <v>BSS-TC-23154 TC_OBI_PM 1.4_011_Missed detail report _Manual PM Override Flag field_field validation</v>
      </c>
      <c r="I594" s="98" t="s">
        <v>630</v>
      </c>
      <c r="J594" s="98" t="s">
        <v>44</v>
      </c>
      <c r="K594" s="98" t="s">
        <v>631</v>
      </c>
    </row>
    <row r="595" spans="2:11" x14ac:dyDescent="0.25">
      <c r="B595" s="98" t="s">
        <v>902</v>
      </c>
      <c r="C595" s="98" t="s">
        <v>250</v>
      </c>
      <c r="D595" s="98" t="s">
        <v>631</v>
      </c>
      <c r="E595" s="98" t="s">
        <v>25</v>
      </c>
      <c r="F595" s="98" t="s">
        <v>548</v>
      </c>
      <c r="G595" s="98">
        <v>6</v>
      </c>
      <c r="H595" s="98" t="str">
        <f t="shared" si="51"/>
        <v>BSS-TC-23154 TC_OBI_PM 1.4_011_Missed detail report _Manual PM Override Flag field_field validation</v>
      </c>
      <c r="I595" s="98" t="s">
        <v>630</v>
      </c>
      <c r="J595" s="98" t="s">
        <v>27</v>
      </c>
      <c r="K595" s="98" t="s">
        <v>631</v>
      </c>
    </row>
    <row r="596" spans="2:11" x14ac:dyDescent="0.25">
      <c r="B596" s="98" t="s">
        <v>902</v>
      </c>
      <c r="C596" s="98" t="s">
        <v>250</v>
      </c>
      <c r="D596" s="98" t="s">
        <v>631</v>
      </c>
      <c r="E596" s="98" t="s">
        <v>50</v>
      </c>
      <c r="F596" s="98" t="s">
        <v>548</v>
      </c>
      <c r="G596" s="98">
        <v>7</v>
      </c>
      <c r="H596" s="98" t="str">
        <f t="shared" si="51"/>
        <v>BSS-TC-23154 TC_OBI_PM 1.4_011_Missed detail report _Manual PM Override Flag field_field validation</v>
      </c>
      <c r="I596" s="98" t="s">
        <v>630</v>
      </c>
      <c r="J596" s="98" t="s">
        <v>226</v>
      </c>
      <c r="K596" s="98" t="s">
        <v>631</v>
      </c>
    </row>
    <row r="597" spans="2:11" x14ac:dyDescent="0.25">
      <c r="B597" s="98" t="s">
        <v>902</v>
      </c>
      <c r="C597" s="98" t="s">
        <v>250</v>
      </c>
      <c r="D597" s="98" t="s">
        <v>631</v>
      </c>
      <c r="E597" s="98" t="s">
        <v>248</v>
      </c>
      <c r="F597" s="98" t="s">
        <v>548</v>
      </c>
      <c r="G597" s="98">
        <v>8</v>
      </c>
      <c r="H597" s="98" t="str">
        <f t="shared" si="51"/>
        <v>BSS-TC-23154 TC_OBI_PM 1.4_011_Missed detail report _Manual PM Override Flag field_field validation</v>
      </c>
      <c r="I597" s="98" t="s">
        <v>630</v>
      </c>
      <c r="J597" s="98" t="s">
        <v>838</v>
      </c>
      <c r="K597" s="98" t="s">
        <v>249</v>
      </c>
    </row>
    <row r="598" spans="2:11" x14ac:dyDescent="0.25">
      <c r="B598" s="98" t="s">
        <v>903</v>
      </c>
      <c r="C598" s="98" t="s">
        <v>544</v>
      </c>
      <c r="D598" s="98" t="s">
        <v>631</v>
      </c>
      <c r="E598" s="98" t="s">
        <v>265</v>
      </c>
      <c r="F598" s="98" t="s">
        <v>264</v>
      </c>
      <c r="G598" s="98">
        <v>1</v>
      </c>
      <c r="H598" s="98" t="str">
        <f>HYPERLINK("http://rms/perspective.req?projectId=233&amp;docId=959371","BSS-TC-23155 TC_OBI_012_CR109_PM1.4_Missed_detail_Report_Filter_Validation")</f>
        <v>BSS-TC-23155 TC_OBI_012_CR109_PM1.4_Missed_detail_Report_Filter_Validation</v>
      </c>
      <c r="I598" s="98" t="s">
        <v>630</v>
      </c>
      <c r="J598" s="98" t="s">
        <v>266</v>
      </c>
      <c r="K598" s="98" t="s">
        <v>631</v>
      </c>
    </row>
    <row r="599" spans="2:11" x14ac:dyDescent="0.25">
      <c r="B599" s="98" t="s">
        <v>903</v>
      </c>
      <c r="C599" s="98" t="s">
        <v>544</v>
      </c>
      <c r="D599" s="98" t="s">
        <v>631</v>
      </c>
      <c r="E599" s="98" t="s">
        <v>267</v>
      </c>
      <c r="F599" s="98" t="s">
        <v>264</v>
      </c>
      <c r="G599" s="98">
        <v>2</v>
      </c>
      <c r="H599" s="98" t="str">
        <f>HYPERLINK("http://rms/perspective.req?projectId=233&amp;docId=959371","BSS-TC-23155 TC_OBI_012_CR109_PM1.4_Missed_detail_Report_Filter_Validation")</f>
        <v>BSS-TC-23155 TC_OBI_012_CR109_PM1.4_Missed_detail_Report_Filter_Validation</v>
      </c>
      <c r="I599" s="98" t="s">
        <v>630</v>
      </c>
      <c r="J599" s="98" t="s">
        <v>27</v>
      </c>
      <c r="K599" s="98" t="s">
        <v>631</v>
      </c>
    </row>
    <row r="600" spans="2:11" x14ac:dyDescent="0.25">
      <c r="B600" s="98" t="s">
        <v>903</v>
      </c>
      <c r="C600" s="98" t="s">
        <v>544</v>
      </c>
      <c r="D600" s="98" t="s">
        <v>631</v>
      </c>
      <c r="E600" s="98" t="s">
        <v>268</v>
      </c>
      <c r="F600" s="98" t="s">
        <v>264</v>
      </c>
      <c r="G600" s="98">
        <v>3</v>
      </c>
      <c r="H600" s="98" t="str">
        <f>HYPERLINK("http://rms/perspective.req?projectId=233&amp;docId=959371","BSS-TC-23155 TC_OBI_012_CR109_PM1.4_Missed_detail_Report_Filter_Validation")</f>
        <v>BSS-TC-23155 TC_OBI_012_CR109_PM1.4_Missed_detail_Report_Filter_Validation</v>
      </c>
      <c r="I600" s="98" t="s">
        <v>630</v>
      </c>
      <c r="J600" s="98" t="s">
        <v>270</v>
      </c>
      <c r="K600" s="98" t="s">
        <v>269</v>
      </c>
    </row>
    <row r="601" spans="2:11" x14ac:dyDescent="0.25">
      <c r="B601" s="98" t="s">
        <v>903</v>
      </c>
      <c r="C601" s="98" t="s">
        <v>544</v>
      </c>
      <c r="D601" s="98" t="s">
        <v>631</v>
      </c>
      <c r="E601" s="98" t="s">
        <v>352</v>
      </c>
      <c r="F601" s="98" t="s">
        <v>264</v>
      </c>
      <c r="G601" s="98">
        <v>4</v>
      </c>
      <c r="H601" s="98" t="str">
        <f>HYPERLINK("http://rms/perspective.req?projectId=233&amp;docId=959371","BSS-TC-23155 TC_OBI_012_CR109_PM1.4_Missed_detail_Report_Filter_Validation")</f>
        <v>BSS-TC-23155 TC_OBI_012_CR109_PM1.4_Missed_detail_Report_Filter_Validation</v>
      </c>
      <c r="I601" s="98" t="s">
        <v>630</v>
      </c>
      <c r="J601" s="98" t="s">
        <v>51</v>
      </c>
      <c r="K601" s="98" t="s">
        <v>272</v>
      </c>
    </row>
    <row r="602" spans="2:11" x14ac:dyDescent="0.25">
      <c r="B602" s="98" t="s">
        <v>903</v>
      </c>
      <c r="C602" s="98" t="s">
        <v>544</v>
      </c>
      <c r="D602" s="98" t="s">
        <v>631</v>
      </c>
      <c r="E602" s="98" t="s">
        <v>353</v>
      </c>
      <c r="F602" s="98" t="s">
        <v>264</v>
      </c>
      <c r="G602" s="98">
        <v>5</v>
      </c>
      <c r="H602" s="98" t="str">
        <f>HYPERLINK("http://rms/perspective.req?projectId=233&amp;docId=959371","BSS-TC-23155 TC_OBI_012_CR109_PM1.4_Missed_detail_Report_Filter_Validation")</f>
        <v>BSS-TC-23155 TC_OBI_012_CR109_PM1.4_Missed_detail_Report_Filter_Validation</v>
      </c>
      <c r="I602" s="98" t="s">
        <v>630</v>
      </c>
      <c r="J602" s="98" t="s">
        <v>839</v>
      </c>
      <c r="K602" s="98" t="s">
        <v>274</v>
      </c>
    </row>
    <row r="603" spans="2:11" x14ac:dyDescent="0.25">
      <c r="B603" s="98" t="s">
        <v>904</v>
      </c>
      <c r="C603" s="98" t="s">
        <v>545</v>
      </c>
      <c r="D603" s="98" t="s">
        <v>631</v>
      </c>
      <c r="E603" s="98" t="s">
        <v>265</v>
      </c>
      <c r="F603" s="98" t="s">
        <v>356</v>
      </c>
      <c r="G603" s="98">
        <v>1</v>
      </c>
      <c r="H603" s="98" t="str">
        <f>HYPERLINK("http://rms/perspective.req?projectId=233&amp;docId=959372","BSS-TC-23156 TC_OBI_013_CR109_PM1.4_Missed_detail_Report_Column_Validation")</f>
        <v>BSS-TC-23156 TC_OBI_013_CR109_PM1.4_Missed_detail_Report_Column_Validation</v>
      </c>
      <c r="I603" s="98" t="s">
        <v>630</v>
      </c>
      <c r="J603" s="98" t="s">
        <v>266</v>
      </c>
      <c r="K603" s="98" t="s">
        <v>631</v>
      </c>
    </row>
    <row r="604" spans="2:11" x14ac:dyDescent="0.25">
      <c r="B604" s="98" t="s">
        <v>904</v>
      </c>
      <c r="C604" s="98" t="s">
        <v>545</v>
      </c>
      <c r="D604" s="98" t="s">
        <v>631</v>
      </c>
      <c r="E604" s="98" t="s">
        <v>267</v>
      </c>
      <c r="F604" s="98" t="s">
        <v>356</v>
      </c>
      <c r="G604" s="98">
        <v>2</v>
      </c>
      <c r="H604" s="98" t="str">
        <f>HYPERLINK("http://rms/perspective.req?projectId=233&amp;docId=959372","BSS-TC-23156 TC_OBI_013_CR109_PM1.4_Missed_detail_Report_Column_Validation")</f>
        <v>BSS-TC-23156 TC_OBI_013_CR109_PM1.4_Missed_detail_Report_Column_Validation</v>
      </c>
      <c r="I604" s="98" t="s">
        <v>630</v>
      </c>
      <c r="J604" s="98" t="s">
        <v>27</v>
      </c>
      <c r="K604" s="98" t="s">
        <v>631</v>
      </c>
    </row>
    <row r="605" spans="2:11" x14ac:dyDescent="0.25">
      <c r="B605" s="98" t="s">
        <v>904</v>
      </c>
      <c r="C605" s="98" t="s">
        <v>545</v>
      </c>
      <c r="D605" s="98" t="s">
        <v>631</v>
      </c>
      <c r="E605" s="98" t="s">
        <v>268</v>
      </c>
      <c r="F605" s="98" t="s">
        <v>356</v>
      </c>
      <c r="G605" s="98">
        <v>3</v>
      </c>
      <c r="H605" s="98" t="str">
        <f>HYPERLINK("http://rms/perspective.req?projectId=233&amp;docId=959372","BSS-TC-23156 TC_OBI_013_CR109_PM1.4_Missed_detail_Report_Column_Validation")</f>
        <v>BSS-TC-23156 TC_OBI_013_CR109_PM1.4_Missed_detail_Report_Column_Validation</v>
      </c>
      <c r="I605" s="98" t="s">
        <v>630</v>
      </c>
      <c r="J605" s="98" t="s">
        <v>270</v>
      </c>
      <c r="K605" s="98" t="s">
        <v>269</v>
      </c>
    </row>
    <row r="606" spans="2:11" x14ac:dyDescent="0.25">
      <c r="B606" s="98" t="s">
        <v>904</v>
      </c>
      <c r="C606" s="98" t="s">
        <v>545</v>
      </c>
      <c r="D606" s="98" t="s">
        <v>631</v>
      </c>
      <c r="E606" s="98" t="s">
        <v>352</v>
      </c>
      <c r="F606" s="98" t="s">
        <v>356</v>
      </c>
      <c r="G606" s="98">
        <v>4</v>
      </c>
      <c r="H606" s="98" t="str">
        <f>HYPERLINK("http://rms/perspective.req?projectId=233&amp;docId=959372","BSS-TC-23156 TC_OBI_013_CR109_PM1.4_Missed_detail_Report_Column_Validation")</f>
        <v>BSS-TC-23156 TC_OBI_013_CR109_PM1.4_Missed_detail_Report_Column_Validation</v>
      </c>
      <c r="I606" s="98" t="s">
        <v>630</v>
      </c>
      <c r="J606" s="98" t="s">
        <v>51</v>
      </c>
      <c r="K606" s="98" t="s">
        <v>272</v>
      </c>
    </row>
    <row r="607" spans="2:11" x14ac:dyDescent="0.25">
      <c r="B607" s="98" t="s">
        <v>904</v>
      </c>
      <c r="C607" s="98" t="s">
        <v>545</v>
      </c>
      <c r="D607" s="98" t="s">
        <v>631</v>
      </c>
      <c r="E607" s="98" t="s">
        <v>357</v>
      </c>
      <c r="F607" s="98" t="s">
        <v>356</v>
      </c>
      <c r="G607" s="98">
        <v>5</v>
      </c>
      <c r="H607" s="98" t="str">
        <f>HYPERLINK("http://rms/perspective.req?projectId=233&amp;docId=959372","BSS-TC-23156 TC_OBI_013_CR109_PM1.4_Missed_detail_Report_Column_Validation")</f>
        <v>BSS-TC-23156 TC_OBI_013_CR109_PM1.4_Missed_detail_Report_Column_Validation</v>
      </c>
      <c r="I607" s="98" t="s">
        <v>630</v>
      </c>
      <c r="J607" s="98" t="s">
        <v>840</v>
      </c>
      <c r="K607" s="98" t="s">
        <v>314</v>
      </c>
    </row>
    <row r="608" spans="2:11" x14ac:dyDescent="0.25">
      <c r="B608" s="98" t="s">
        <v>901</v>
      </c>
      <c r="C608" s="98" t="s">
        <v>546</v>
      </c>
      <c r="D608" s="98" t="s">
        <v>631</v>
      </c>
      <c r="E608" s="98" t="s">
        <v>265</v>
      </c>
      <c r="F608" s="98" t="s">
        <v>360</v>
      </c>
      <c r="G608" s="98">
        <v>1</v>
      </c>
      <c r="H608" s="98" t="str">
        <f t="shared" ref="H608:H614" si="52">HYPERLINK("http://rms/perspective.req?projectId=233&amp;docId=959373","BSS-TC-23157 TC_OBI_014_CR109_PM1.4_Missed_Detail_Comms_Hub_ID_Filter_Validation")</f>
        <v>BSS-TC-23157 TC_OBI_014_CR109_PM1.4_Missed_Detail_Comms_Hub_ID_Filter_Validation</v>
      </c>
      <c r="I608" s="98" t="s">
        <v>630</v>
      </c>
      <c r="J608" s="98" t="s">
        <v>266</v>
      </c>
      <c r="K608" s="98" t="s">
        <v>631</v>
      </c>
    </row>
    <row r="609" spans="2:11" x14ac:dyDescent="0.25">
      <c r="B609" s="98" t="s">
        <v>901</v>
      </c>
      <c r="C609" s="98" t="s">
        <v>546</v>
      </c>
      <c r="D609" s="98" t="s">
        <v>631</v>
      </c>
      <c r="E609" s="98" t="s">
        <v>25</v>
      </c>
      <c r="F609" s="98" t="s">
        <v>360</v>
      </c>
      <c r="G609" s="98">
        <v>2</v>
      </c>
      <c r="H609" s="98" t="str">
        <f t="shared" si="52"/>
        <v>BSS-TC-23157 TC_OBI_014_CR109_PM1.4_Missed_Detail_Comms_Hub_ID_Filter_Validation</v>
      </c>
      <c r="I609" s="98" t="s">
        <v>630</v>
      </c>
      <c r="J609" s="98" t="s">
        <v>27</v>
      </c>
      <c r="K609" s="98" t="s">
        <v>631</v>
      </c>
    </row>
    <row r="610" spans="2:11" x14ac:dyDescent="0.25">
      <c r="B610" s="98" t="s">
        <v>901</v>
      </c>
      <c r="C610" s="98" t="s">
        <v>546</v>
      </c>
      <c r="D610" s="98" t="s">
        <v>631</v>
      </c>
      <c r="E610" s="98" t="s">
        <v>45</v>
      </c>
      <c r="F610" s="98" t="s">
        <v>360</v>
      </c>
      <c r="G610" s="98">
        <v>3</v>
      </c>
      <c r="H610" s="98" t="str">
        <f t="shared" si="52"/>
        <v>BSS-TC-23157 TC_OBI_014_CR109_PM1.4_Missed_Detail_Comms_Hub_ID_Filter_Validation</v>
      </c>
      <c r="I610" s="98" t="s">
        <v>630</v>
      </c>
      <c r="J610" s="98" t="s">
        <v>284</v>
      </c>
      <c r="K610" s="98" t="s">
        <v>631</v>
      </c>
    </row>
    <row r="611" spans="2:11" x14ac:dyDescent="0.25">
      <c r="B611" s="98" t="s">
        <v>901</v>
      </c>
      <c r="C611" s="98" t="s">
        <v>546</v>
      </c>
      <c r="D611" s="98" t="s">
        <v>631</v>
      </c>
      <c r="E611" s="98" t="s">
        <v>361</v>
      </c>
      <c r="F611" s="98" t="s">
        <v>360</v>
      </c>
      <c r="G611" s="98">
        <v>4</v>
      </c>
      <c r="H611" s="98" t="str">
        <f t="shared" si="52"/>
        <v>BSS-TC-23157 TC_OBI_014_CR109_PM1.4_Missed_Detail_Comms_Hub_ID_Filter_Validation</v>
      </c>
      <c r="I611" s="98" t="s">
        <v>630</v>
      </c>
      <c r="J611" s="98" t="s">
        <v>362</v>
      </c>
      <c r="K611" s="98" t="s">
        <v>287</v>
      </c>
    </row>
    <row r="612" spans="2:11" x14ac:dyDescent="0.25">
      <c r="B612" s="98" t="s">
        <v>901</v>
      </c>
      <c r="C612" s="98" t="s">
        <v>546</v>
      </c>
      <c r="D612" s="98" t="s">
        <v>631</v>
      </c>
      <c r="E612" s="98" t="s">
        <v>290</v>
      </c>
      <c r="F612" s="98" t="s">
        <v>360</v>
      </c>
      <c r="G612" s="98">
        <v>5</v>
      </c>
      <c r="H612" s="98" t="str">
        <f t="shared" si="52"/>
        <v>BSS-TC-23157 TC_OBI_014_CR109_PM1.4_Missed_Detail_Comms_Hub_ID_Filter_Validation</v>
      </c>
      <c r="I612" s="98" t="s">
        <v>630</v>
      </c>
      <c r="J612" s="98" t="s">
        <v>841</v>
      </c>
      <c r="K612" s="98" t="s">
        <v>291</v>
      </c>
    </row>
    <row r="613" spans="2:11" x14ac:dyDescent="0.25">
      <c r="B613" s="98" t="s">
        <v>901</v>
      </c>
      <c r="C613" s="98" t="s">
        <v>546</v>
      </c>
      <c r="D613" s="98" t="s">
        <v>631</v>
      </c>
      <c r="E613" s="98" t="s">
        <v>294</v>
      </c>
      <c r="F613" s="98" t="s">
        <v>360</v>
      </c>
      <c r="G613" s="98">
        <v>6</v>
      </c>
      <c r="H613" s="98" t="str">
        <f t="shared" si="52"/>
        <v>BSS-TC-23157 TC_OBI_014_CR109_PM1.4_Missed_Detail_Comms_Hub_ID_Filter_Validation</v>
      </c>
      <c r="I613" s="98" t="s">
        <v>630</v>
      </c>
      <c r="J613" s="98" t="s">
        <v>295</v>
      </c>
      <c r="K613" s="98" t="s">
        <v>631</v>
      </c>
    </row>
    <row r="614" spans="2:11" x14ac:dyDescent="0.25">
      <c r="B614" s="98" t="s">
        <v>901</v>
      </c>
      <c r="C614" s="98" t="s">
        <v>546</v>
      </c>
      <c r="D614" s="98" t="s">
        <v>631</v>
      </c>
      <c r="E614" s="98" t="s">
        <v>584</v>
      </c>
      <c r="F614" s="98" t="s">
        <v>360</v>
      </c>
      <c r="G614" s="98">
        <v>7</v>
      </c>
      <c r="H614" s="98" t="str">
        <f t="shared" si="52"/>
        <v>BSS-TC-23157 TC_OBI_014_CR109_PM1.4_Missed_Detail_Comms_Hub_ID_Filter_Validation</v>
      </c>
      <c r="I614" s="98" t="s">
        <v>630</v>
      </c>
      <c r="J614" s="98" t="s">
        <v>298</v>
      </c>
      <c r="K614" s="98" t="s">
        <v>363</v>
      </c>
    </row>
  </sheetData>
  <dataValidations disablePrompts="1" count="1">
    <dataValidation type="list" errorStyle="warning" allowBlank="1" showInputMessage="1" showErrorMessage="1" errorTitle="Error" error="Set a valid value" sqref="K16:K525 JC16:JC525 SY16:SY525 ACU16:ACU525 AMQ16:AMQ525 AWM16:AWM525 BGI16:BGI525 BQE16:BQE525 CAA16:CAA525 CJW16:CJW525 CTS16:CTS525 DDO16:DDO525 DNK16:DNK525 DXG16:DXG525 EHC16:EHC525 EQY16:EQY525 FAU16:FAU525 FKQ16:FKQ525 FUM16:FUM525 GEI16:GEI525 GOE16:GOE525 GYA16:GYA525 HHW16:HHW525 HRS16:HRS525 IBO16:IBO525 ILK16:ILK525 IVG16:IVG525 JFC16:JFC525 JOY16:JOY525 JYU16:JYU525 KIQ16:KIQ525 KSM16:KSM525 LCI16:LCI525 LME16:LME525 LWA16:LWA525 MFW16:MFW525 MPS16:MPS525 MZO16:MZO525 NJK16:NJK525 NTG16:NTG525 ODC16:ODC525 OMY16:OMY525 OWU16:OWU525 PGQ16:PGQ525 PQM16:PQM525 QAI16:QAI525 QKE16:QKE525 QUA16:QUA525 RDW16:RDW525 RNS16:RNS525 RXO16:RXO525 SHK16:SHK525 SRG16:SRG525 TBC16:TBC525 TKY16:TKY525 TUU16:TUU525 UEQ16:UEQ525 UOM16:UOM525 UYI16:UYI525 VIE16:VIE525 VSA16:VSA525 WBW16:WBW525 WLS16:WLS525 WVO16:WVO525 K65552:K66061 JC65552:JC66061 SY65552:SY66061 ACU65552:ACU66061 AMQ65552:AMQ66061 AWM65552:AWM66061 BGI65552:BGI66061 BQE65552:BQE66061 CAA65552:CAA66061 CJW65552:CJW66061 CTS65552:CTS66061 DDO65552:DDO66061 DNK65552:DNK66061 DXG65552:DXG66061 EHC65552:EHC66061 EQY65552:EQY66061 FAU65552:FAU66061 FKQ65552:FKQ66061 FUM65552:FUM66061 GEI65552:GEI66061 GOE65552:GOE66061 GYA65552:GYA66061 HHW65552:HHW66061 HRS65552:HRS66061 IBO65552:IBO66061 ILK65552:ILK66061 IVG65552:IVG66061 JFC65552:JFC66061 JOY65552:JOY66061 JYU65552:JYU66061 KIQ65552:KIQ66061 KSM65552:KSM66061 LCI65552:LCI66061 LME65552:LME66061 LWA65552:LWA66061 MFW65552:MFW66061 MPS65552:MPS66061 MZO65552:MZO66061 NJK65552:NJK66061 NTG65552:NTG66061 ODC65552:ODC66061 OMY65552:OMY66061 OWU65552:OWU66061 PGQ65552:PGQ66061 PQM65552:PQM66061 QAI65552:QAI66061 QKE65552:QKE66061 QUA65552:QUA66061 RDW65552:RDW66061 RNS65552:RNS66061 RXO65552:RXO66061 SHK65552:SHK66061 SRG65552:SRG66061 TBC65552:TBC66061 TKY65552:TKY66061 TUU65552:TUU66061 UEQ65552:UEQ66061 UOM65552:UOM66061 UYI65552:UYI66061 VIE65552:VIE66061 VSA65552:VSA66061 WBW65552:WBW66061 WLS65552:WLS66061 WVO65552:WVO66061 K131088:K131597 JC131088:JC131597 SY131088:SY131597 ACU131088:ACU131597 AMQ131088:AMQ131597 AWM131088:AWM131597 BGI131088:BGI131597 BQE131088:BQE131597 CAA131088:CAA131597 CJW131088:CJW131597 CTS131088:CTS131597 DDO131088:DDO131597 DNK131088:DNK131597 DXG131088:DXG131597 EHC131088:EHC131597 EQY131088:EQY131597 FAU131088:FAU131597 FKQ131088:FKQ131597 FUM131088:FUM131597 GEI131088:GEI131597 GOE131088:GOE131597 GYA131088:GYA131597 HHW131088:HHW131597 HRS131088:HRS131597 IBO131088:IBO131597 ILK131088:ILK131597 IVG131088:IVG131597 JFC131088:JFC131597 JOY131088:JOY131597 JYU131088:JYU131597 KIQ131088:KIQ131597 KSM131088:KSM131597 LCI131088:LCI131597 LME131088:LME131597 LWA131088:LWA131597 MFW131088:MFW131597 MPS131088:MPS131597 MZO131088:MZO131597 NJK131088:NJK131597 NTG131088:NTG131597 ODC131088:ODC131597 OMY131088:OMY131597 OWU131088:OWU131597 PGQ131088:PGQ131597 PQM131088:PQM131597 QAI131088:QAI131597 QKE131088:QKE131597 QUA131088:QUA131597 RDW131088:RDW131597 RNS131088:RNS131597 RXO131088:RXO131597 SHK131088:SHK131597 SRG131088:SRG131597 TBC131088:TBC131597 TKY131088:TKY131597 TUU131088:TUU131597 UEQ131088:UEQ131597 UOM131088:UOM131597 UYI131088:UYI131597 VIE131088:VIE131597 VSA131088:VSA131597 WBW131088:WBW131597 WLS131088:WLS131597 WVO131088:WVO131597 K196624:K197133 JC196624:JC197133 SY196624:SY197133 ACU196624:ACU197133 AMQ196624:AMQ197133 AWM196624:AWM197133 BGI196624:BGI197133 BQE196624:BQE197133 CAA196624:CAA197133 CJW196624:CJW197133 CTS196624:CTS197133 DDO196624:DDO197133 DNK196624:DNK197133 DXG196624:DXG197133 EHC196624:EHC197133 EQY196624:EQY197133 FAU196624:FAU197133 FKQ196624:FKQ197133 FUM196624:FUM197133 GEI196624:GEI197133 GOE196624:GOE197133 GYA196624:GYA197133 HHW196624:HHW197133 HRS196624:HRS197133 IBO196624:IBO197133 ILK196624:ILK197133 IVG196624:IVG197133 JFC196624:JFC197133 JOY196624:JOY197133 JYU196624:JYU197133 KIQ196624:KIQ197133 KSM196624:KSM197133 LCI196624:LCI197133 LME196624:LME197133 LWA196624:LWA197133 MFW196624:MFW197133 MPS196624:MPS197133 MZO196624:MZO197133 NJK196624:NJK197133 NTG196624:NTG197133 ODC196624:ODC197133 OMY196624:OMY197133 OWU196624:OWU197133 PGQ196624:PGQ197133 PQM196624:PQM197133 QAI196624:QAI197133 QKE196624:QKE197133 QUA196624:QUA197133 RDW196624:RDW197133 RNS196624:RNS197133 RXO196624:RXO197133 SHK196624:SHK197133 SRG196624:SRG197133 TBC196624:TBC197133 TKY196624:TKY197133 TUU196624:TUU197133 UEQ196624:UEQ197133 UOM196624:UOM197133 UYI196624:UYI197133 VIE196624:VIE197133 VSA196624:VSA197133 WBW196624:WBW197133 WLS196624:WLS197133 WVO196624:WVO197133 K262160:K262669 JC262160:JC262669 SY262160:SY262669 ACU262160:ACU262669 AMQ262160:AMQ262669 AWM262160:AWM262669 BGI262160:BGI262669 BQE262160:BQE262669 CAA262160:CAA262669 CJW262160:CJW262669 CTS262160:CTS262669 DDO262160:DDO262669 DNK262160:DNK262669 DXG262160:DXG262669 EHC262160:EHC262669 EQY262160:EQY262669 FAU262160:FAU262669 FKQ262160:FKQ262669 FUM262160:FUM262669 GEI262160:GEI262669 GOE262160:GOE262669 GYA262160:GYA262669 HHW262160:HHW262669 HRS262160:HRS262669 IBO262160:IBO262669 ILK262160:ILK262669 IVG262160:IVG262669 JFC262160:JFC262669 JOY262160:JOY262669 JYU262160:JYU262669 KIQ262160:KIQ262669 KSM262160:KSM262669 LCI262160:LCI262669 LME262160:LME262669 LWA262160:LWA262669 MFW262160:MFW262669 MPS262160:MPS262669 MZO262160:MZO262669 NJK262160:NJK262669 NTG262160:NTG262669 ODC262160:ODC262669 OMY262160:OMY262669 OWU262160:OWU262669 PGQ262160:PGQ262669 PQM262160:PQM262669 QAI262160:QAI262669 QKE262160:QKE262669 QUA262160:QUA262669 RDW262160:RDW262669 RNS262160:RNS262669 RXO262160:RXO262669 SHK262160:SHK262669 SRG262160:SRG262669 TBC262160:TBC262669 TKY262160:TKY262669 TUU262160:TUU262669 UEQ262160:UEQ262669 UOM262160:UOM262669 UYI262160:UYI262669 VIE262160:VIE262669 VSA262160:VSA262669 WBW262160:WBW262669 WLS262160:WLS262669 WVO262160:WVO262669 K327696:K328205 JC327696:JC328205 SY327696:SY328205 ACU327696:ACU328205 AMQ327696:AMQ328205 AWM327696:AWM328205 BGI327696:BGI328205 BQE327696:BQE328205 CAA327696:CAA328205 CJW327696:CJW328205 CTS327696:CTS328205 DDO327696:DDO328205 DNK327696:DNK328205 DXG327696:DXG328205 EHC327696:EHC328205 EQY327696:EQY328205 FAU327696:FAU328205 FKQ327696:FKQ328205 FUM327696:FUM328205 GEI327696:GEI328205 GOE327696:GOE328205 GYA327696:GYA328205 HHW327696:HHW328205 HRS327696:HRS328205 IBO327696:IBO328205 ILK327696:ILK328205 IVG327696:IVG328205 JFC327696:JFC328205 JOY327696:JOY328205 JYU327696:JYU328205 KIQ327696:KIQ328205 KSM327696:KSM328205 LCI327696:LCI328205 LME327696:LME328205 LWA327696:LWA328205 MFW327696:MFW328205 MPS327696:MPS328205 MZO327696:MZO328205 NJK327696:NJK328205 NTG327696:NTG328205 ODC327696:ODC328205 OMY327696:OMY328205 OWU327696:OWU328205 PGQ327696:PGQ328205 PQM327696:PQM328205 QAI327696:QAI328205 QKE327696:QKE328205 QUA327696:QUA328205 RDW327696:RDW328205 RNS327696:RNS328205 RXO327696:RXO328205 SHK327696:SHK328205 SRG327696:SRG328205 TBC327696:TBC328205 TKY327696:TKY328205 TUU327696:TUU328205 UEQ327696:UEQ328205 UOM327696:UOM328205 UYI327696:UYI328205 VIE327696:VIE328205 VSA327696:VSA328205 WBW327696:WBW328205 WLS327696:WLS328205 WVO327696:WVO328205 K393232:K393741 JC393232:JC393741 SY393232:SY393741 ACU393232:ACU393741 AMQ393232:AMQ393741 AWM393232:AWM393741 BGI393232:BGI393741 BQE393232:BQE393741 CAA393232:CAA393741 CJW393232:CJW393741 CTS393232:CTS393741 DDO393232:DDO393741 DNK393232:DNK393741 DXG393232:DXG393741 EHC393232:EHC393741 EQY393232:EQY393741 FAU393232:FAU393741 FKQ393232:FKQ393741 FUM393232:FUM393741 GEI393232:GEI393741 GOE393232:GOE393741 GYA393232:GYA393741 HHW393232:HHW393741 HRS393232:HRS393741 IBO393232:IBO393741 ILK393232:ILK393741 IVG393232:IVG393741 JFC393232:JFC393741 JOY393232:JOY393741 JYU393232:JYU393741 KIQ393232:KIQ393741 KSM393232:KSM393741 LCI393232:LCI393741 LME393232:LME393741 LWA393232:LWA393741 MFW393232:MFW393741 MPS393232:MPS393741 MZO393232:MZO393741 NJK393232:NJK393741 NTG393232:NTG393741 ODC393232:ODC393741 OMY393232:OMY393741 OWU393232:OWU393741 PGQ393232:PGQ393741 PQM393232:PQM393741 QAI393232:QAI393741 QKE393232:QKE393741 QUA393232:QUA393741 RDW393232:RDW393741 RNS393232:RNS393741 RXO393232:RXO393741 SHK393232:SHK393741 SRG393232:SRG393741 TBC393232:TBC393741 TKY393232:TKY393741 TUU393232:TUU393741 UEQ393232:UEQ393741 UOM393232:UOM393741 UYI393232:UYI393741 VIE393232:VIE393741 VSA393232:VSA393741 WBW393232:WBW393741 WLS393232:WLS393741 WVO393232:WVO393741 K458768:K459277 JC458768:JC459277 SY458768:SY459277 ACU458768:ACU459277 AMQ458768:AMQ459277 AWM458768:AWM459277 BGI458768:BGI459277 BQE458768:BQE459277 CAA458768:CAA459277 CJW458768:CJW459277 CTS458768:CTS459277 DDO458768:DDO459277 DNK458768:DNK459277 DXG458768:DXG459277 EHC458768:EHC459277 EQY458768:EQY459277 FAU458768:FAU459277 FKQ458768:FKQ459277 FUM458768:FUM459277 GEI458768:GEI459277 GOE458768:GOE459277 GYA458768:GYA459277 HHW458768:HHW459277 HRS458768:HRS459277 IBO458768:IBO459277 ILK458768:ILK459277 IVG458768:IVG459277 JFC458768:JFC459277 JOY458768:JOY459277 JYU458768:JYU459277 KIQ458768:KIQ459277 KSM458768:KSM459277 LCI458768:LCI459277 LME458768:LME459277 LWA458768:LWA459277 MFW458768:MFW459277 MPS458768:MPS459277 MZO458768:MZO459277 NJK458768:NJK459277 NTG458768:NTG459277 ODC458768:ODC459277 OMY458768:OMY459277 OWU458768:OWU459277 PGQ458768:PGQ459277 PQM458768:PQM459277 QAI458768:QAI459277 QKE458768:QKE459277 QUA458768:QUA459277 RDW458768:RDW459277 RNS458768:RNS459277 RXO458768:RXO459277 SHK458768:SHK459277 SRG458768:SRG459277 TBC458768:TBC459277 TKY458768:TKY459277 TUU458768:TUU459277 UEQ458768:UEQ459277 UOM458768:UOM459277 UYI458768:UYI459277 VIE458768:VIE459277 VSA458768:VSA459277 WBW458768:WBW459277 WLS458768:WLS459277 WVO458768:WVO459277 K524304:K524813 JC524304:JC524813 SY524304:SY524813 ACU524304:ACU524813 AMQ524304:AMQ524813 AWM524304:AWM524813 BGI524304:BGI524813 BQE524304:BQE524813 CAA524304:CAA524813 CJW524304:CJW524813 CTS524304:CTS524813 DDO524304:DDO524813 DNK524304:DNK524813 DXG524304:DXG524813 EHC524304:EHC524813 EQY524304:EQY524813 FAU524304:FAU524813 FKQ524304:FKQ524813 FUM524304:FUM524813 GEI524304:GEI524813 GOE524304:GOE524813 GYA524304:GYA524813 HHW524304:HHW524813 HRS524304:HRS524813 IBO524304:IBO524813 ILK524304:ILK524813 IVG524304:IVG524813 JFC524304:JFC524813 JOY524304:JOY524813 JYU524304:JYU524813 KIQ524304:KIQ524813 KSM524304:KSM524813 LCI524304:LCI524813 LME524304:LME524813 LWA524304:LWA524813 MFW524304:MFW524813 MPS524304:MPS524813 MZO524304:MZO524813 NJK524304:NJK524813 NTG524304:NTG524813 ODC524304:ODC524813 OMY524304:OMY524813 OWU524304:OWU524813 PGQ524304:PGQ524813 PQM524304:PQM524813 QAI524304:QAI524813 QKE524304:QKE524813 QUA524304:QUA524813 RDW524304:RDW524813 RNS524304:RNS524813 RXO524304:RXO524813 SHK524304:SHK524813 SRG524304:SRG524813 TBC524304:TBC524813 TKY524304:TKY524813 TUU524304:TUU524813 UEQ524304:UEQ524813 UOM524304:UOM524813 UYI524304:UYI524813 VIE524304:VIE524813 VSA524304:VSA524813 WBW524304:WBW524813 WLS524304:WLS524813 WVO524304:WVO524813 K589840:K590349 JC589840:JC590349 SY589840:SY590349 ACU589840:ACU590349 AMQ589840:AMQ590349 AWM589840:AWM590349 BGI589840:BGI590349 BQE589840:BQE590349 CAA589840:CAA590349 CJW589840:CJW590349 CTS589840:CTS590349 DDO589840:DDO590349 DNK589840:DNK590349 DXG589840:DXG590349 EHC589840:EHC590349 EQY589840:EQY590349 FAU589840:FAU590349 FKQ589840:FKQ590349 FUM589840:FUM590349 GEI589840:GEI590349 GOE589840:GOE590349 GYA589840:GYA590349 HHW589840:HHW590349 HRS589840:HRS590349 IBO589840:IBO590349 ILK589840:ILK590349 IVG589840:IVG590349 JFC589840:JFC590349 JOY589840:JOY590349 JYU589840:JYU590349 KIQ589840:KIQ590349 KSM589840:KSM590349 LCI589840:LCI590349 LME589840:LME590349 LWA589840:LWA590349 MFW589840:MFW590349 MPS589840:MPS590349 MZO589840:MZO590349 NJK589840:NJK590349 NTG589840:NTG590349 ODC589840:ODC590349 OMY589840:OMY590349 OWU589840:OWU590349 PGQ589840:PGQ590349 PQM589840:PQM590349 QAI589840:QAI590349 QKE589840:QKE590349 QUA589840:QUA590349 RDW589840:RDW590349 RNS589840:RNS590349 RXO589840:RXO590349 SHK589840:SHK590349 SRG589840:SRG590349 TBC589840:TBC590349 TKY589840:TKY590349 TUU589840:TUU590349 UEQ589840:UEQ590349 UOM589840:UOM590349 UYI589840:UYI590349 VIE589840:VIE590349 VSA589840:VSA590349 WBW589840:WBW590349 WLS589840:WLS590349 WVO589840:WVO590349 K655376:K655885 JC655376:JC655885 SY655376:SY655885 ACU655376:ACU655885 AMQ655376:AMQ655885 AWM655376:AWM655885 BGI655376:BGI655885 BQE655376:BQE655885 CAA655376:CAA655885 CJW655376:CJW655885 CTS655376:CTS655885 DDO655376:DDO655885 DNK655376:DNK655885 DXG655376:DXG655885 EHC655376:EHC655885 EQY655376:EQY655885 FAU655376:FAU655885 FKQ655376:FKQ655885 FUM655376:FUM655885 GEI655376:GEI655885 GOE655376:GOE655885 GYA655376:GYA655885 HHW655376:HHW655885 HRS655376:HRS655885 IBO655376:IBO655885 ILK655376:ILK655885 IVG655376:IVG655885 JFC655376:JFC655885 JOY655376:JOY655885 JYU655376:JYU655885 KIQ655376:KIQ655885 KSM655376:KSM655885 LCI655376:LCI655885 LME655376:LME655885 LWA655376:LWA655885 MFW655376:MFW655885 MPS655376:MPS655885 MZO655376:MZO655885 NJK655376:NJK655885 NTG655376:NTG655885 ODC655376:ODC655885 OMY655376:OMY655885 OWU655376:OWU655885 PGQ655376:PGQ655885 PQM655376:PQM655885 QAI655376:QAI655885 QKE655376:QKE655885 QUA655376:QUA655885 RDW655376:RDW655885 RNS655376:RNS655885 RXO655376:RXO655885 SHK655376:SHK655885 SRG655376:SRG655885 TBC655376:TBC655885 TKY655376:TKY655885 TUU655376:TUU655885 UEQ655376:UEQ655885 UOM655376:UOM655885 UYI655376:UYI655885 VIE655376:VIE655885 VSA655376:VSA655885 WBW655376:WBW655885 WLS655376:WLS655885 WVO655376:WVO655885 K720912:K721421 JC720912:JC721421 SY720912:SY721421 ACU720912:ACU721421 AMQ720912:AMQ721421 AWM720912:AWM721421 BGI720912:BGI721421 BQE720912:BQE721421 CAA720912:CAA721421 CJW720912:CJW721421 CTS720912:CTS721421 DDO720912:DDO721421 DNK720912:DNK721421 DXG720912:DXG721421 EHC720912:EHC721421 EQY720912:EQY721421 FAU720912:FAU721421 FKQ720912:FKQ721421 FUM720912:FUM721421 GEI720912:GEI721421 GOE720912:GOE721421 GYA720912:GYA721421 HHW720912:HHW721421 HRS720912:HRS721421 IBO720912:IBO721421 ILK720912:ILK721421 IVG720912:IVG721421 JFC720912:JFC721421 JOY720912:JOY721421 JYU720912:JYU721421 KIQ720912:KIQ721421 KSM720912:KSM721421 LCI720912:LCI721421 LME720912:LME721421 LWA720912:LWA721421 MFW720912:MFW721421 MPS720912:MPS721421 MZO720912:MZO721421 NJK720912:NJK721421 NTG720912:NTG721421 ODC720912:ODC721421 OMY720912:OMY721421 OWU720912:OWU721421 PGQ720912:PGQ721421 PQM720912:PQM721421 QAI720912:QAI721421 QKE720912:QKE721421 QUA720912:QUA721421 RDW720912:RDW721421 RNS720912:RNS721421 RXO720912:RXO721421 SHK720912:SHK721421 SRG720912:SRG721421 TBC720912:TBC721421 TKY720912:TKY721421 TUU720912:TUU721421 UEQ720912:UEQ721421 UOM720912:UOM721421 UYI720912:UYI721421 VIE720912:VIE721421 VSA720912:VSA721421 WBW720912:WBW721421 WLS720912:WLS721421 WVO720912:WVO721421 K786448:K786957 JC786448:JC786957 SY786448:SY786957 ACU786448:ACU786957 AMQ786448:AMQ786957 AWM786448:AWM786957 BGI786448:BGI786957 BQE786448:BQE786957 CAA786448:CAA786957 CJW786448:CJW786957 CTS786448:CTS786957 DDO786448:DDO786957 DNK786448:DNK786957 DXG786448:DXG786957 EHC786448:EHC786957 EQY786448:EQY786957 FAU786448:FAU786957 FKQ786448:FKQ786957 FUM786448:FUM786957 GEI786448:GEI786957 GOE786448:GOE786957 GYA786448:GYA786957 HHW786448:HHW786957 HRS786448:HRS786957 IBO786448:IBO786957 ILK786448:ILK786957 IVG786448:IVG786957 JFC786448:JFC786957 JOY786448:JOY786957 JYU786448:JYU786957 KIQ786448:KIQ786957 KSM786448:KSM786957 LCI786448:LCI786957 LME786448:LME786957 LWA786448:LWA786957 MFW786448:MFW786957 MPS786448:MPS786957 MZO786448:MZO786957 NJK786448:NJK786957 NTG786448:NTG786957 ODC786448:ODC786957 OMY786448:OMY786957 OWU786448:OWU786957 PGQ786448:PGQ786957 PQM786448:PQM786957 QAI786448:QAI786957 QKE786448:QKE786957 QUA786448:QUA786957 RDW786448:RDW786957 RNS786448:RNS786957 RXO786448:RXO786957 SHK786448:SHK786957 SRG786448:SRG786957 TBC786448:TBC786957 TKY786448:TKY786957 TUU786448:TUU786957 UEQ786448:UEQ786957 UOM786448:UOM786957 UYI786448:UYI786957 VIE786448:VIE786957 VSA786448:VSA786957 WBW786448:WBW786957 WLS786448:WLS786957 WVO786448:WVO786957 K851984:K852493 JC851984:JC852493 SY851984:SY852493 ACU851984:ACU852493 AMQ851984:AMQ852493 AWM851984:AWM852493 BGI851984:BGI852493 BQE851984:BQE852493 CAA851984:CAA852493 CJW851984:CJW852493 CTS851984:CTS852493 DDO851984:DDO852493 DNK851984:DNK852493 DXG851984:DXG852493 EHC851984:EHC852493 EQY851984:EQY852493 FAU851984:FAU852493 FKQ851984:FKQ852493 FUM851984:FUM852493 GEI851984:GEI852493 GOE851984:GOE852493 GYA851984:GYA852493 HHW851984:HHW852493 HRS851984:HRS852493 IBO851984:IBO852493 ILK851984:ILK852493 IVG851984:IVG852493 JFC851984:JFC852493 JOY851984:JOY852493 JYU851984:JYU852493 KIQ851984:KIQ852493 KSM851984:KSM852493 LCI851984:LCI852493 LME851984:LME852493 LWA851984:LWA852493 MFW851984:MFW852493 MPS851984:MPS852493 MZO851984:MZO852493 NJK851984:NJK852493 NTG851984:NTG852493 ODC851984:ODC852493 OMY851984:OMY852493 OWU851984:OWU852493 PGQ851984:PGQ852493 PQM851984:PQM852493 QAI851984:QAI852493 QKE851984:QKE852493 QUA851984:QUA852493 RDW851984:RDW852493 RNS851984:RNS852493 RXO851984:RXO852493 SHK851984:SHK852493 SRG851984:SRG852493 TBC851984:TBC852493 TKY851984:TKY852493 TUU851984:TUU852493 UEQ851984:UEQ852493 UOM851984:UOM852493 UYI851984:UYI852493 VIE851984:VIE852493 VSA851984:VSA852493 WBW851984:WBW852493 WLS851984:WLS852493 WVO851984:WVO852493 K917520:K918029 JC917520:JC918029 SY917520:SY918029 ACU917520:ACU918029 AMQ917520:AMQ918029 AWM917520:AWM918029 BGI917520:BGI918029 BQE917520:BQE918029 CAA917520:CAA918029 CJW917520:CJW918029 CTS917520:CTS918029 DDO917520:DDO918029 DNK917520:DNK918029 DXG917520:DXG918029 EHC917520:EHC918029 EQY917520:EQY918029 FAU917520:FAU918029 FKQ917520:FKQ918029 FUM917520:FUM918029 GEI917520:GEI918029 GOE917520:GOE918029 GYA917520:GYA918029 HHW917520:HHW918029 HRS917520:HRS918029 IBO917520:IBO918029 ILK917520:ILK918029 IVG917520:IVG918029 JFC917520:JFC918029 JOY917520:JOY918029 JYU917520:JYU918029 KIQ917520:KIQ918029 KSM917520:KSM918029 LCI917520:LCI918029 LME917520:LME918029 LWA917520:LWA918029 MFW917520:MFW918029 MPS917520:MPS918029 MZO917520:MZO918029 NJK917520:NJK918029 NTG917520:NTG918029 ODC917520:ODC918029 OMY917520:OMY918029 OWU917520:OWU918029 PGQ917520:PGQ918029 PQM917520:PQM918029 QAI917520:QAI918029 QKE917520:QKE918029 QUA917520:QUA918029 RDW917520:RDW918029 RNS917520:RNS918029 RXO917520:RXO918029 SHK917520:SHK918029 SRG917520:SRG918029 TBC917520:TBC918029 TKY917520:TKY918029 TUU917520:TUU918029 UEQ917520:UEQ918029 UOM917520:UOM918029 UYI917520:UYI918029 VIE917520:VIE918029 VSA917520:VSA918029 WBW917520:WBW918029 WLS917520:WLS918029 WVO917520:WVO918029 K983056:K983565 JC983056:JC983565 SY983056:SY983565 ACU983056:ACU983565 AMQ983056:AMQ983565 AWM983056:AWM983565 BGI983056:BGI983565 BQE983056:BQE983565 CAA983056:CAA983565 CJW983056:CJW983565 CTS983056:CTS983565 DDO983056:DDO983565 DNK983056:DNK983565 DXG983056:DXG983565 EHC983056:EHC983565 EQY983056:EQY983565 FAU983056:FAU983565 FKQ983056:FKQ983565 FUM983056:FUM983565 GEI983056:GEI983565 GOE983056:GOE983565 GYA983056:GYA983565 HHW983056:HHW983565 HRS983056:HRS983565 IBO983056:IBO983565 ILK983056:ILK983565 IVG983056:IVG983565 JFC983056:JFC983565 JOY983056:JOY983565 JYU983056:JYU983565 KIQ983056:KIQ983565 KSM983056:KSM983565 LCI983056:LCI983565 LME983056:LME983565 LWA983056:LWA983565 MFW983056:MFW983565 MPS983056:MPS983565 MZO983056:MZO983565 NJK983056:NJK983565 NTG983056:NTG983565 ODC983056:ODC983565 OMY983056:OMY983565 OWU983056:OWU983565 PGQ983056:PGQ983565 PQM983056:PQM983565 QAI983056:QAI983565 QKE983056:QKE983565 QUA983056:QUA983565 RDW983056:RDW983565 RNS983056:RNS983565 RXO983056:RXO983565 SHK983056:SHK983565 SRG983056:SRG983565 TBC983056:TBC983565 TKY983056:TKY983565 TUU983056:TUU983565 UEQ983056:UEQ983565 UOM983056:UOM983565 UYI983056:UYI983565 VIE983056:VIE983565 VSA983056:VSA983565 WBW983056:WBW983565 WLS983056:WLS983565 WVO983056:WVO983565">
      <formula1>testRunStatus</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355"/>
  <sheetViews>
    <sheetView workbookViewId="0">
      <selection activeCell="C3" sqref="C3"/>
    </sheetView>
  </sheetViews>
  <sheetFormatPr defaultRowHeight="15" x14ac:dyDescent="0.25"/>
  <cols>
    <col min="1" max="1" width="21.5703125" style="33" customWidth="1"/>
    <col min="2" max="2" width="9.140625" style="33"/>
    <col min="3" max="3" width="25.5703125" style="33" customWidth="1"/>
    <col min="4" max="4" width="9.140625" style="33"/>
    <col min="5" max="5" width="30.140625" style="33" customWidth="1"/>
    <col min="6" max="6" width="13.28515625" style="33" customWidth="1"/>
    <col min="7" max="7" width="29.7109375" style="33" customWidth="1"/>
    <col min="8" max="8" width="9.140625" style="33"/>
    <col min="9" max="9" width="14.5703125" style="33" customWidth="1"/>
    <col min="10" max="10" width="29.85546875" style="33" customWidth="1"/>
    <col min="11" max="16384" width="9.140625" style="33"/>
  </cols>
  <sheetData>
    <row r="1" spans="1:17" s="32" customFormat="1" ht="39" x14ac:dyDescent="0.25">
      <c r="A1" s="19" t="s">
        <v>0</v>
      </c>
      <c r="B1" s="20" t="s">
        <v>1</v>
      </c>
      <c r="C1" s="19" t="s">
        <v>2</v>
      </c>
      <c r="D1" s="19" t="s">
        <v>3</v>
      </c>
      <c r="E1" s="19" t="s">
        <v>4</v>
      </c>
      <c r="F1" s="19" t="s">
        <v>5</v>
      </c>
      <c r="G1" s="19" t="s">
        <v>6</v>
      </c>
      <c r="H1" s="19" t="s">
        <v>7</v>
      </c>
      <c r="I1" s="19" t="s">
        <v>8</v>
      </c>
      <c r="J1" s="19" t="s">
        <v>9</v>
      </c>
      <c r="K1" s="19" t="s">
        <v>10</v>
      </c>
      <c r="L1" s="19" t="s">
        <v>11</v>
      </c>
      <c r="M1" s="19" t="s">
        <v>12</v>
      </c>
      <c r="N1" s="19" t="s">
        <v>13</v>
      </c>
      <c r="O1" s="19" t="s">
        <v>14</v>
      </c>
      <c r="P1" s="19" t="s">
        <v>15</v>
      </c>
      <c r="Q1" s="19" t="s">
        <v>16</v>
      </c>
    </row>
    <row r="2" spans="1:17" ht="102" x14ac:dyDescent="0.25">
      <c r="A2" s="23"/>
      <c r="B2" s="23"/>
      <c r="C2" s="58" t="s">
        <v>516</v>
      </c>
      <c r="D2" s="22" t="s">
        <v>74</v>
      </c>
      <c r="E2" s="22" t="s">
        <v>515</v>
      </c>
      <c r="F2" s="34" t="s">
        <v>17</v>
      </c>
      <c r="G2" s="59" t="s">
        <v>565</v>
      </c>
      <c r="H2" s="23"/>
      <c r="I2" s="60" t="s">
        <v>517</v>
      </c>
      <c r="J2" s="24" t="s">
        <v>80</v>
      </c>
      <c r="K2" s="23"/>
      <c r="L2" s="23"/>
      <c r="M2" s="23"/>
      <c r="N2" s="23"/>
      <c r="O2" s="23"/>
      <c r="P2" s="23"/>
      <c r="Q2" s="23"/>
    </row>
    <row r="3" spans="1:17" ht="38.25" x14ac:dyDescent="0.25">
      <c r="A3" s="23"/>
      <c r="B3" s="23"/>
      <c r="C3" s="21" t="s">
        <v>87</v>
      </c>
      <c r="D3" s="24"/>
      <c r="E3" s="24"/>
      <c r="F3" s="25" t="s">
        <v>19</v>
      </c>
      <c r="G3" s="26" t="s">
        <v>18</v>
      </c>
      <c r="H3" s="24"/>
      <c r="I3" s="24"/>
      <c r="J3" s="26" t="s">
        <v>20</v>
      </c>
      <c r="K3" s="23"/>
      <c r="L3" s="23"/>
      <c r="M3" s="23"/>
      <c r="N3" s="23"/>
      <c r="O3" s="23"/>
      <c r="P3" s="23"/>
      <c r="Q3" s="23"/>
    </row>
    <row r="4" spans="1:17" ht="38.25" x14ac:dyDescent="0.25">
      <c r="A4" s="23"/>
      <c r="B4" s="23"/>
      <c r="C4" s="21" t="s">
        <v>87</v>
      </c>
      <c r="D4" s="24"/>
      <c r="E4" s="24"/>
      <c r="F4" s="25" t="s">
        <v>26</v>
      </c>
      <c r="G4" s="26" t="s">
        <v>21</v>
      </c>
      <c r="H4" s="24"/>
      <c r="I4" s="24"/>
      <c r="J4" s="26" t="s">
        <v>22</v>
      </c>
      <c r="K4" s="23"/>
      <c r="L4" s="23"/>
      <c r="M4" s="23"/>
      <c r="N4" s="23"/>
      <c r="O4" s="23"/>
      <c r="P4" s="23"/>
      <c r="Q4" s="23"/>
    </row>
    <row r="5" spans="1:17" ht="51" x14ac:dyDescent="0.25">
      <c r="A5" s="23"/>
      <c r="B5" s="23"/>
      <c r="C5" s="21" t="s">
        <v>87</v>
      </c>
      <c r="D5" s="24"/>
      <c r="E5" s="24"/>
      <c r="F5" s="25" t="s">
        <v>28</v>
      </c>
      <c r="G5" s="26" t="s">
        <v>23</v>
      </c>
      <c r="H5" s="24"/>
      <c r="I5" s="24"/>
      <c r="J5" s="26" t="s">
        <v>41</v>
      </c>
      <c r="K5" s="23"/>
      <c r="L5" s="23"/>
      <c r="M5" s="23"/>
      <c r="N5" s="23"/>
      <c r="O5" s="23"/>
      <c r="P5" s="23"/>
      <c r="Q5" s="23"/>
    </row>
    <row r="6" spans="1:17" ht="38.25" x14ac:dyDescent="0.25">
      <c r="A6" s="23"/>
      <c r="B6" s="23"/>
      <c r="C6" s="21" t="s">
        <v>87</v>
      </c>
      <c r="D6" s="23"/>
      <c r="E6" s="23"/>
      <c r="F6" s="25" t="s">
        <v>29</v>
      </c>
      <c r="G6" s="21" t="s">
        <v>70</v>
      </c>
      <c r="H6" s="27"/>
      <c r="I6" s="27"/>
      <c r="J6" s="21" t="s">
        <v>44</v>
      </c>
      <c r="K6" s="23"/>
      <c r="L6" s="23"/>
      <c r="M6" s="23"/>
      <c r="N6" s="23"/>
      <c r="O6" s="23"/>
      <c r="P6" s="23"/>
      <c r="Q6" s="23"/>
    </row>
    <row r="7" spans="1:17" ht="38.25" x14ac:dyDescent="0.25">
      <c r="A7" s="23"/>
      <c r="B7" s="23"/>
      <c r="C7" s="21" t="s">
        <v>87</v>
      </c>
      <c r="D7" s="23"/>
      <c r="E7" s="23"/>
      <c r="F7" s="25" t="s">
        <v>30</v>
      </c>
      <c r="G7" s="25" t="s">
        <v>25</v>
      </c>
      <c r="H7" s="25"/>
      <c r="I7" s="25"/>
      <c r="J7" s="25" t="s">
        <v>27</v>
      </c>
      <c r="K7" s="23"/>
      <c r="L7" s="23"/>
      <c r="M7" s="23"/>
      <c r="N7" s="23"/>
      <c r="O7" s="23"/>
      <c r="P7" s="23"/>
      <c r="Q7" s="23"/>
    </row>
    <row r="8" spans="1:17" ht="51" x14ac:dyDescent="0.25">
      <c r="A8" s="23"/>
      <c r="B8" s="23"/>
      <c r="C8" s="21" t="s">
        <v>87</v>
      </c>
      <c r="D8" s="23"/>
      <c r="E8" s="23"/>
      <c r="F8" s="25" t="s">
        <v>31</v>
      </c>
      <c r="G8" s="25" t="s">
        <v>45</v>
      </c>
      <c r="H8" s="25"/>
      <c r="I8" s="24"/>
      <c r="J8" s="22" t="s">
        <v>82</v>
      </c>
      <c r="K8" s="23"/>
      <c r="L8" s="23"/>
      <c r="M8" s="23"/>
      <c r="N8" s="23"/>
      <c r="O8" s="23"/>
      <c r="P8" s="23"/>
      <c r="Q8" s="23"/>
    </row>
    <row r="9" spans="1:17" ht="51" x14ac:dyDescent="0.25">
      <c r="A9" s="23"/>
      <c r="B9" s="23"/>
      <c r="C9" s="21" t="s">
        <v>87</v>
      </c>
      <c r="D9" s="23"/>
      <c r="E9" s="23"/>
      <c r="F9" s="25" t="s">
        <v>32</v>
      </c>
      <c r="G9" s="21" t="s">
        <v>83</v>
      </c>
      <c r="H9" s="27"/>
      <c r="I9" s="21"/>
      <c r="J9" s="21" t="s">
        <v>84</v>
      </c>
      <c r="K9" s="23"/>
      <c r="L9" s="23"/>
      <c r="M9" s="23"/>
      <c r="N9" s="23"/>
      <c r="O9" s="23"/>
      <c r="P9" s="23"/>
      <c r="Q9" s="23"/>
    </row>
    <row r="10" spans="1:17" ht="102" x14ac:dyDescent="0.25">
      <c r="A10" s="23"/>
      <c r="B10" s="23"/>
      <c r="C10" s="21" t="s">
        <v>87</v>
      </c>
      <c r="D10" s="23"/>
      <c r="E10" s="23"/>
      <c r="F10" s="25" t="s">
        <v>33</v>
      </c>
      <c r="G10" s="22" t="s">
        <v>566</v>
      </c>
      <c r="H10" s="23"/>
      <c r="I10" s="22" t="s">
        <v>86</v>
      </c>
      <c r="J10" s="22" t="s">
        <v>85</v>
      </c>
      <c r="K10" s="23"/>
      <c r="L10" s="23"/>
      <c r="M10" s="23"/>
      <c r="N10" s="23"/>
      <c r="O10" s="23"/>
      <c r="P10" s="23"/>
      <c r="Q10" s="23"/>
    </row>
    <row r="11" spans="1:17" ht="272.25" customHeight="1" x14ac:dyDescent="0.25">
      <c r="A11" s="23"/>
      <c r="B11" s="23"/>
      <c r="C11" s="21" t="s">
        <v>88</v>
      </c>
      <c r="D11" s="22" t="s">
        <v>74</v>
      </c>
      <c r="E11" s="22" t="s">
        <v>81</v>
      </c>
      <c r="F11" s="34" t="s">
        <v>17</v>
      </c>
      <c r="G11" s="59" t="s">
        <v>624</v>
      </c>
      <c r="H11" s="23"/>
      <c r="I11" s="60" t="s">
        <v>517</v>
      </c>
      <c r="J11" s="24" t="s">
        <v>80</v>
      </c>
      <c r="K11" s="23"/>
      <c r="L11" s="23"/>
      <c r="M11" s="23"/>
      <c r="N11" s="23"/>
      <c r="O11" s="23"/>
      <c r="P11" s="23"/>
      <c r="Q11" s="23"/>
    </row>
    <row r="12" spans="1:17" ht="38.25" x14ac:dyDescent="0.25">
      <c r="A12" s="23"/>
      <c r="B12" s="23"/>
      <c r="C12" s="21" t="s">
        <v>89</v>
      </c>
      <c r="D12" s="24"/>
      <c r="E12" s="24"/>
      <c r="F12" s="25" t="s">
        <v>19</v>
      </c>
      <c r="G12" s="26" t="s">
        <v>18</v>
      </c>
      <c r="H12" s="24"/>
      <c r="I12" s="24"/>
      <c r="J12" s="26" t="s">
        <v>20</v>
      </c>
      <c r="K12" s="23"/>
      <c r="L12" s="23"/>
      <c r="M12" s="23"/>
      <c r="N12" s="23"/>
      <c r="O12" s="23"/>
      <c r="P12" s="23"/>
      <c r="Q12" s="23"/>
    </row>
    <row r="13" spans="1:17" ht="38.25" x14ac:dyDescent="0.25">
      <c r="A13" s="23"/>
      <c r="B13" s="23"/>
      <c r="C13" s="21" t="s">
        <v>89</v>
      </c>
      <c r="D13" s="24"/>
      <c r="E13" s="24"/>
      <c r="F13" s="25" t="s">
        <v>26</v>
      </c>
      <c r="G13" s="26" t="s">
        <v>21</v>
      </c>
      <c r="H13" s="24"/>
      <c r="I13" s="24"/>
      <c r="J13" s="26" t="s">
        <v>22</v>
      </c>
      <c r="K13" s="23"/>
      <c r="L13" s="23"/>
      <c r="M13" s="23"/>
      <c r="N13" s="23"/>
      <c r="O13" s="23"/>
      <c r="P13" s="23"/>
      <c r="Q13" s="23"/>
    </row>
    <row r="14" spans="1:17" ht="51" x14ac:dyDescent="0.25">
      <c r="A14" s="23"/>
      <c r="B14" s="23"/>
      <c r="C14" s="21" t="s">
        <v>89</v>
      </c>
      <c r="D14" s="24"/>
      <c r="E14" s="24"/>
      <c r="F14" s="25" t="s">
        <v>28</v>
      </c>
      <c r="G14" s="26" t="s">
        <v>23</v>
      </c>
      <c r="H14" s="24"/>
      <c r="I14" s="24"/>
      <c r="J14" s="26" t="s">
        <v>41</v>
      </c>
      <c r="K14" s="23"/>
      <c r="L14" s="23"/>
      <c r="M14" s="23"/>
      <c r="N14" s="23"/>
      <c r="O14" s="23"/>
      <c r="P14" s="23"/>
      <c r="Q14" s="23"/>
    </row>
    <row r="15" spans="1:17" ht="38.25" x14ac:dyDescent="0.25">
      <c r="A15" s="23"/>
      <c r="B15" s="23"/>
      <c r="C15" s="21" t="s">
        <v>89</v>
      </c>
      <c r="D15" s="23"/>
      <c r="E15" s="23"/>
      <c r="F15" s="25" t="s">
        <v>29</v>
      </c>
      <c r="G15" s="21" t="s">
        <v>70</v>
      </c>
      <c r="H15" s="27"/>
      <c r="I15" s="27"/>
      <c r="J15" s="21" t="s">
        <v>44</v>
      </c>
      <c r="K15" s="23"/>
      <c r="L15" s="23"/>
      <c r="M15" s="23"/>
      <c r="N15" s="23"/>
      <c r="O15" s="23"/>
      <c r="P15" s="23"/>
      <c r="Q15" s="23"/>
    </row>
    <row r="16" spans="1:17" ht="38.25" x14ac:dyDescent="0.25">
      <c r="A16" s="23"/>
      <c r="B16" s="23"/>
      <c r="C16" s="21" t="s">
        <v>89</v>
      </c>
      <c r="D16" s="23"/>
      <c r="E16" s="23"/>
      <c r="F16" s="25" t="s">
        <v>30</v>
      </c>
      <c r="G16" s="25" t="s">
        <v>25</v>
      </c>
      <c r="H16" s="25"/>
      <c r="I16" s="25"/>
      <c r="J16" s="25" t="s">
        <v>27</v>
      </c>
      <c r="K16" s="23"/>
      <c r="L16" s="23"/>
      <c r="M16" s="23"/>
      <c r="N16" s="23"/>
      <c r="O16" s="23"/>
      <c r="P16" s="23"/>
      <c r="Q16" s="23"/>
    </row>
    <row r="17" spans="1:17" ht="51" x14ac:dyDescent="0.25">
      <c r="A17" s="23"/>
      <c r="B17" s="23"/>
      <c r="C17" s="21" t="s">
        <v>89</v>
      </c>
      <c r="D17" s="23"/>
      <c r="E17" s="23"/>
      <c r="F17" s="25" t="s">
        <v>31</v>
      </c>
      <c r="G17" s="25" t="s">
        <v>45</v>
      </c>
      <c r="H17" s="25"/>
      <c r="I17" s="24"/>
      <c r="J17" s="22" t="s">
        <v>82</v>
      </c>
      <c r="K17" s="23"/>
      <c r="L17" s="23"/>
      <c r="M17" s="23"/>
      <c r="N17" s="23"/>
      <c r="O17" s="23"/>
      <c r="P17" s="23"/>
      <c r="Q17" s="23"/>
    </row>
    <row r="18" spans="1:17" ht="51" x14ac:dyDescent="0.25">
      <c r="A18" s="23"/>
      <c r="B18" s="23"/>
      <c r="C18" s="21" t="s">
        <v>89</v>
      </c>
      <c r="D18" s="23"/>
      <c r="E18" s="23"/>
      <c r="F18" s="25" t="s">
        <v>32</v>
      </c>
      <c r="G18" s="21" t="s">
        <v>83</v>
      </c>
      <c r="H18" s="27"/>
      <c r="I18" s="21"/>
      <c r="J18" s="21" t="s">
        <v>84</v>
      </c>
      <c r="K18" s="23"/>
      <c r="L18" s="23"/>
      <c r="M18" s="23"/>
      <c r="N18" s="23"/>
      <c r="O18" s="23"/>
      <c r="P18" s="23"/>
      <c r="Q18" s="23"/>
    </row>
    <row r="19" spans="1:17" ht="102" x14ac:dyDescent="0.25">
      <c r="A19" s="23"/>
      <c r="B19" s="23"/>
      <c r="C19" s="21" t="s">
        <v>89</v>
      </c>
      <c r="D19" s="23"/>
      <c r="E19" s="23"/>
      <c r="F19" s="25" t="s">
        <v>33</v>
      </c>
      <c r="G19" s="22" t="s">
        <v>566</v>
      </c>
      <c r="H19" s="23"/>
      <c r="I19" s="22" t="s">
        <v>86</v>
      </c>
      <c r="J19" s="22" t="s">
        <v>85</v>
      </c>
      <c r="K19" s="23"/>
      <c r="L19" s="23"/>
      <c r="M19" s="23"/>
      <c r="N19" s="23"/>
      <c r="O19" s="23"/>
      <c r="P19" s="23"/>
      <c r="Q19" s="23"/>
    </row>
    <row r="20" spans="1:17" ht="140.25" x14ac:dyDescent="0.25">
      <c r="A20" s="23"/>
      <c r="B20" s="23"/>
      <c r="C20" s="21" t="s">
        <v>96</v>
      </c>
      <c r="D20" s="22" t="s">
        <v>54</v>
      </c>
      <c r="E20" s="36" t="s">
        <v>97</v>
      </c>
      <c r="F20" s="34" t="s">
        <v>17</v>
      </c>
      <c r="G20" s="61" t="s">
        <v>567</v>
      </c>
      <c r="H20" s="24"/>
      <c r="I20" s="60" t="s">
        <v>517</v>
      </c>
      <c r="J20" s="26"/>
      <c r="K20" s="23"/>
      <c r="L20" s="23"/>
      <c r="M20" s="23"/>
      <c r="N20" s="23"/>
      <c r="O20" s="23"/>
      <c r="P20" s="23"/>
      <c r="Q20" s="23"/>
    </row>
    <row r="21" spans="1:17" ht="38.25" x14ac:dyDescent="0.25">
      <c r="A21" s="23"/>
      <c r="B21" s="23"/>
      <c r="C21" s="21" t="s">
        <v>96</v>
      </c>
      <c r="D21" s="22"/>
      <c r="E21" s="25"/>
      <c r="F21" s="25" t="s">
        <v>19</v>
      </c>
      <c r="G21" s="26" t="s">
        <v>18</v>
      </c>
      <c r="H21" s="24"/>
      <c r="I21" s="24"/>
      <c r="J21" s="26" t="s">
        <v>20</v>
      </c>
      <c r="K21" s="23"/>
      <c r="L21" s="23"/>
      <c r="M21" s="23"/>
      <c r="N21" s="23"/>
      <c r="O21" s="23"/>
      <c r="P21" s="23"/>
      <c r="Q21" s="23"/>
    </row>
    <row r="22" spans="1:17" ht="38.25" x14ac:dyDescent="0.25">
      <c r="A22" s="23"/>
      <c r="B22" s="23"/>
      <c r="C22" s="21" t="s">
        <v>96</v>
      </c>
      <c r="D22" s="27"/>
      <c r="E22" s="27"/>
      <c r="F22" s="25" t="s">
        <v>26</v>
      </c>
      <c r="G22" s="26" t="s">
        <v>21</v>
      </c>
      <c r="H22" s="24"/>
      <c r="I22" s="24"/>
      <c r="J22" s="26" t="s">
        <v>22</v>
      </c>
      <c r="K22" s="23"/>
      <c r="L22" s="23"/>
      <c r="M22" s="23"/>
      <c r="N22" s="23"/>
      <c r="O22" s="23"/>
      <c r="P22" s="23"/>
      <c r="Q22" s="23"/>
    </row>
    <row r="23" spans="1:17" ht="51" x14ac:dyDescent="0.25">
      <c r="A23" s="23"/>
      <c r="B23" s="23"/>
      <c r="C23" s="21" t="s">
        <v>96</v>
      </c>
      <c r="D23" s="27"/>
      <c r="E23" s="27"/>
      <c r="F23" s="25" t="s">
        <v>28</v>
      </c>
      <c r="G23" s="26" t="s">
        <v>23</v>
      </c>
      <c r="H23" s="24"/>
      <c r="I23" s="24"/>
      <c r="J23" s="26" t="s">
        <v>41</v>
      </c>
      <c r="K23" s="23"/>
      <c r="L23" s="23"/>
      <c r="M23" s="23"/>
      <c r="N23" s="23"/>
      <c r="O23" s="23"/>
      <c r="P23" s="23"/>
      <c r="Q23" s="23"/>
    </row>
    <row r="24" spans="1:17" ht="38.25" x14ac:dyDescent="0.25">
      <c r="A24" s="23"/>
      <c r="B24" s="23"/>
      <c r="C24" s="21" t="s">
        <v>96</v>
      </c>
      <c r="D24" s="27"/>
      <c r="E24" s="27"/>
      <c r="F24" s="25" t="s">
        <v>29</v>
      </c>
      <c r="G24" s="27" t="s">
        <v>76</v>
      </c>
      <c r="H24" s="27"/>
      <c r="I24" s="27"/>
      <c r="J24" s="21" t="s">
        <v>44</v>
      </c>
      <c r="K24" s="23"/>
      <c r="L24" s="23"/>
      <c r="M24" s="23"/>
      <c r="N24" s="23"/>
      <c r="O24" s="23"/>
      <c r="P24" s="23"/>
      <c r="Q24" s="23"/>
    </row>
    <row r="25" spans="1:17" ht="38.25" x14ac:dyDescent="0.25">
      <c r="A25" s="23"/>
      <c r="B25" s="23"/>
      <c r="C25" s="21" t="s">
        <v>96</v>
      </c>
      <c r="D25" s="27"/>
      <c r="E25" s="27"/>
      <c r="F25" s="25" t="s">
        <v>30</v>
      </c>
      <c r="G25" s="25" t="s">
        <v>25</v>
      </c>
      <c r="H25" s="25"/>
      <c r="I25" s="25"/>
      <c r="J25" s="25" t="s">
        <v>27</v>
      </c>
      <c r="K25" s="23"/>
      <c r="L25" s="23"/>
      <c r="M25" s="23"/>
      <c r="N25" s="23"/>
      <c r="O25" s="23"/>
      <c r="P25" s="23"/>
      <c r="Q25" s="23"/>
    </row>
    <row r="26" spans="1:17" ht="38.25" x14ac:dyDescent="0.25">
      <c r="A26" s="23"/>
      <c r="B26" s="23"/>
      <c r="C26" s="21" t="s">
        <v>96</v>
      </c>
      <c r="D26" s="27"/>
      <c r="E26" s="27"/>
      <c r="F26" s="25" t="s">
        <v>31</v>
      </c>
      <c r="G26" s="25" t="s">
        <v>45</v>
      </c>
      <c r="H26" s="25"/>
      <c r="I26" s="24"/>
      <c r="J26" s="25" t="s">
        <v>42</v>
      </c>
      <c r="K26" s="23"/>
      <c r="L26" s="23"/>
      <c r="M26" s="23"/>
      <c r="N26" s="23"/>
      <c r="O26" s="23"/>
      <c r="P26" s="23"/>
      <c r="Q26" s="23"/>
    </row>
    <row r="27" spans="1:17" ht="102" x14ac:dyDescent="0.25">
      <c r="A27" s="23"/>
      <c r="B27" s="23"/>
      <c r="C27" s="21" t="s">
        <v>96</v>
      </c>
      <c r="D27" s="27"/>
      <c r="E27" s="27"/>
      <c r="F27" s="25" t="s">
        <v>32</v>
      </c>
      <c r="G27" s="21" t="s">
        <v>568</v>
      </c>
      <c r="H27" s="27"/>
      <c r="I27" s="21" t="s">
        <v>237</v>
      </c>
      <c r="J27" s="21" t="s">
        <v>100</v>
      </c>
      <c r="K27" s="23"/>
      <c r="L27" s="23"/>
      <c r="M27" s="23"/>
      <c r="N27" s="23"/>
      <c r="O27" s="23"/>
      <c r="P27" s="23"/>
      <c r="Q27" s="23"/>
    </row>
    <row r="28" spans="1:17" ht="140.25" x14ac:dyDescent="0.25">
      <c r="A28" s="23"/>
      <c r="B28" s="23"/>
      <c r="C28" s="21" t="s">
        <v>98</v>
      </c>
      <c r="D28" s="22" t="s">
        <v>54</v>
      </c>
      <c r="E28" s="36" t="s">
        <v>99</v>
      </c>
      <c r="F28" s="34" t="s">
        <v>17</v>
      </c>
      <c r="G28" s="26" t="s">
        <v>569</v>
      </c>
      <c r="H28" s="24"/>
      <c r="I28" s="60" t="s">
        <v>517</v>
      </c>
      <c r="J28" s="26"/>
      <c r="K28" s="23"/>
      <c r="L28" s="23"/>
      <c r="M28" s="23"/>
      <c r="N28" s="23"/>
      <c r="O28" s="23"/>
      <c r="P28" s="23"/>
      <c r="Q28" s="23"/>
    </row>
    <row r="29" spans="1:17" ht="38.25" x14ac:dyDescent="0.25">
      <c r="A29" s="23"/>
      <c r="B29" s="23"/>
      <c r="C29" s="21" t="s">
        <v>98</v>
      </c>
      <c r="D29" s="22"/>
      <c r="E29" s="25"/>
      <c r="F29" s="25" t="s">
        <v>19</v>
      </c>
      <c r="G29" s="26" t="s">
        <v>18</v>
      </c>
      <c r="H29" s="24"/>
      <c r="I29" s="24"/>
      <c r="J29" s="26" t="s">
        <v>20</v>
      </c>
      <c r="K29" s="23"/>
      <c r="L29" s="23"/>
      <c r="M29" s="23"/>
      <c r="N29" s="23"/>
      <c r="O29" s="23"/>
      <c r="P29" s="23"/>
      <c r="Q29" s="23"/>
    </row>
    <row r="30" spans="1:17" ht="38.25" x14ac:dyDescent="0.25">
      <c r="A30" s="23"/>
      <c r="B30" s="23"/>
      <c r="C30" s="21" t="s">
        <v>98</v>
      </c>
      <c r="D30" s="27"/>
      <c r="E30" s="27"/>
      <c r="F30" s="25" t="s">
        <v>26</v>
      </c>
      <c r="G30" s="26" t="s">
        <v>21</v>
      </c>
      <c r="H30" s="24"/>
      <c r="I30" s="24"/>
      <c r="J30" s="26" t="s">
        <v>22</v>
      </c>
      <c r="K30" s="23"/>
      <c r="L30" s="23"/>
      <c r="M30" s="23"/>
      <c r="N30" s="23"/>
      <c r="O30" s="23"/>
      <c r="P30" s="23"/>
      <c r="Q30" s="23"/>
    </row>
    <row r="31" spans="1:17" ht="51" x14ac:dyDescent="0.25">
      <c r="A31" s="23"/>
      <c r="B31" s="23"/>
      <c r="C31" s="21" t="s">
        <v>98</v>
      </c>
      <c r="D31" s="27"/>
      <c r="E31" s="27"/>
      <c r="F31" s="25" t="s">
        <v>28</v>
      </c>
      <c r="G31" s="26" t="s">
        <v>23</v>
      </c>
      <c r="H31" s="24"/>
      <c r="I31" s="24"/>
      <c r="J31" s="26" t="s">
        <v>41</v>
      </c>
      <c r="K31" s="23"/>
      <c r="L31" s="23"/>
      <c r="M31" s="23"/>
      <c r="N31" s="23"/>
      <c r="O31" s="23"/>
      <c r="P31" s="23"/>
      <c r="Q31" s="23"/>
    </row>
    <row r="32" spans="1:17" ht="38.25" x14ac:dyDescent="0.25">
      <c r="A32" s="23"/>
      <c r="B32" s="23"/>
      <c r="C32" s="21" t="s">
        <v>98</v>
      </c>
      <c r="D32" s="27"/>
      <c r="E32" s="27"/>
      <c r="F32" s="25" t="s">
        <v>29</v>
      </c>
      <c r="G32" s="27" t="s">
        <v>76</v>
      </c>
      <c r="H32" s="27"/>
      <c r="I32" s="27"/>
      <c r="J32" s="21" t="s">
        <v>44</v>
      </c>
      <c r="K32" s="23"/>
      <c r="L32" s="23"/>
      <c r="M32" s="23"/>
      <c r="N32" s="23"/>
      <c r="O32" s="23"/>
      <c r="P32" s="23"/>
      <c r="Q32" s="23"/>
    </row>
    <row r="33" spans="1:17" ht="38.25" x14ac:dyDescent="0.25">
      <c r="A33" s="23"/>
      <c r="B33" s="23"/>
      <c r="C33" s="21" t="s">
        <v>98</v>
      </c>
      <c r="D33" s="27"/>
      <c r="E33" s="27"/>
      <c r="F33" s="25" t="s">
        <v>30</v>
      </c>
      <c r="G33" s="25" t="s">
        <v>25</v>
      </c>
      <c r="H33" s="25"/>
      <c r="I33" s="25"/>
      <c r="J33" s="25" t="s">
        <v>27</v>
      </c>
      <c r="K33" s="23"/>
      <c r="L33" s="23"/>
      <c r="M33" s="23"/>
      <c r="N33" s="23"/>
      <c r="O33" s="23"/>
      <c r="P33" s="23"/>
      <c r="Q33" s="23"/>
    </row>
    <row r="34" spans="1:17" ht="38.25" x14ac:dyDescent="0.25">
      <c r="A34" s="23"/>
      <c r="B34" s="23"/>
      <c r="C34" s="21" t="s">
        <v>98</v>
      </c>
      <c r="D34" s="27"/>
      <c r="E34" s="27"/>
      <c r="F34" s="25" t="s">
        <v>31</v>
      </c>
      <c r="G34" s="25" t="s">
        <v>45</v>
      </c>
      <c r="H34" s="25"/>
      <c r="I34" s="24"/>
      <c r="J34" s="25" t="s">
        <v>42</v>
      </c>
      <c r="K34" s="23"/>
      <c r="L34" s="23"/>
      <c r="M34" s="23"/>
      <c r="N34" s="23"/>
      <c r="O34" s="23"/>
      <c r="P34" s="23"/>
      <c r="Q34" s="23"/>
    </row>
    <row r="35" spans="1:17" ht="102" x14ac:dyDescent="0.25">
      <c r="A35" s="23"/>
      <c r="B35" s="23"/>
      <c r="C35" s="21" t="s">
        <v>98</v>
      </c>
      <c r="D35" s="27"/>
      <c r="E35" s="27"/>
      <c r="F35" s="25" t="s">
        <v>32</v>
      </c>
      <c r="G35" s="21" t="s">
        <v>568</v>
      </c>
      <c r="H35" s="27"/>
      <c r="I35" s="21" t="s">
        <v>78</v>
      </c>
      <c r="J35" s="21" t="s">
        <v>100</v>
      </c>
      <c r="K35" s="23"/>
      <c r="L35" s="23"/>
      <c r="M35" s="23"/>
      <c r="N35" s="23"/>
      <c r="O35" s="23"/>
      <c r="P35" s="23"/>
      <c r="Q35" s="23"/>
    </row>
    <row r="36" spans="1:17" ht="165.75" x14ac:dyDescent="0.25">
      <c r="A36" s="23"/>
      <c r="B36" s="23"/>
      <c r="C36" s="21" t="s">
        <v>257</v>
      </c>
      <c r="D36" s="22" t="s">
        <v>54</v>
      </c>
      <c r="E36" s="36" t="s">
        <v>105</v>
      </c>
      <c r="F36" s="34" t="s">
        <v>17</v>
      </c>
      <c r="G36" s="26" t="s">
        <v>570</v>
      </c>
      <c r="H36" s="24"/>
      <c r="I36" s="60" t="s">
        <v>517</v>
      </c>
      <c r="J36" s="26"/>
      <c r="K36" s="23"/>
      <c r="L36" s="23"/>
      <c r="M36" s="23"/>
      <c r="N36" s="23"/>
      <c r="O36" s="23"/>
      <c r="P36" s="23"/>
      <c r="Q36" s="23"/>
    </row>
    <row r="37" spans="1:17" ht="51" x14ac:dyDescent="0.25">
      <c r="A37" s="23"/>
      <c r="B37" s="23"/>
      <c r="C37" s="21" t="s">
        <v>257</v>
      </c>
      <c r="D37" s="22"/>
      <c r="E37" s="25"/>
      <c r="F37" s="36" t="s">
        <v>19</v>
      </c>
      <c r="G37" s="26" t="s">
        <v>150</v>
      </c>
      <c r="H37" s="24"/>
      <c r="I37" s="24"/>
      <c r="J37" s="26"/>
      <c r="K37" s="23"/>
      <c r="L37" s="23"/>
      <c r="M37" s="23"/>
      <c r="N37" s="23"/>
      <c r="O37" s="23"/>
      <c r="P37" s="23"/>
      <c r="Q37" s="23"/>
    </row>
    <row r="38" spans="1:17" ht="38.25" x14ac:dyDescent="0.25">
      <c r="A38" s="23"/>
      <c r="B38" s="23"/>
      <c r="C38" s="21" t="s">
        <v>257</v>
      </c>
      <c r="D38" s="22"/>
      <c r="E38" s="25"/>
      <c r="F38" s="36" t="s">
        <v>26</v>
      </c>
      <c r="G38" s="26" t="s">
        <v>18</v>
      </c>
      <c r="H38" s="24"/>
      <c r="I38" s="24"/>
      <c r="J38" s="26" t="s">
        <v>20</v>
      </c>
      <c r="K38" s="23"/>
      <c r="L38" s="23"/>
      <c r="M38" s="23"/>
      <c r="N38" s="23"/>
      <c r="O38" s="23"/>
      <c r="P38" s="23"/>
      <c r="Q38" s="23"/>
    </row>
    <row r="39" spans="1:17" ht="38.25" x14ac:dyDescent="0.25">
      <c r="A39" s="23"/>
      <c r="B39" s="23"/>
      <c r="C39" s="21" t="s">
        <v>257</v>
      </c>
      <c r="D39" s="27"/>
      <c r="E39" s="27"/>
      <c r="F39" s="36" t="s">
        <v>28</v>
      </c>
      <c r="G39" s="26" t="s">
        <v>21</v>
      </c>
      <c r="H39" s="24"/>
      <c r="I39" s="24"/>
      <c r="J39" s="26" t="s">
        <v>22</v>
      </c>
      <c r="K39" s="23"/>
      <c r="L39" s="23"/>
      <c r="M39" s="23"/>
      <c r="N39" s="23"/>
      <c r="O39" s="23"/>
      <c r="P39" s="23"/>
      <c r="Q39" s="23"/>
    </row>
    <row r="40" spans="1:17" ht="51" x14ac:dyDescent="0.25">
      <c r="A40" s="23"/>
      <c r="B40" s="23"/>
      <c r="C40" s="21" t="s">
        <v>257</v>
      </c>
      <c r="D40" s="27"/>
      <c r="E40" s="27"/>
      <c r="F40" s="36" t="s">
        <v>29</v>
      </c>
      <c r="G40" s="26" t="s">
        <v>23</v>
      </c>
      <c r="H40" s="24"/>
      <c r="I40" s="24"/>
      <c r="J40" s="26" t="s">
        <v>41</v>
      </c>
      <c r="K40" s="23"/>
      <c r="L40" s="23"/>
      <c r="M40" s="23"/>
      <c r="N40" s="23"/>
      <c r="O40" s="23"/>
      <c r="P40" s="23"/>
      <c r="Q40" s="23"/>
    </row>
    <row r="41" spans="1:17" ht="38.25" x14ac:dyDescent="0.25">
      <c r="A41" s="23"/>
      <c r="B41" s="23"/>
      <c r="C41" s="21" t="s">
        <v>257</v>
      </c>
      <c r="D41" s="27"/>
      <c r="E41" s="27"/>
      <c r="F41" s="36" t="s">
        <v>30</v>
      </c>
      <c r="G41" s="27" t="s">
        <v>76</v>
      </c>
      <c r="H41" s="27"/>
      <c r="I41" s="27"/>
      <c r="J41" s="21" t="s">
        <v>44</v>
      </c>
      <c r="K41" s="23"/>
      <c r="L41" s="23"/>
      <c r="M41" s="23"/>
      <c r="N41" s="23"/>
      <c r="O41" s="23"/>
      <c r="P41" s="23"/>
      <c r="Q41" s="23"/>
    </row>
    <row r="42" spans="1:17" ht="38.25" x14ac:dyDescent="0.25">
      <c r="A42" s="23"/>
      <c r="B42" s="23"/>
      <c r="C42" s="21" t="s">
        <v>257</v>
      </c>
      <c r="D42" s="27"/>
      <c r="E42" s="27"/>
      <c r="F42" s="36" t="s">
        <v>31</v>
      </c>
      <c r="G42" s="25" t="s">
        <v>25</v>
      </c>
      <c r="H42" s="25"/>
      <c r="I42" s="25"/>
      <c r="J42" s="25" t="s">
        <v>27</v>
      </c>
      <c r="K42" s="23"/>
      <c r="L42" s="23"/>
      <c r="M42" s="23"/>
      <c r="N42" s="23"/>
      <c r="O42" s="23"/>
      <c r="P42" s="23"/>
      <c r="Q42" s="23"/>
    </row>
    <row r="43" spans="1:17" ht="38.25" x14ac:dyDescent="0.25">
      <c r="A43" s="23"/>
      <c r="B43" s="23"/>
      <c r="C43" s="21" t="s">
        <v>257</v>
      </c>
      <c r="D43" s="27"/>
      <c r="E43" s="27"/>
      <c r="F43" s="36" t="s">
        <v>32</v>
      </c>
      <c r="G43" s="25" t="s">
        <v>45</v>
      </c>
      <c r="H43" s="25"/>
      <c r="I43" s="24"/>
      <c r="J43" s="25" t="s">
        <v>42</v>
      </c>
      <c r="K43" s="23"/>
      <c r="L43" s="23"/>
      <c r="M43" s="23"/>
      <c r="N43" s="23"/>
      <c r="O43" s="23"/>
      <c r="P43" s="23"/>
      <c r="Q43" s="23"/>
    </row>
    <row r="44" spans="1:17" ht="102" x14ac:dyDescent="0.25">
      <c r="A44" s="23"/>
      <c r="B44" s="23"/>
      <c r="C44" s="21" t="s">
        <v>257</v>
      </c>
      <c r="D44" s="27"/>
      <c r="E44" s="27"/>
      <c r="F44" s="36" t="s">
        <v>33</v>
      </c>
      <c r="G44" s="21" t="s">
        <v>568</v>
      </c>
      <c r="H44" s="27"/>
      <c r="I44" s="21" t="s">
        <v>78</v>
      </c>
      <c r="J44" s="21" t="s">
        <v>151</v>
      </c>
      <c r="K44" s="23"/>
      <c r="L44" s="23"/>
      <c r="M44" s="23"/>
      <c r="N44" s="23"/>
      <c r="O44" s="23"/>
      <c r="P44" s="23"/>
      <c r="Q44" s="23"/>
    </row>
    <row r="45" spans="1:17" ht="280.5" x14ac:dyDescent="0.25">
      <c r="A45" s="23"/>
      <c r="B45" s="23"/>
      <c r="C45" s="21" t="s">
        <v>106</v>
      </c>
      <c r="D45" s="22" t="s">
        <v>39</v>
      </c>
      <c r="E45" s="22" t="s">
        <v>107</v>
      </c>
      <c r="F45" s="34" t="s">
        <v>17</v>
      </c>
      <c r="G45" s="59" t="s">
        <v>571</v>
      </c>
      <c r="H45" s="23"/>
      <c r="I45" s="60" t="s">
        <v>517</v>
      </c>
      <c r="J45" s="24" t="s">
        <v>80</v>
      </c>
      <c r="K45" s="23"/>
      <c r="L45" s="23"/>
      <c r="M45" s="23"/>
      <c r="N45" s="23"/>
      <c r="O45" s="23"/>
      <c r="P45" s="23"/>
      <c r="Q45" s="23"/>
    </row>
    <row r="46" spans="1:17" ht="51" x14ac:dyDescent="0.25">
      <c r="A46" s="23"/>
      <c r="B46" s="23"/>
      <c r="C46" s="21" t="s">
        <v>106</v>
      </c>
      <c r="D46" s="24"/>
      <c r="E46" s="24"/>
      <c r="F46" s="25" t="s">
        <v>26</v>
      </c>
      <c r="G46" s="26" t="s">
        <v>18</v>
      </c>
      <c r="H46" s="24"/>
      <c r="I46" s="24"/>
      <c r="J46" s="26" t="s">
        <v>20</v>
      </c>
      <c r="K46" s="23"/>
      <c r="L46" s="23"/>
      <c r="M46" s="23"/>
      <c r="N46" s="23"/>
      <c r="O46" s="23"/>
      <c r="P46" s="23"/>
      <c r="Q46" s="23"/>
    </row>
    <row r="47" spans="1:17" ht="51" x14ac:dyDescent="0.25">
      <c r="A47" s="23"/>
      <c r="B47" s="23"/>
      <c r="C47" s="21" t="s">
        <v>106</v>
      </c>
      <c r="D47" s="24"/>
      <c r="E47" s="24"/>
      <c r="F47" s="25" t="s">
        <v>28</v>
      </c>
      <c r="G47" s="26" t="s">
        <v>21</v>
      </c>
      <c r="H47" s="24"/>
      <c r="I47" s="24"/>
      <c r="J47" s="26" t="s">
        <v>22</v>
      </c>
      <c r="K47" s="23"/>
      <c r="L47" s="23"/>
      <c r="M47" s="23"/>
      <c r="N47" s="23"/>
      <c r="O47" s="23"/>
      <c r="P47" s="23"/>
      <c r="Q47" s="23"/>
    </row>
    <row r="48" spans="1:17" ht="51" x14ac:dyDescent="0.25">
      <c r="A48" s="23"/>
      <c r="B48" s="23"/>
      <c r="C48" s="21" t="s">
        <v>106</v>
      </c>
      <c r="D48" s="24"/>
      <c r="E48" s="24"/>
      <c r="F48" s="25" t="s">
        <v>29</v>
      </c>
      <c r="G48" s="26" t="s">
        <v>23</v>
      </c>
      <c r="H48" s="24"/>
      <c r="I48" s="24"/>
      <c r="J48" s="26" t="s">
        <v>41</v>
      </c>
      <c r="K48" s="23"/>
      <c r="L48" s="23"/>
      <c r="M48" s="23"/>
      <c r="N48" s="23"/>
      <c r="O48" s="23"/>
      <c r="P48" s="23"/>
      <c r="Q48" s="23"/>
    </row>
    <row r="49" spans="1:17" ht="51" x14ac:dyDescent="0.25">
      <c r="A49" s="23"/>
      <c r="B49" s="23"/>
      <c r="C49" s="21" t="s">
        <v>106</v>
      </c>
      <c r="D49" s="24"/>
      <c r="E49" s="24"/>
      <c r="F49" s="27" t="s">
        <v>30</v>
      </c>
      <c r="G49" s="27" t="s">
        <v>43</v>
      </c>
      <c r="H49" s="27"/>
      <c r="I49" s="27"/>
      <c r="J49" s="21" t="s">
        <v>44</v>
      </c>
      <c r="K49" s="23"/>
      <c r="L49" s="23"/>
      <c r="M49" s="23"/>
      <c r="N49" s="23"/>
      <c r="O49" s="23"/>
      <c r="P49" s="23"/>
      <c r="Q49" s="23"/>
    </row>
    <row r="50" spans="1:17" ht="51" x14ac:dyDescent="0.25">
      <c r="A50" s="23"/>
      <c r="B50" s="23"/>
      <c r="C50" s="21" t="s">
        <v>106</v>
      </c>
      <c r="D50" s="24"/>
      <c r="E50" s="24"/>
      <c r="F50" s="27" t="s">
        <v>31</v>
      </c>
      <c r="G50" s="25" t="s">
        <v>25</v>
      </c>
      <c r="H50" s="25"/>
      <c r="I50" s="25"/>
      <c r="J50" s="25" t="s">
        <v>27</v>
      </c>
      <c r="K50" s="23"/>
      <c r="L50" s="23"/>
      <c r="M50" s="23"/>
      <c r="N50" s="23"/>
      <c r="O50" s="23"/>
      <c r="P50" s="23"/>
      <c r="Q50" s="23"/>
    </row>
    <row r="51" spans="1:17" ht="140.25" x14ac:dyDescent="0.25">
      <c r="A51" s="23"/>
      <c r="B51" s="23"/>
      <c r="C51" s="21" t="s">
        <v>106</v>
      </c>
      <c r="D51" s="24"/>
      <c r="E51" s="24"/>
      <c r="F51" s="27" t="s">
        <v>32</v>
      </c>
      <c r="G51" s="22" t="s">
        <v>572</v>
      </c>
      <c r="H51" s="23"/>
      <c r="I51" s="22" t="s">
        <v>75</v>
      </c>
      <c r="J51" s="22" t="s">
        <v>108</v>
      </c>
      <c r="K51" s="23"/>
      <c r="L51" s="23"/>
      <c r="M51" s="23"/>
      <c r="N51" s="23"/>
      <c r="O51" s="23"/>
      <c r="P51" s="23"/>
      <c r="Q51" s="23"/>
    </row>
    <row r="52" spans="1:17" ht="153" x14ac:dyDescent="0.25">
      <c r="A52" s="23"/>
      <c r="B52" s="23"/>
      <c r="C52" s="21" t="s">
        <v>110</v>
      </c>
      <c r="D52" s="22" t="s">
        <v>74</v>
      </c>
      <c r="E52" s="22" t="s">
        <v>111</v>
      </c>
      <c r="F52" s="34" t="s">
        <v>17</v>
      </c>
      <c r="G52" s="22" t="s">
        <v>573</v>
      </c>
      <c r="H52" s="23"/>
      <c r="I52" s="60" t="s">
        <v>517</v>
      </c>
      <c r="J52" s="24" t="s">
        <v>80</v>
      </c>
      <c r="K52" s="23"/>
      <c r="L52" s="23"/>
      <c r="M52" s="23"/>
      <c r="N52" s="23"/>
      <c r="O52" s="23"/>
      <c r="P52" s="23"/>
      <c r="Q52" s="23"/>
    </row>
    <row r="53" spans="1:17" ht="51" x14ac:dyDescent="0.25">
      <c r="A53" s="23"/>
      <c r="B53" s="23"/>
      <c r="C53" s="21" t="s">
        <v>110</v>
      </c>
      <c r="D53" s="24"/>
      <c r="E53" s="24"/>
      <c r="F53" s="25" t="s">
        <v>19</v>
      </c>
      <c r="G53" s="26" t="s">
        <v>18</v>
      </c>
      <c r="H53" s="24"/>
      <c r="I53" s="24"/>
      <c r="J53" s="26" t="s">
        <v>20</v>
      </c>
      <c r="K53" s="23"/>
      <c r="L53" s="23"/>
      <c r="M53" s="23"/>
      <c r="N53" s="23"/>
      <c r="O53" s="23"/>
      <c r="P53" s="23"/>
      <c r="Q53" s="23"/>
    </row>
    <row r="54" spans="1:17" ht="51" x14ac:dyDescent="0.25">
      <c r="A54" s="23"/>
      <c r="B54" s="23"/>
      <c r="C54" s="21" t="s">
        <v>110</v>
      </c>
      <c r="D54" s="24"/>
      <c r="E54" s="24"/>
      <c r="F54" s="25" t="s">
        <v>26</v>
      </c>
      <c r="G54" s="26" t="s">
        <v>21</v>
      </c>
      <c r="H54" s="24"/>
      <c r="I54" s="24"/>
      <c r="J54" s="26" t="s">
        <v>22</v>
      </c>
      <c r="K54" s="23"/>
      <c r="L54" s="23"/>
      <c r="M54" s="23"/>
      <c r="N54" s="23"/>
      <c r="O54" s="23"/>
      <c r="P54" s="23"/>
      <c r="Q54" s="23"/>
    </row>
    <row r="55" spans="1:17" ht="51" x14ac:dyDescent="0.25">
      <c r="A55" s="23"/>
      <c r="B55" s="23"/>
      <c r="C55" s="21" t="s">
        <v>110</v>
      </c>
      <c r="D55" s="24"/>
      <c r="E55" s="24"/>
      <c r="F55" s="25" t="s">
        <v>28</v>
      </c>
      <c r="G55" s="26" t="s">
        <v>23</v>
      </c>
      <c r="H55" s="24"/>
      <c r="I55" s="24"/>
      <c r="J55" s="26" t="s">
        <v>41</v>
      </c>
      <c r="K55" s="23"/>
      <c r="L55" s="23"/>
      <c r="M55" s="23"/>
      <c r="N55" s="23"/>
      <c r="O55" s="23"/>
      <c r="P55" s="23"/>
      <c r="Q55" s="23"/>
    </row>
    <row r="56" spans="1:17" ht="51" x14ac:dyDescent="0.25">
      <c r="A56" s="23"/>
      <c r="B56" s="23"/>
      <c r="C56" s="21" t="s">
        <v>110</v>
      </c>
      <c r="D56" s="23"/>
      <c r="E56" s="23"/>
      <c r="F56" s="25" t="s">
        <v>29</v>
      </c>
      <c r="G56" s="21" t="s">
        <v>70</v>
      </c>
      <c r="H56" s="27"/>
      <c r="I56" s="27"/>
      <c r="J56" s="21" t="s">
        <v>44</v>
      </c>
      <c r="K56" s="23"/>
      <c r="L56" s="23"/>
      <c r="M56" s="23"/>
      <c r="N56" s="23"/>
      <c r="O56" s="23"/>
      <c r="P56" s="23"/>
      <c r="Q56" s="23"/>
    </row>
    <row r="57" spans="1:17" ht="51" x14ac:dyDescent="0.25">
      <c r="A57" s="23"/>
      <c r="B57" s="23"/>
      <c r="C57" s="21" t="s">
        <v>110</v>
      </c>
      <c r="D57" s="23"/>
      <c r="E57" s="23"/>
      <c r="F57" s="25" t="s">
        <v>30</v>
      </c>
      <c r="G57" s="25" t="s">
        <v>25</v>
      </c>
      <c r="H57" s="25"/>
      <c r="I57" s="25"/>
      <c r="J57" s="25" t="s">
        <v>27</v>
      </c>
      <c r="K57" s="23"/>
      <c r="L57" s="23"/>
      <c r="M57" s="23"/>
      <c r="N57" s="23"/>
      <c r="O57" s="23"/>
      <c r="P57" s="23"/>
      <c r="Q57" s="23"/>
    </row>
    <row r="58" spans="1:17" ht="51" x14ac:dyDescent="0.25">
      <c r="A58" s="23"/>
      <c r="B58" s="23"/>
      <c r="C58" s="21" t="s">
        <v>110</v>
      </c>
      <c r="D58" s="23"/>
      <c r="E58" s="23"/>
      <c r="F58" s="25" t="s">
        <v>31</v>
      </c>
      <c r="G58" s="25" t="s">
        <v>45</v>
      </c>
      <c r="H58" s="25"/>
      <c r="I58" s="24"/>
      <c r="J58" s="22" t="s">
        <v>82</v>
      </c>
      <c r="K58" s="23"/>
      <c r="L58" s="23"/>
      <c r="M58" s="23"/>
      <c r="N58" s="23"/>
      <c r="O58" s="23"/>
      <c r="P58" s="23"/>
      <c r="Q58" s="23"/>
    </row>
    <row r="59" spans="1:17" ht="51" x14ac:dyDescent="0.25">
      <c r="A59" s="23"/>
      <c r="B59" s="23"/>
      <c r="C59" s="21" t="s">
        <v>110</v>
      </c>
      <c r="D59" s="23"/>
      <c r="E59" s="23"/>
      <c r="F59" s="25" t="s">
        <v>32</v>
      </c>
      <c r="G59" s="21" t="s">
        <v>83</v>
      </c>
      <c r="H59" s="27"/>
      <c r="I59" s="21"/>
      <c r="J59" s="21" t="s">
        <v>84</v>
      </c>
      <c r="K59" s="23"/>
      <c r="L59" s="23"/>
      <c r="M59" s="23"/>
      <c r="N59" s="23"/>
      <c r="O59" s="23"/>
      <c r="P59" s="23"/>
      <c r="Q59" s="23"/>
    </row>
    <row r="60" spans="1:17" ht="102" x14ac:dyDescent="0.25">
      <c r="A60" s="23"/>
      <c r="B60" s="23"/>
      <c r="C60" s="21" t="s">
        <v>110</v>
      </c>
      <c r="D60" s="23"/>
      <c r="E60" s="23"/>
      <c r="F60" s="25" t="s">
        <v>33</v>
      </c>
      <c r="G60" s="22" t="s">
        <v>566</v>
      </c>
      <c r="H60" s="23"/>
      <c r="I60" s="22" t="s">
        <v>86</v>
      </c>
      <c r="J60" s="22" t="s">
        <v>85</v>
      </c>
      <c r="K60" s="23"/>
      <c r="L60" s="23"/>
      <c r="M60" s="23"/>
      <c r="N60" s="23"/>
      <c r="O60" s="23"/>
      <c r="P60" s="23"/>
      <c r="Q60" s="23"/>
    </row>
    <row r="61" spans="1:17" ht="165.75" x14ac:dyDescent="0.25">
      <c r="A61" s="23"/>
      <c r="B61" s="23"/>
      <c r="C61" s="21" t="s">
        <v>115</v>
      </c>
      <c r="D61" s="22" t="s">
        <v>74</v>
      </c>
      <c r="E61" s="22" t="s">
        <v>116</v>
      </c>
      <c r="F61" s="34" t="s">
        <v>17</v>
      </c>
      <c r="G61" s="59" t="s">
        <v>574</v>
      </c>
      <c r="H61" s="23"/>
      <c r="I61" s="60" t="s">
        <v>517</v>
      </c>
      <c r="J61" s="24" t="s">
        <v>80</v>
      </c>
      <c r="K61" s="23"/>
      <c r="L61" s="23"/>
      <c r="M61" s="23"/>
      <c r="N61" s="23"/>
      <c r="O61" s="23"/>
      <c r="P61" s="23"/>
      <c r="Q61" s="23"/>
    </row>
    <row r="62" spans="1:17" ht="51" x14ac:dyDescent="0.25">
      <c r="A62" s="23"/>
      <c r="B62" s="23"/>
      <c r="C62" s="21" t="s">
        <v>115</v>
      </c>
      <c r="D62" s="24"/>
      <c r="E62" s="24"/>
      <c r="F62" s="25" t="s">
        <v>19</v>
      </c>
      <c r="G62" s="26" t="s">
        <v>18</v>
      </c>
      <c r="H62" s="24"/>
      <c r="I62" s="24"/>
      <c r="J62" s="26" t="s">
        <v>20</v>
      </c>
      <c r="K62" s="23"/>
      <c r="L62" s="23"/>
      <c r="M62" s="23"/>
      <c r="N62" s="23"/>
      <c r="O62" s="23"/>
      <c r="P62" s="23"/>
      <c r="Q62" s="23"/>
    </row>
    <row r="63" spans="1:17" ht="51" x14ac:dyDescent="0.25">
      <c r="A63" s="23"/>
      <c r="B63" s="23"/>
      <c r="C63" s="21" t="s">
        <v>115</v>
      </c>
      <c r="D63" s="24"/>
      <c r="E63" s="24"/>
      <c r="F63" s="25" t="s">
        <v>26</v>
      </c>
      <c r="G63" s="26" t="s">
        <v>21</v>
      </c>
      <c r="H63" s="24"/>
      <c r="I63" s="24"/>
      <c r="J63" s="26" t="s">
        <v>22</v>
      </c>
      <c r="K63" s="23"/>
      <c r="L63" s="23"/>
      <c r="M63" s="23"/>
      <c r="N63" s="23"/>
      <c r="O63" s="23"/>
      <c r="P63" s="23"/>
      <c r="Q63" s="23"/>
    </row>
    <row r="64" spans="1:17" ht="51" x14ac:dyDescent="0.25">
      <c r="A64" s="23"/>
      <c r="B64" s="23"/>
      <c r="C64" s="21" t="s">
        <v>115</v>
      </c>
      <c r="D64" s="24"/>
      <c r="E64" s="24"/>
      <c r="F64" s="25" t="s">
        <v>28</v>
      </c>
      <c r="G64" s="26" t="s">
        <v>23</v>
      </c>
      <c r="H64" s="24"/>
      <c r="I64" s="24"/>
      <c r="J64" s="26" t="s">
        <v>41</v>
      </c>
      <c r="K64" s="23"/>
      <c r="L64" s="23"/>
      <c r="M64" s="23"/>
      <c r="N64" s="23"/>
      <c r="O64" s="23"/>
      <c r="P64" s="23"/>
      <c r="Q64" s="23"/>
    </row>
    <row r="65" spans="1:19" ht="51" x14ac:dyDescent="0.25">
      <c r="A65" s="23"/>
      <c r="B65" s="23"/>
      <c r="C65" s="21" t="s">
        <v>115</v>
      </c>
      <c r="D65" s="23"/>
      <c r="E65" s="23"/>
      <c r="F65" s="25" t="s">
        <v>29</v>
      </c>
      <c r="G65" s="21" t="s">
        <v>70</v>
      </c>
      <c r="H65" s="27"/>
      <c r="I65" s="27"/>
      <c r="J65" s="21" t="s">
        <v>44</v>
      </c>
      <c r="K65" s="23"/>
      <c r="L65" s="23"/>
      <c r="M65" s="23"/>
      <c r="N65" s="23"/>
      <c r="O65" s="23"/>
      <c r="P65" s="23"/>
      <c r="Q65" s="23"/>
    </row>
    <row r="66" spans="1:19" ht="51" x14ac:dyDescent="0.25">
      <c r="A66" s="23"/>
      <c r="B66" s="23"/>
      <c r="C66" s="21" t="s">
        <v>115</v>
      </c>
      <c r="D66" s="23"/>
      <c r="E66" s="23"/>
      <c r="F66" s="25" t="s">
        <v>30</v>
      </c>
      <c r="G66" s="25" t="s">
        <v>25</v>
      </c>
      <c r="H66" s="25"/>
      <c r="I66" s="25"/>
      <c r="J66" s="25" t="s">
        <v>27</v>
      </c>
      <c r="K66" s="23"/>
      <c r="L66" s="23"/>
      <c r="M66" s="23"/>
      <c r="N66" s="23"/>
      <c r="O66" s="23"/>
      <c r="P66" s="23"/>
      <c r="Q66" s="23"/>
    </row>
    <row r="67" spans="1:19" ht="51" x14ac:dyDescent="0.25">
      <c r="A67" s="23"/>
      <c r="B67" s="23"/>
      <c r="C67" s="21" t="s">
        <v>115</v>
      </c>
      <c r="D67" s="23"/>
      <c r="E67" s="23"/>
      <c r="F67" s="25" t="s">
        <v>31</v>
      </c>
      <c r="G67" s="25" t="s">
        <v>45</v>
      </c>
      <c r="H67" s="25"/>
      <c r="I67" s="24"/>
      <c r="J67" s="22" t="s">
        <v>82</v>
      </c>
      <c r="K67" s="23"/>
      <c r="L67" s="23"/>
      <c r="M67" s="23"/>
      <c r="N67" s="23"/>
      <c r="O67" s="23"/>
      <c r="P67" s="23"/>
      <c r="Q67" s="23"/>
    </row>
    <row r="68" spans="1:19" ht="51" x14ac:dyDescent="0.25">
      <c r="A68" s="35"/>
      <c r="B68" s="35"/>
      <c r="C68" s="21" t="s">
        <v>115</v>
      </c>
      <c r="D68" s="23"/>
      <c r="E68" s="23"/>
      <c r="F68" s="25" t="s">
        <v>32</v>
      </c>
      <c r="G68" s="21" t="s">
        <v>83</v>
      </c>
      <c r="H68" s="27"/>
      <c r="I68" s="21"/>
      <c r="J68" s="21" t="s">
        <v>84</v>
      </c>
      <c r="K68" s="35"/>
      <c r="L68" s="35"/>
      <c r="M68" s="35"/>
      <c r="N68" s="35"/>
      <c r="O68" s="35"/>
      <c r="P68" s="35"/>
      <c r="Q68" s="35"/>
    </row>
    <row r="69" spans="1:19" ht="102" x14ac:dyDescent="0.25">
      <c r="A69" s="23"/>
      <c r="B69" s="23"/>
      <c r="C69" s="21" t="s">
        <v>115</v>
      </c>
      <c r="D69" s="23"/>
      <c r="E69" s="23"/>
      <c r="F69" s="25" t="s">
        <v>33</v>
      </c>
      <c r="G69" s="22" t="s">
        <v>566</v>
      </c>
      <c r="H69" s="23"/>
      <c r="I69" s="22" t="s">
        <v>86</v>
      </c>
      <c r="J69" s="22" t="s">
        <v>85</v>
      </c>
      <c r="K69" s="23"/>
      <c r="L69" s="23"/>
      <c r="M69" s="23"/>
      <c r="N69" s="23"/>
      <c r="O69" s="23"/>
      <c r="P69" s="23"/>
      <c r="Q69" s="23"/>
      <c r="R69" s="5"/>
      <c r="S69" s="5"/>
    </row>
    <row r="70" spans="1:19" ht="216.75" x14ac:dyDescent="0.25">
      <c r="A70" s="23"/>
      <c r="B70" s="23"/>
      <c r="C70" s="21" t="s">
        <v>117</v>
      </c>
      <c r="D70" s="22" t="s">
        <v>55</v>
      </c>
      <c r="E70" s="22" t="s">
        <v>118</v>
      </c>
      <c r="F70" s="34" t="s">
        <v>17</v>
      </c>
      <c r="G70" s="59" t="s">
        <v>575</v>
      </c>
      <c r="H70" s="23"/>
      <c r="I70" s="60" t="s">
        <v>517</v>
      </c>
      <c r="J70" s="24" t="s">
        <v>80</v>
      </c>
      <c r="K70" s="23"/>
      <c r="L70" s="23"/>
      <c r="M70" s="23"/>
      <c r="N70" s="23"/>
      <c r="O70" s="23"/>
      <c r="P70" s="23"/>
      <c r="Q70" s="23"/>
      <c r="R70" s="5"/>
      <c r="S70" s="5"/>
    </row>
    <row r="71" spans="1:19" ht="38.25" x14ac:dyDescent="0.25">
      <c r="A71" s="23"/>
      <c r="B71" s="23"/>
      <c r="C71" s="21" t="s">
        <v>117</v>
      </c>
      <c r="D71" s="24"/>
      <c r="E71" s="24"/>
      <c r="F71" s="25" t="s">
        <v>26</v>
      </c>
      <c r="G71" s="26" t="s">
        <v>18</v>
      </c>
      <c r="H71" s="24"/>
      <c r="I71" s="24"/>
      <c r="J71" s="26" t="s">
        <v>20</v>
      </c>
      <c r="K71" s="23"/>
      <c r="L71" s="23"/>
      <c r="M71" s="23"/>
      <c r="N71" s="23"/>
      <c r="O71" s="23"/>
      <c r="P71" s="23"/>
      <c r="Q71" s="23"/>
      <c r="R71" s="5"/>
      <c r="S71" s="5"/>
    </row>
    <row r="72" spans="1:19" ht="38.25" x14ac:dyDescent="0.25">
      <c r="A72" s="23"/>
      <c r="B72" s="23"/>
      <c r="C72" s="21" t="s">
        <v>117</v>
      </c>
      <c r="D72" s="24"/>
      <c r="E72" s="24"/>
      <c r="F72" s="25" t="s">
        <v>28</v>
      </c>
      <c r="G72" s="26" t="s">
        <v>21</v>
      </c>
      <c r="H72" s="24"/>
      <c r="I72" s="24"/>
      <c r="J72" s="26" t="s">
        <v>22</v>
      </c>
      <c r="K72" s="23"/>
      <c r="L72" s="23"/>
      <c r="M72" s="23"/>
      <c r="N72" s="23"/>
      <c r="O72" s="23"/>
      <c r="P72" s="23"/>
      <c r="Q72" s="23"/>
      <c r="R72" s="5"/>
      <c r="S72" s="5"/>
    </row>
    <row r="73" spans="1:19" ht="51" x14ac:dyDescent="0.25">
      <c r="A73" s="23"/>
      <c r="B73" s="23"/>
      <c r="C73" s="21" t="s">
        <v>117</v>
      </c>
      <c r="D73" s="24"/>
      <c r="E73" s="24"/>
      <c r="F73" s="25" t="s">
        <v>29</v>
      </c>
      <c r="G73" s="26" t="s">
        <v>23</v>
      </c>
      <c r="H73" s="24"/>
      <c r="I73" s="24"/>
      <c r="J73" s="26" t="s">
        <v>41</v>
      </c>
      <c r="K73" s="23"/>
      <c r="L73" s="23"/>
      <c r="M73" s="23"/>
      <c r="N73" s="23"/>
      <c r="O73" s="23"/>
      <c r="P73" s="23"/>
      <c r="Q73" s="23"/>
      <c r="R73" s="5"/>
      <c r="S73" s="5"/>
    </row>
    <row r="74" spans="1:19" ht="38.25" x14ac:dyDescent="0.25">
      <c r="A74" s="23"/>
      <c r="B74" s="23"/>
      <c r="C74" s="21" t="s">
        <v>117</v>
      </c>
      <c r="D74" s="24"/>
      <c r="E74" s="24"/>
      <c r="F74" s="27" t="s">
        <v>30</v>
      </c>
      <c r="G74" s="27" t="s">
        <v>43</v>
      </c>
      <c r="H74" s="27"/>
      <c r="I74" s="27"/>
      <c r="J74" s="21" t="s">
        <v>44</v>
      </c>
      <c r="K74" s="23"/>
      <c r="L74" s="23"/>
      <c r="M74" s="23"/>
      <c r="N74" s="23"/>
      <c r="O74" s="23"/>
      <c r="P74" s="23"/>
      <c r="Q74" s="23"/>
      <c r="R74" s="5"/>
      <c r="S74" s="5"/>
    </row>
    <row r="75" spans="1:19" ht="38.25" x14ac:dyDescent="0.25">
      <c r="A75" s="23"/>
      <c r="B75" s="23"/>
      <c r="C75" s="21" t="s">
        <v>117</v>
      </c>
      <c r="D75" s="24"/>
      <c r="E75" s="24"/>
      <c r="F75" s="27" t="s">
        <v>31</v>
      </c>
      <c r="G75" s="25" t="s">
        <v>25</v>
      </c>
      <c r="H75" s="25"/>
      <c r="I75" s="25"/>
      <c r="J75" s="25" t="s">
        <v>27</v>
      </c>
      <c r="K75" s="23"/>
      <c r="L75" s="23"/>
      <c r="M75" s="23"/>
      <c r="N75" s="23"/>
      <c r="O75" s="23"/>
      <c r="P75" s="23"/>
      <c r="Q75" s="23"/>
      <c r="R75" s="5"/>
      <c r="S75" s="5"/>
    </row>
    <row r="76" spans="1:19" ht="140.25" x14ac:dyDescent="0.25">
      <c r="A76" s="23"/>
      <c r="B76" s="23"/>
      <c r="C76" s="21" t="s">
        <v>117</v>
      </c>
      <c r="D76" s="24"/>
      <c r="E76" s="24"/>
      <c r="F76" s="27" t="s">
        <v>32</v>
      </c>
      <c r="G76" s="22" t="s">
        <v>572</v>
      </c>
      <c r="H76" s="23"/>
      <c r="I76" s="22" t="s">
        <v>75</v>
      </c>
      <c r="J76" s="22" t="s">
        <v>108</v>
      </c>
      <c r="K76" s="23"/>
      <c r="L76" s="23"/>
      <c r="M76" s="23"/>
      <c r="N76" s="23"/>
      <c r="O76" s="23"/>
      <c r="P76" s="23"/>
      <c r="Q76" s="23"/>
      <c r="R76" s="5"/>
      <c r="S76" s="5"/>
    </row>
    <row r="77" spans="1:19" ht="38.25" x14ac:dyDescent="0.25">
      <c r="A77" s="23"/>
      <c r="B77" s="23"/>
      <c r="C77" s="21" t="s">
        <v>117</v>
      </c>
      <c r="D77" s="23"/>
      <c r="E77" s="23"/>
      <c r="F77" s="27" t="s">
        <v>33</v>
      </c>
      <c r="G77" s="21" t="s">
        <v>50</v>
      </c>
      <c r="H77" s="27"/>
      <c r="I77" s="21"/>
      <c r="J77" s="21" t="s">
        <v>51</v>
      </c>
      <c r="K77" s="23"/>
      <c r="L77" s="23"/>
      <c r="M77" s="23"/>
      <c r="N77" s="23"/>
      <c r="O77" s="23"/>
      <c r="P77" s="23"/>
      <c r="Q77" s="23"/>
      <c r="R77" s="5"/>
      <c r="S77" s="5"/>
    </row>
    <row r="78" spans="1:19" ht="102" x14ac:dyDescent="0.25">
      <c r="A78" s="23"/>
      <c r="B78" s="23"/>
      <c r="C78" s="21" t="s">
        <v>117</v>
      </c>
      <c r="D78" s="23"/>
      <c r="E78" s="23"/>
      <c r="F78" s="27" t="s">
        <v>49</v>
      </c>
      <c r="G78" s="22" t="s">
        <v>566</v>
      </c>
      <c r="H78" s="23"/>
      <c r="I78" s="22" t="s">
        <v>119</v>
      </c>
      <c r="J78" s="22" t="s">
        <v>120</v>
      </c>
      <c r="K78" s="23"/>
      <c r="L78" s="23"/>
      <c r="M78" s="23"/>
      <c r="N78" s="23"/>
      <c r="O78" s="23"/>
      <c r="P78" s="23"/>
      <c r="Q78" s="23"/>
      <c r="R78" s="5"/>
      <c r="S78" s="5"/>
    </row>
    <row r="79" spans="1:19" ht="114.75" x14ac:dyDescent="0.25">
      <c r="A79" s="5"/>
      <c r="B79" s="5"/>
      <c r="C79" s="58" t="s">
        <v>238</v>
      </c>
      <c r="D79" s="22" t="s">
        <v>61</v>
      </c>
      <c r="E79" s="59" t="s">
        <v>518</v>
      </c>
      <c r="F79" s="34" t="s">
        <v>17</v>
      </c>
      <c r="G79" s="22" t="s">
        <v>153</v>
      </c>
      <c r="H79" s="23"/>
      <c r="I79" s="60" t="s">
        <v>517</v>
      </c>
      <c r="J79" s="24" t="s">
        <v>80</v>
      </c>
      <c r="K79" s="5"/>
      <c r="L79" s="5"/>
      <c r="M79" s="5"/>
      <c r="N79" s="5"/>
      <c r="O79" s="5"/>
      <c r="P79" s="5"/>
      <c r="Q79" s="5"/>
      <c r="R79" s="5"/>
      <c r="S79" s="5"/>
    </row>
    <row r="80" spans="1:19" ht="153" x14ac:dyDescent="0.25">
      <c r="A80" s="5"/>
      <c r="B80" s="5"/>
      <c r="C80" s="21" t="s">
        <v>238</v>
      </c>
      <c r="D80" s="22"/>
      <c r="E80" s="22"/>
      <c r="F80" s="25" t="s">
        <v>19</v>
      </c>
      <c r="G80" s="22" t="s">
        <v>152</v>
      </c>
      <c r="H80" s="23"/>
      <c r="I80" s="62"/>
      <c r="J80" s="24"/>
      <c r="K80" s="5"/>
      <c r="L80" s="5"/>
      <c r="M80" s="5"/>
      <c r="N80" s="5"/>
      <c r="O80" s="5"/>
      <c r="P80" s="5"/>
      <c r="Q80" s="5"/>
      <c r="R80" s="5"/>
      <c r="S80" s="5"/>
    </row>
    <row r="81" spans="1:19" ht="51" x14ac:dyDescent="0.25">
      <c r="A81" s="5"/>
      <c r="B81" s="5"/>
      <c r="C81" s="21" t="s">
        <v>238</v>
      </c>
      <c r="D81" s="24"/>
      <c r="E81" s="24"/>
      <c r="F81" s="25" t="s">
        <v>26</v>
      </c>
      <c r="G81" s="26" t="s">
        <v>18</v>
      </c>
      <c r="H81" s="24"/>
      <c r="I81" s="24"/>
      <c r="J81" s="26" t="s">
        <v>20</v>
      </c>
      <c r="K81" s="5"/>
      <c r="L81" s="5"/>
      <c r="M81" s="5"/>
      <c r="N81" s="5"/>
      <c r="O81" s="5"/>
      <c r="P81" s="5"/>
      <c r="Q81" s="5"/>
      <c r="R81" s="5"/>
      <c r="S81" s="5"/>
    </row>
    <row r="82" spans="1:19" ht="51" x14ac:dyDescent="0.25">
      <c r="A82" s="5"/>
      <c r="B82" s="5"/>
      <c r="C82" s="21" t="s">
        <v>238</v>
      </c>
      <c r="D82" s="24"/>
      <c r="E82" s="24"/>
      <c r="F82" s="25" t="s">
        <v>28</v>
      </c>
      <c r="G82" s="26" t="s">
        <v>21</v>
      </c>
      <c r="H82" s="24"/>
      <c r="I82" s="24"/>
      <c r="J82" s="26" t="s">
        <v>22</v>
      </c>
      <c r="K82" s="5"/>
      <c r="L82" s="5"/>
      <c r="M82" s="5"/>
      <c r="N82" s="5"/>
      <c r="O82" s="5"/>
      <c r="P82" s="5"/>
      <c r="Q82" s="5"/>
      <c r="R82" s="5"/>
      <c r="S82" s="5"/>
    </row>
    <row r="83" spans="1:19" ht="51" x14ac:dyDescent="0.25">
      <c r="A83" s="5"/>
      <c r="B83" s="5"/>
      <c r="C83" s="21" t="s">
        <v>238</v>
      </c>
      <c r="D83" s="24"/>
      <c r="E83" s="24"/>
      <c r="F83" s="25" t="s">
        <v>29</v>
      </c>
      <c r="G83" s="26" t="s">
        <v>23</v>
      </c>
      <c r="H83" s="24"/>
      <c r="I83" s="24"/>
      <c r="J83" s="26" t="s">
        <v>41</v>
      </c>
      <c r="K83" s="5"/>
      <c r="L83" s="5"/>
      <c r="M83" s="5"/>
      <c r="N83" s="5"/>
      <c r="O83" s="5"/>
      <c r="P83" s="5"/>
      <c r="Q83" s="5"/>
      <c r="R83" s="5"/>
      <c r="S83" s="5"/>
    </row>
    <row r="84" spans="1:19" ht="51" x14ac:dyDescent="0.25">
      <c r="A84" s="5"/>
      <c r="B84" s="5"/>
      <c r="C84" s="21" t="s">
        <v>238</v>
      </c>
      <c r="D84" s="24"/>
      <c r="E84" s="24"/>
      <c r="F84" s="25" t="s">
        <v>30</v>
      </c>
      <c r="G84" s="27" t="s">
        <v>43</v>
      </c>
      <c r="H84" s="27"/>
      <c r="I84" s="27"/>
      <c r="J84" s="21" t="s">
        <v>44</v>
      </c>
      <c r="K84" s="5"/>
      <c r="L84" s="5"/>
      <c r="M84" s="5"/>
      <c r="N84" s="5"/>
      <c r="O84" s="5"/>
      <c r="P84" s="5"/>
      <c r="Q84" s="5"/>
      <c r="R84" s="5"/>
      <c r="S84" s="5"/>
    </row>
    <row r="85" spans="1:19" ht="51" x14ac:dyDescent="0.25">
      <c r="A85" s="5"/>
      <c r="B85" s="5"/>
      <c r="C85" s="21" t="s">
        <v>238</v>
      </c>
      <c r="D85" s="24"/>
      <c r="E85" s="24"/>
      <c r="F85" s="25" t="s">
        <v>31</v>
      </c>
      <c r="G85" s="25" t="s">
        <v>25</v>
      </c>
      <c r="H85" s="25"/>
      <c r="I85" s="25"/>
      <c r="J85" s="25" t="s">
        <v>27</v>
      </c>
      <c r="K85" s="5"/>
      <c r="L85" s="5"/>
      <c r="M85" s="5"/>
      <c r="N85" s="5"/>
      <c r="O85" s="5"/>
      <c r="P85" s="5"/>
      <c r="Q85" s="5"/>
      <c r="R85" s="5"/>
      <c r="S85" s="5"/>
    </row>
    <row r="86" spans="1:19" ht="140.25" x14ac:dyDescent="0.25">
      <c r="A86" s="5"/>
      <c r="B86" s="5"/>
      <c r="C86" s="21" t="s">
        <v>238</v>
      </c>
      <c r="D86" s="24"/>
      <c r="E86" s="24"/>
      <c r="F86" s="25" t="s">
        <v>32</v>
      </c>
      <c r="G86" s="22" t="s">
        <v>572</v>
      </c>
      <c r="H86" s="23"/>
      <c r="I86" s="22" t="s">
        <v>75</v>
      </c>
      <c r="J86" s="22" t="s">
        <v>108</v>
      </c>
      <c r="K86" s="5"/>
      <c r="L86" s="5"/>
      <c r="M86" s="5"/>
      <c r="N86" s="5"/>
      <c r="O86" s="5"/>
      <c r="P86" s="5"/>
      <c r="Q86" s="5"/>
      <c r="R86" s="5"/>
      <c r="S86" s="5"/>
    </row>
    <row r="87" spans="1:19" ht="51" x14ac:dyDescent="0.25">
      <c r="A87" s="5"/>
      <c r="B87" s="5"/>
      <c r="C87" s="21" t="s">
        <v>238</v>
      </c>
      <c r="D87" s="23"/>
      <c r="E87" s="23"/>
      <c r="F87" s="25" t="s">
        <v>33</v>
      </c>
      <c r="G87" s="21" t="s">
        <v>52</v>
      </c>
      <c r="H87" s="27"/>
      <c r="I87" s="21"/>
      <c r="J87" s="21" t="s">
        <v>145</v>
      </c>
      <c r="K87" s="5"/>
      <c r="L87" s="5"/>
      <c r="M87" s="5"/>
      <c r="N87" s="5"/>
      <c r="O87" s="5"/>
      <c r="P87" s="5"/>
      <c r="Q87" s="5"/>
      <c r="R87" s="5"/>
      <c r="S87" s="5"/>
    </row>
    <row r="88" spans="1:19" ht="127.5" x14ac:dyDescent="0.25">
      <c r="A88" s="5"/>
      <c r="B88" s="5"/>
      <c r="C88" s="21" t="s">
        <v>238</v>
      </c>
      <c r="D88" s="23"/>
      <c r="E88" s="23"/>
      <c r="F88" s="25" t="s">
        <v>49</v>
      </c>
      <c r="G88" s="22" t="s">
        <v>576</v>
      </c>
      <c r="H88" s="23"/>
      <c r="I88" s="22" t="s">
        <v>147</v>
      </c>
      <c r="J88" s="22" t="s">
        <v>146</v>
      </c>
      <c r="K88" s="5"/>
      <c r="L88" s="5"/>
      <c r="M88" s="5"/>
      <c r="N88" s="5"/>
      <c r="O88" s="5"/>
      <c r="P88" s="5"/>
      <c r="Q88" s="5"/>
      <c r="R88" s="5"/>
      <c r="S88" s="5"/>
    </row>
    <row r="89" spans="1:19" ht="114.75" x14ac:dyDescent="0.25">
      <c r="A89" s="5"/>
      <c r="B89" s="5"/>
      <c r="C89" s="21" t="s">
        <v>239</v>
      </c>
      <c r="D89" s="22" t="s">
        <v>61</v>
      </c>
      <c r="E89" s="22" t="s">
        <v>221</v>
      </c>
      <c r="F89" s="34" t="s">
        <v>17</v>
      </c>
      <c r="G89" s="59" t="s">
        <v>577</v>
      </c>
      <c r="H89" s="23"/>
      <c r="I89" s="60" t="s">
        <v>517</v>
      </c>
      <c r="J89" s="24" t="s">
        <v>80</v>
      </c>
      <c r="K89" s="5"/>
      <c r="L89" s="5"/>
      <c r="M89" s="5"/>
      <c r="N89" s="5"/>
      <c r="O89" s="5"/>
      <c r="P89" s="5"/>
      <c r="Q89" s="5"/>
      <c r="R89" s="5"/>
      <c r="S89" s="5"/>
    </row>
    <row r="90" spans="1:19" ht="51" x14ac:dyDescent="0.25">
      <c r="A90" s="5"/>
      <c r="B90" s="5"/>
      <c r="C90" s="21" t="s">
        <v>239</v>
      </c>
      <c r="D90" s="24"/>
      <c r="E90" s="24"/>
      <c r="F90" s="25" t="s">
        <v>26</v>
      </c>
      <c r="G90" s="26" t="s">
        <v>18</v>
      </c>
      <c r="H90" s="24"/>
      <c r="I90" s="24"/>
      <c r="J90" s="26" t="s">
        <v>20</v>
      </c>
      <c r="K90" s="5"/>
      <c r="L90" s="5"/>
      <c r="M90" s="5"/>
      <c r="N90" s="5"/>
      <c r="O90" s="5"/>
      <c r="P90" s="5"/>
      <c r="Q90" s="5"/>
      <c r="R90" s="5"/>
      <c r="S90" s="5"/>
    </row>
    <row r="91" spans="1:19" ht="51" x14ac:dyDescent="0.25">
      <c r="A91" s="5"/>
      <c r="B91" s="5"/>
      <c r="C91" s="21" t="s">
        <v>239</v>
      </c>
      <c r="D91" s="24"/>
      <c r="E91" s="24"/>
      <c r="F91" s="25" t="s">
        <v>28</v>
      </c>
      <c r="G91" s="26" t="s">
        <v>21</v>
      </c>
      <c r="H91" s="24"/>
      <c r="I91" s="24"/>
      <c r="J91" s="26" t="s">
        <v>22</v>
      </c>
      <c r="K91" s="5"/>
      <c r="L91" s="5"/>
      <c r="M91" s="5"/>
      <c r="N91" s="5"/>
      <c r="O91" s="5"/>
      <c r="P91" s="5"/>
      <c r="Q91" s="5"/>
      <c r="R91" s="5"/>
      <c r="S91" s="5"/>
    </row>
    <row r="92" spans="1:19" ht="51" x14ac:dyDescent="0.25">
      <c r="A92" s="5"/>
      <c r="B92" s="5"/>
      <c r="C92" s="21" t="s">
        <v>239</v>
      </c>
      <c r="D92" s="24"/>
      <c r="E92" s="24"/>
      <c r="F92" s="25" t="s">
        <v>29</v>
      </c>
      <c r="G92" s="26" t="s">
        <v>23</v>
      </c>
      <c r="H92" s="24"/>
      <c r="I92" s="24"/>
      <c r="J92" s="26" t="s">
        <v>41</v>
      </c>
      <c r="K92" s="5"/>
      <c r="L92" s="5"/>
      <c r="M92" s="5"/>
      <c r="N92" s="5"/>
      <c r="O92" s="5"/>
      <c r="P92" s="5"/>
      <c r="Q92" s="5"/>
      <c r="R92" s="5"/>
      <c r="S92" s="5"/>
    </row>
    <row r="93" spans="1:19" ht="51" x14ac:dyDescent="0.25">
      <c r="A93" s="5"/>
      <c r="B93" s="5"/>
      <c r="C93" s="21" t="s">
        <v>239</v>
      </c>
      <c r="D93" s="24"/>
      <c r="E93" s="24"/>
      <c r="F93" s="25" t="s">
        <v>30</v>
      </c>
      <c r="G93" s="27" t="s">
        <v>43</v>
      </c>
      <c r="H93" s="27"/>
      <c r="I93" s="27"/>
      <c r="J93" s="21" t="s">
        <v>44</v>
      </c>
      <c r="K93" s="5"/>
      <c r="L93" s="5"/>
      <c r="M93" s="5"/>
      <c r="N93" s="5"/>
      <c r="O93" s="5"/>
      <c r="P93" s="5"/>
      <c r="Q93" s="5"/>
      <c r="R93" s="5"/>
      <c r="S93" s="5"/>
    </row>
    <row r="94" spans="1:19" ht="51" x14ac:dyDescent="0.25">
      <c r="A94" s="5"/>
      <c r="B94" s="5"/>
      <c r="C94" s="21" t="s">
        <v>239</v>
      </c>
      <c r="D94" s="24"/>
      <c r="E94" s="24"/>
      <c r="F94" s="25" t="s">
        <v>31</v>
      </c>
      <c r="G94" s="25" t="s">
        <v>25</v>
      </c>
      <c r="H94" s="25"/>
      <c r="I94" s="25"/>
      <c r="J94" s="25" t="s">
        <v>27</v>
      </c>
      <c r="K94" s="5"/>
      <c r="L94" s="5"/>
      <c r="M94" s="5"/>
      <c r="N94" s="5"/>
      <c r="O94" s="5"/>
      <c r="P94" s="5"/>
      <c r="Q94" s="5"/>
      <c r="R94" s="5"/>
      <c r="S94" s="5"/>
    </row>
    <row r="95" spans="1:19" ht="51" x14ac:dyDescent="0.25">
      <c r="A95" s="5"/>
      <c r="B95" s="5"/>
      <c r="C95" s="21" t="s">
        <v>239</v>
      </c>
      <c r="D95" s="23"/>
      <c r="E95" s="23"/>
      <c r="F95" s="25" t="s">
        <v>32</v>
      </c>
      <c r="G95" s="21" t="s">
        <v>52</v>
      </c>
      <c r="H95" s="27"/>
      <c r="I95" s="21"/>
      <c r="J95" s="21" t="s">
        <v>145</v>
      </c>
      <c r="K95" s="5"/>
      <c r="L95" s="5"/>
      <c r="M95" s="5"/>
      <c r="N95" s="5"/>
      <c r="O95" s="5"/>
      <c r="P95" s="5"/>
      <c r="Q95" s="5"/>
      <c r="R95" s="5"/>
      <c r="S95" s="5"/>
    </row>
    <row r="96" spans="1:19" ht="89.25" x14ac:dyDescent="0.25">
      <c r="A96" s="5"/>
      <c r="B96" s="5"/>
      <c r="C96" s="21" t="s">
        <v>239</v>
      </c>
      <c r="D96" s="23"/>
      <c r="E96" s="23"/>
      <c r="F96" s="25" t="s">
        <v>33</v>
      </c>
      <c r="G96" s="22" t="s">
        <v>578</v>
      </c>
      <c r="H96" s="23"/>
      <c r="I96" s="22" t="s">
        <v>147</v>
      </c>
      <c r="J96" s="22" t="s">
        <v>230</v>
      </c>
      <c r="K96" s="5"/>
      <c r="L96" s="5"/>
      <c r="M96" s="5"/>
      <c r="N96" s="5"/>
      <c r="O96" s="5"/>
      <c r="P96" s="5"/>
      <c r="Q96" s="5"/>
      <c r="R96" s="5"/>
      <c r="S96" s="5"/>
    </row>
    <row r="97" spans="1:19" ht="140.25" x14ac:dyDescent="0.25">
      <c r="A97" s="5"/>
      <c r="B97" s="5"/>
      <c r="C97" s="21" t="s">
        <v>240</v>
      </c>
      <c r="D97" s="22" t="s">
        <v>61</v>
      </c>
      <c r="E97" s="22" t="s">
        <v>223</v>
      </c>
      <c r="F97" s="34" t="s">
        <v>17</v>
      </c>
      <c r="G97" s="22" t="s">
        <v>579</v>
      </c>
      <c r="H97" s="23"/>
      <c r="I97" s="60" t="s">
        <v>517</v>
      </c>
      <c r="J97" s="24" t="s">
        <v>80</v>
      </c>
      <c r="K97" s="5"/>
      <c r="L97" s="5"/>
      <c r="M97" s="5"/>
      <c r="N97" s="5"/>
      <c r="O97" s="5"/>
      <c r="P97" s="5"/>
      <c r="Q97" s="5"/>
      <c r="R97" s="5"/>
      <c r="S97" s="5"/>
    </row>
    <row r="98" spans="1:19" ht="51" x14ac:dyDescent="0.25">
      <c r="A98" s="5"/>
      <c r="B98" s="5"/>
      <c r="C98" s="21" t="s">
        <v>240</v>
      </c>
      <c r="D98" s="24"/>
      <c r="E98" s="24"/>
      <c r="F98" s="25" t="s">
        <v>26</v>
      </c>
      <c r="G98" s="26" t="s">
        <v>18</v>
      </c>
      <c r="H98" s="24"/>
      <c r="I98" s="24"/>
      <c r="J98" s="26" t="s">
        <v>20</v>
      </c>
      <c r="K98" s="5"/>
      <c r="L98" s="5"/>
      <c r="M98" s="5"/>
      <c r="N98" s="5"/>
      <c r="O98" s="5"/>
      <c r="P98" s="5"/>
      <c r="Q98" s="5"/>
      <c r="R98" s="5"/>
      <c r="S98" s="5"/>
    </row>
    <row r="99" spans="1:19" ht="51" x14ac:dyDescent="0.25">
      <c r="A99" s="5"/>
      <c r="B99" s="5"/>
      <c r="C99" s="21" t="s">
        <v>240</v>
      </c>
      <c r="D99" s="24"/>
      <c r="E99" s="24"/>
      <c r="F99" s="25" t="s">
        <v>28</v>
      </c>
      <c r="G99" s="26" t="s">
        <v>21</v>
      </c>
      <c r="H99" s="24"/>
      <c r="I99" s="24"/>
      <c r="J99" s="26" t="s">
        <v>22</v>
      </c>
      <c r="K99" s="5"/>
      <c r="L99" s="5"/>
      <c r="M99" s="5"/>
      <c r="N99" s="5"/>
      <c r="O99" s="5"/>
      <c r="P99" s="5"/>
      <c r="Q99" s="5"/>
      <c r="R99" s="5"/>
      <c r="S99" s="5"/>
    </row>
    <row r="100" spans="1:19" ht="51" x14ac:dyDescent="0.25">
      <c r="A100" s="5"/>
      <c r="B100" s="5"/>
      <c r="C100" s="21" t="s">
        <v>240</v>
      </c>
      <c r="D100" s="24"/>
      <c r="E100" s="24"/>
      <c r="F100" s="25" t="s">
        <v>29</v>
      </c>
      <c r="G100" s="26" t="s">
        <v>23</v>
      </c>
      <c r="H100" s="24"/>
      <c r="I100" s="24"/>
      <c r="J100" s="26" t="s">
        <v>41</v>
      </c>
      <c r="K100" s="5"/>
      <c r="L100" s="5"/>
      <c r="M100" s="5"/>
      <c r="N100" s="5"/>
      <c r="O100" s="5"/>
      <c r="P100" s="5"/>
      <c r="Q100" s="5"/>
      <c r="R100" s="5"/>
      <c r="S100" s="5"/>
    </row>
    <row r="101" spans="1:19" ht="51" x14ac:dyDescent="0.25">
      <c r="A101" s="5"/>
      <c r="B101" s="5"/>
      <c r="C101" s="21" t="s">
        <v>240</v>
      </c>
      <c r="D101" s="24"/>
      <c r="E101" s="24"/>
      <c r="F101" s="25" t="s">
        <v>30</v>
      </c>
      <c r="G101" s="27" t="s">
        <v>43</v>
      </c>
      <c r="H101" s="27"/>
      <c r="I101" s="27"/>
      <c r="J101" s="21" t="s">
        <v>44</v>
      </c>
      <c r="K101" s="5"/>
      <c r="L101" s="5"/>
      <c r="M101" s="5"/>
      <c r="N101" s="5"/>
      <c r="O101" s="5"/>
      <c r="P101" s="5"/>
      <c r="Q101" s="5"/>
      <c r="R101" s="5"/>
      <c r="S101" s="5"/>
    </row>
    <row r="102" spans="1:19" ht="51" x14ac:dyDescent="0.25">
      <c r="A102" s="5"/>
      <c r="B102" s="5"/>
      <c r="C102" s="21" t="s">
        <v>240</v>
      </c>
      <c r="D102" s="24"/>
      <c r="E102" s="24"/>
      <c r="F102" s="25" t="s">
        <v>31</v>
      </c>
      <c r="G102" s="25" t="s">
        <v>25</v>
      </c>
      <c r="H102" s="25"/>
      <c r="I102" s="25"/>
      <c r="J102" s="25" t="s">
        <v>27</v>
      </c>
      <c r="K102" s="5"/>
      <c r="L102" s="5"/>
      <c r="M102" s="5"/>
      <c r="N102" s="5"/>
      <c r="O102" s="5"/>
      <c r="P102" s="5"/>
      <c r="Q102" s="5"/>
      <c r="R102" s="5"/>
      <c r="S102" s="5"/>
    </row>
    <row r="103" spans="1:19" ht="51" x14ac:dyDescent="0.25">
      <c r="A103" s="5"/>
      <c r="B103" s="5"/>
      <c r="C103" s="21" t="s">
        <v>240</v>
      </c>
      <c r="D103" s="23"/>
      <c r="E103" s="23"/>
      <c r="F103" s="25" t="s">
        <v>32</v>
      </c>
      <c r="G103" s="21" t="s">
        <v>52</v>
      </c>
      <c r="H103" s="27"/>
      <c r="I103" s="21"/>
      <c r="J103" s="21" t="s">
        <v>145</v>
      </c>
      <c r="K103" s="5"/>
      <c r="L103" s="5"/>
      <c r="M103" s="5"/>
      <c r="N103" s="5"/>
      <c r="O103" s="5"/>
      <c r="P103" s="5"/>
      <c r="Q103" s="5"/>
      <c r="R103" s="5"/>
      <c r="S103" s="5"/>
    </row>
    <row r="104" spans="1:19" ht="89.25" x14ac:dyDescent="0.25">
      <c r="A104" s="5"/>
      <c r="B104" s="5"/>
      <c r="C104" s="21" t="s">
        <v>240</v>
      </c>
      <c r="D104" s="23"/>
      <c r="E104" s="23"/>
      <c r="F104" s="25" t="s">
        <v>33</v>
      </c>
      <c r="G104" s="22" t="s">
        <v>578</v>
      </c>
      <c r="H104" s="23"/>
      <c r="I104" s="22" t="s">
        <v>147</v>
      </c>
      <c r="J104" s="22" t="s">
        <v>230</v>
      </c>
      <c r="K104" s="5"/>
      <c r="L104" s="5"/>
      <c r="M104" s="5"/>
      <c r="N104" s="5"/>
      <c r="O104" s="5"/>
      <c r="P104" s="5"/>
      <c r="Q104" s="5"/>
      <c r="R104" s="5"/>
      <c r="S104" s="5"/>
    </row>
    <row r="105" spans="1:19" ht="178.5" x14ac:dyDescent="0.25">
      <c r="A105" s="5"/>
      <c r="B105" s="5"/>
      <c r="C105" s="21" t="s">
        <v>241</v>
      </c>
      <c r="D105" s="22" t="s">
        <v>61</v>
      </c>
      <c r="E105" s="22" t="s">
        <v>229</v>
      </c>
      <c r="F105" s="34" t="s">
        <v>17</v>
      </c>
      <c r="G105" s="21" t="s">
        <v>580</v>
      </c>
      <c r="H105" s="23"/>
      <c r="I105" s="60" t="s">
        <v>517</v>
      </c>
      <c r="J105" s="24" t="s">
        <v>80</v>
      </c>
      <c r="K105" s="5"/>
      <c r="L105" s="5"/>
      <c r="M105" s="5"/>
      <c r="N105" s="5"/>
      <c r="O105" s="5"/>
      <c r="P105" s="5"/>
      <c r="Q105" s="5"/>
      <c r="R105" s="5"/>
      <c r="S105" s="5"/>
    </row>
    <row r="106" spans="1:19" ht="38.25" x14ac:dyDescent="0.25">
      <c r="A106" s="5"/>
      <c r="B106" s="5"/>
      <c r="C106" s="21" t="s">
        <v>241</v>
      </c>
      <c r="D106" s="24"/>
      <c r="E106" s="24"/>
      <c r="F106" s="25" t="s">
        <v>26</v>
      </c>
      <c r="G106" s="26" t="s">
        <v>18</v>
      </c>
      <c r="H106" s="24"/>
      <c r="I106" s="24"/>
      <c r="J106" s="26" t="s">
        <v>20</v>
      </c>
      <c r="K106" s="5"/>
      <c r="L106" s="5"/>
      <c r="M106" s="5"/>
      <c r="N106" s="5"/>
      <c r="O106" s="5"/>
      <c r="P106" s="5"/>
      <c r="Q106" s="5"/>
      <c r="R106" s="5"/>
      <c r="S106" s="5"/>
    </row>
    <row r="107" spans="1:19" ht="38.25" x14ac:dyDescent="0.25">
      <c r="A107" s="5"/>
      <c r="B107" s="5"/>
      <c r="C107" s="21" t="s">
        <v>241</v>
      </c>
      <c r="D107" s="24"/>
      <c r="E107" s="24"/>
      <c r="F107" s="25" t="s">
        <v>28</v>
      </c>
      <c r="G107" s="26" t="s">
        <v>21</v>
      </c>
      <c r="H107" s="24"/>
      <c r="I107" s="24"/>
      <c r="J107" s="26" t="s">
        <v>22</v>
      </c>
      <c r="K107" s="5"/>
      <c r="L107" s="5"/>
      <c r="M107" s="5"/>
      <c r="N107" s="5"/>
      <c r="O107" s="5"/>
      <c r="P107" s="5"/>
      <c r="Q107" s="5"/>
      <c r="R107" s="5"/>
      <c r="S107" s="5"/>
    </row>
    <row r="108" spans="1:19" ht="51" x14ac:dyDescent="0.25">
      <c r="A108" s="5"/>
      <c r="B108" s="5"/>
      <c r="C108" s="21" t="s">
        <v>241</v>
      </c>
      <c r="D108" s="24"/>
      <c r="E108" s="24"/>
      <c r="F108" s="25" t="s">
        <v>29</v>
      </c>
      <c r="G108" s="26" t="s">
        <v>23</v>
      </c>
      <c r="H108" s="24"/>
      <c r="I108" s="24"/>
      <c r="J108" s="26" t="s">
        <v>41</v>
      </c>
      <c r="K108" s="5"/>
      <c r="L108" s="5"/>
      <c r="M108" s="5"/>
      <c r="N108" s="5"/>
      <c r="O108" s="5"/>
      <c r="P108" s="5"/>
      <c r="Q108" s="5"/>
      <c r="R108" s="5"/>
      <c r="S108" s="5"/>
    </row>
    <row r="109" spans="1:19" ht="38.25" x14ac:dyDescent="0.25">
      <c r="A109" s="5"/>
      <c r="B109" s="5"/>
      <c r="C109" s="21" t="s">
        <v>241</v>
      </c>
      <c r="D109" s="24"/>
      <c r="E109" s="24"/>
      <c r="F109" s="25" t="s">
        <v>30</v>
      </c>
      <c r="G109" s="27" t="s">
        <v>43</v>
      </c>
      <c r="H109" s="27"/>
      <c r="I109" s="27"/>
      <c r="J109" s="21" t="s">
        <v>44</v>
      </c>
      <c r="K109" s="5"/>
      <c r="L109" s="5"/>
      <c r="M109" s="5"/>
      <c r="N109" s="5"/>
      <c r="O109" s="5"/>
      <c r="P109" s="5"/>
      <c r="Q109" s="5"/>
      <c r="R109" s="5"/>
      <c r="S109" s="5"/>
    </row>
    <row r="110" spans="1:19" ht="38.25" x14ac:dyDescent="0.25">
      <c r="A110" s="5"/>
      <c r="B110" s="5"/>
      <c r="C110" s="21" t="s">
        <v>241</v>
      </c>
      <c r="D110" s="24"/>
      <c r="E110" s="24"/>
      <c r="F110" s="25" t="s">
        <v>31</v>
      </c>
      <c r="G110" s="25" t="s">
        <v>25</v>
      </c>
      <c r="H110" s="25"/>
      <c r="I110" s="25"/>
      <c r="J110" s="25" t="s">
        <v>27</v>
      </c>
      <c r="K110" s="5"/>
      <c r="L110" s="5"/>
      <c r="M110" s="5"/>
      <c r="N110" s="5"/>
      <c r="O110" s="5"/>
      <c r="P110" s="5"/>
      <c r="Q110" s="5"/>
      <c r="R110" s="5"/>
      <c r="S110" s="5"/>
    </row>
    <row r="111" spans="1:19" ht="38.25" x14ac:dyDescent="0.25">
      <c r="A111" s="5"/>
      <c r="B111" s="5"/>
      <c r="C111" s="21" t="s">
        <v>241</v>
      </c>
      <c r="D111" s="23"/>
      <c r="E111" s="23"/>
      <c r="F111" s="25" t="s">
        <v>32</v>
      </c>
      <c r="G111" s="21" t="s">
        <v>52</v>
      </c>
      <c r="H111" s="27"/>
      <c r="I111" s="21"/>
      <c r="J111" s="21" t="s">
        <v>145</v>
      </c>
      <c r="K111" s="5"/>
      <c r="L111" s="5"/>
      <c r="M111" s="5"/>
      <c r="N111" s="5"/>
      <c r="O111" s="5"/>
      <c r="P111" s="5"/>
      <c r="Q111" s="5"/>
      <c r="R111" s="5"/>
      <c r="S111" s="5"/>
    </row>
    <row r="112" spans="1:19" ht="89.25" x14ac:dyDescent="0.25">
      <c r="A112" s="5"/>
      <c r="B112" s="5"/>
      <c r="C112" s="21" t="s">
        <v>241</v>
      </c>
      <c r="D112" s="23"/>
      <c r="E112" s="23"/>
      <c r="F112" s="25" t="s">
        <v>33</v>
      </c>
      <c r="G112" s="22" t="s">
        <v>578</v>
      </c>
      <c r="H112" s="23"/>
      <c r="I112" s="22" t="s">
        <v>147</v>
      </c>
      <c r="J112" s="22" t="s">
        <v>230</v>
      </c>
      <c r="K112" s="5"/>
      <c r="L112" s="5"/>
      <c r="M112" s="5"/>
      <c r="N112" s="5"/>
      <c r="O112" s="5"/>
      <c r="P112" s="5"/>
      <c r="Q112" s="5"/>
      <c r="R112" s="5"/>
      <c r="S112" s="5"/>
    </row>
    <row r="113" spans="1:19" ht="114.75" x14ac:dyDescent="0.25">
      <c r="A113" s="5"/>
      <c r="B113" s="5"/>
      <c r="C113" s="21" t="s">
        <v>242</v>
      </c>
      <c r="D113" s="22" t="s">
        <v>61</v>
      </c>
      <c r="E113" s="22" t="s">
        <v>232</v>
      </c>
      <c r="F113" s="34" t="s">
        <v>17</v>
      </c>
      <c r="G113" s="59" t="s">
        <v>581</v>
      </c>
      <c r="H113" s="23"/>
      <c r="I113" s="60" t="s">
        <v>517</v>
      </c>
      <c r="J113" s="24" t="s">
        <v>80</v>
      </c>
      <c r="K113" s="5"/>
      <c r="L113" s="5"/>
      <c r="M113" s="5"/>
      <c r="N113" s="5"/>
      <c r="O113" s="5"/>
      <c r="P113" s="5"/>
      <c r="Q113" s="5"/>
      <c r="R113" s="5"/>
      <c r="S113" s="5"/>
    </row>
    <row r="114" spans="1:19" ht="51" x14ac:dyDescent="0.25">
      <c r="A114" s="5"/>
      <c r="B114" s="5"/>
      <c r="C114" s="21" t="s">
        <v>242</v>
      </c>
      <c r="D114" s="24"/>
      <c r="E114" s="24"/>
      <c r="F114" s="25" t="s">
        <v>26</v>
      </c>
      <c r="G114" s="26" t="s">
        <v>18</v>
      </c>
      <c r="H114" s="24"/>
      <c r="I114" s="24"/>
      <c r="J114" s="26" t="s">
        <v>20</v>
      </c>
      <c r="K114" s="5"/>
      <c r="L114" s="5"/>
      <c r="M114" s="5"/>
      <c r="N114" s="5"/>
      <c r="O114" s="5"/>
      <c r="P114" s="5"/>
      <c r="Q114" s="5"/>
      <c r="R114" s="5"/>
      <c r="S114" s="5"/>
    </row>
    <row r="115" spans="1:19" ht="51" x14ac:dyDescent="0.25">
      <c r="A115" s="5"/>
      <c r="B115" s="5"/>
      <c r="C115" s="21" t="s">
        <v>242</v>
      </c>
      <c r="D115" s="24"/>
      <c r="E115" s="24"/>
      <c r="F115" s="25" t="s">
        <v>28</v>
      </c>
      <c r="G115" s="26" t="s">
        <v>21</v>
      </c>
      <c r="H115" s="24"/>
      <c r="I115" s="24"/>
      <c r="J115" s="26" t="s">
        <v>22</v>
      </c>
      <c r="K115" s="5"/>
      <c r="L115" s="5"/>
      <c r="M115" s="5"/>
      <c r="N115" s="5"/>
      <c r="O115" s="5"/>
      <c r="P115" s="5"/>
      <c r="Q115" s="5"/>
      <c r="R115" s="5"/>
      <c r="S115" s="5"/>
    </row>
    <row r="116" spans="1:19" ht="51" x14ac:dyDescent="0.25">
      <c r="A116" s="5"/>
      <c r="B116" s="5"/>
      <c r="C116" s="21" t="s">
        <v>242</v>
      </c>
      <c r="D116" s="24"/>
      <c r="E116" s="24"/>
      <c r="F116" s="25" t="s">
        <v>29</v>
      </c>
      <c r="G116" s="26" t="s">
        <v>23</v>
      </c>
      <c r="H116" s="24"/>
      <c r="I116" s="24"/>
      <c r="J116" s="26" t="s">
        <v>41</v>
      </c>
      <c r="K116" s="5"/>
      <c r="L116" s="5"/>
      <c r="M116" s="5"/>
      <c r="N116" s="5"/>
      <c r="O116" s="5"/>
      <c r="P116" s="5"/>
      <c r="Q116" s="5"/>
      <c r="R116" s="5"/>
      <c r="S116" s="5"/>
    </row>
    <row r="117" spans="1:19" ht="51" x14ac:dyDescent="0.25">
      <c r="A117" s="5"/>
      <c r="B117" s="5"/>
      <c r="C117" s="21" t="s">
        <v>242</v>
      </c>
      <c r="D117" s="24"/>
      <c r="E117" s="24"/>
      <c r="F117" s="25" t="s">
        <v>30</v>
      </c>
      <c r="G117" s="27" t="s">
        <v>43</v>
      </c>
      <c r="H117" s="27"/>
      <c r="I117" s="27"/>
      <c r="J117" s="21" t="s">
        <v>44</v>
      </c>
      <c r="K117" s="5"/>
      <c r="L117" s="5"/>
      <c r="M117" s="5"/>
      <c r="N117" s="5"/>
      <c r="O117" s="5"/>
      <c r="P117" s="5"/>
      <c r="Q117" s="5"/>
      <c r="R117" s="5"/>
      <c r="S117" s="5"/>
    </row>
    <row r="118" spans="1:19" ht="51" x14ac:dyDescent="0.25">
      <c r="A118" s="5"/>
      <c r="B118" s="5"/>
      <c r="C118" s="21" t="s">
        <v>242</v>
      </c>
      <c r="D118" s="24"/>
      <c r="E118" s="24"/>
      <c r="F118" s="25" t="s">
        <v>31</v>
      </c>
      <c r="G118" s="25" t="s">
        <v>25</v>
      </c>
      <c r="H118" s="25"/>
      <c r="I118" s="25"/>
      <c r="J118" s="25" t="s">
        <v>27</v>
      </c>
      <c r="K118" s="5"/>
      <c r="L118" s="5"/>
      <c r="M118" s="5"/>
      <c r="N118" s="5"/>
      <c r="O118" s="5"/>
      <c r="P118" s="5"/>
      <c r="Q118" s="5"/>
      <c r="R118" s="5"/>
      <c r="S118" s="5"/>
    </row>
    <row r="119" spans="1:19" ht="51" x14ac:dyDescent="0.25">
      <c r="A119" s="5"/>
      <c r="B119" s="5"/>
      <c r="C119" s="21" t="s">
        <v>242</v>
      </c>
      <c r="D119" s="23"/>
      <c r="E119" s="23"/>
      <c r="F119" s="25" t="s">
        <v>32</v>
      </c>
      <c r="G119" s="21" t="s">
        <v>52</v>
      </c>
      <c r="H119" s="27"/>
      <c r="I119" s="21"/>
      <c r="J119" s="21" t="s">
        <v>145</v>
      </c>
      <c r="K119" s="5"/>
      <c r="L119" s="5"/>
      <c r="M119" s="5"/>
      <c r="N119" s="5"/>
      <c r="O119" s="5"/>
      <c r="P119" s="5"/>
      <c r="Q119" s="5"/>
      <c r="R119" s="5"/>
      <c r="S119" s="5"/>
    </row>
    <row r="120" spans="1:19" ht="89.25" x14ac:dyDescent="0.25">
      <c r="A120" s="5"/>
      <c r="B120" s="5"/>
      <c r="C120" s="21" t="s">
        <v>242</v>
      </c>
      <c r="D120" s="23"/>
      <c r="E120" s="23"/>
      <c r="F120" s="25" t="s">
        <v>33</v>
      </c>
      <c r="G120" s="22" t="s">
        <v>578</v>
      </c>
      <c r="H120" s="23"/>
      <c r="I120" s="22" t="s">
        <v>147</v>
      </c>
      <c r="J120" s="22" t="s">
        <v>230</v>
      </c>
      <c r="K120" s="5"/>
      <c r="L120" s="5"/>
      <c r="M120" s="5"/>
      <c r="N120" s="5"/>
      <c r="O120" s="5"/>
      <c r="P120" s="5"/>
      <c r="Q120" s="5"/>
      <c r="R120" s="5"/>
      <c r="S120" s="5"/>
    </row>
    <row r="121" spans="1:19" ht="140.25" x14ac:dyDescent="0.25">
      <c r="A121" s="5"/>
      <c r="B121" s="5"/>
      <c r="C121" s="21" t="s">
        <v>244</v>
      </c>
      <c r="D121" s="22" t="s">
        <v>61</v>
      </c>
      <c r="E121" s="22" t="s">
        <v>243</v>
      </c>
      <c r="F121" s="34" t="s">
        <v>17</v>
      </c>
      <c r="G121" s="22" t="s">
        <v>582</v>
      </c>
      <c r="H121" s="23"/>
      <c r="I121" s="60" t="s">
        <v>517</v>
      </c>
      <c r="J121" s="24" t="s">
        <v>80</v>
      </c>
      <c r="K121" s="5"/>
      <c r="L121" s="5"/>
      <c r="M121" s="5"/>
      <c r="N121" s="5"/>
      <c r="O121" s="5"/>
      <c r="P121" s="5"/>
      <c r="Q121" s="5"/>
      <c r="R121" s="5"/>
      <c r="S121" s="5"/>
    </row>
    <row r="122" spans="1:19" ht="51" x14ac:dyDescent="0.25">
      <c r="A122" s="5"/>
      <c r="B122" s="5"/>
      <c r="C122" s="21" t="s">
        <v>244</v>
      </c>
      <c r="D122" s="24"/>
      <c r="E122" s="24"/>
      <c r="F122" s="25" t="s">
        <v>26</v>
      </c>
      <c r="G122" s="26" t="s">
        <v>18</v>
      </c>
      <c r="H122" s="24"/>
      <c r="I122" s="24"/>
      <c r="J122" s="26" t="s">
        <v>20</v>
      </c>
      <c r="K122" s="5"/>
      <c r="L122" s="5"/>
      <c r="M122" s="5"/>
      <c r="N122" s="5"/>
      <c r="O122" s="5"/>
      <c r="P122" s="5"/>
      <c r="Q122" s="5"/>
      <c r="R122" s="5"/>
      <c r="S122" s="5"/>
    </row>
    <row r="123" spans="1:19" ht="51" x14ac:dyDescent="0.25">
      <c r="A123" s="5"/>
      <c r="B123" s="5"/>
      <c r="C123" s="21" t="s">
        <v>244</v>
      </c>
      <c r="D123" s="24"/>
      <c r="E123" s="24"/>
      <c r="F123" s="25" t="s">
        <v>28</v>
      </c>
      <c r="G123" s="26" t="s">
        <v>21</v>
      </c>
      <c r="H123" s="24"/>
      <c r="I123" s="24"/>
      <c r="J123" s="26" t="s">
        <v>22</v>
      </c>
      <c r="K123" s="5"/>
      <c r="L123" s="5"/>
      <c r="M123" s="5"/>
      <c r="N123" s="5"/>
      <c r="O123" s="5"/>
      <c r="P123" s="5"/>
      <c r="Q123" s="5"/>
      <c r="R123" s="5"/>
      <c r="S123" s="5"/>
    </row>
    <row r="124" spans="1:19" ht="51" x14ac:dyDescent="0.25">
      <c r="A124" s="5"/>
      <c r="B124" s="5"/>
      <c r="C124" s="21" t="s">
        <v>244</v>
      </c>
      <c r="D124" s="24"/>
      <c r="E124" s="24"/>
      <c r="F124" s="25" t="s">
        <v>29</v>
      </c>
      <c r="G124" s="26" t="s">
        <v>23</v>
      </c>
      <c r="H124" s="24"/>
      <c r="I124" s="24"/>
      <c r="J124" s="26" t="s">
        <v>41</v>
      </c>
      <c r="K124" s="5"/>
      <c r="L124" s="5"/>
      <c r="M124" s="5"/>
      <c r="N124" s="5"/>
      <c r="O124" s="5"/>
      <c r="P124" s="5"/>
      <c r="Q124" s="5"/>
      <c r="R124" s="5"/>
      <c r="S124" s="5"/>
    </row>
    <row r="125" spans="1:19" ht="51" x14ac:dyDescent="0.25">
      <c r="A125" s="5"/>
      <c r="B125" s="5"/>
      <c r="C125" s="21" t="s">
        <v>244</v>
      </c>
      <c r="D125" s="24"/>
      <c r="E125" s="24"/>
      <c r="F125" s="25" t="s">
        <v>30</v>
      </c>
      <c r="G125" s="27" t="s">
        <v>43</v>
      </c>
      <c r="H125" s="27"/>
      <c r="I125" s="27"/>
      <c r="J125" s="21" t="s">
        <v>44</v>
      </c>
      <c r="K125" s="5"/>
      <c r="L125" s="5"/>
      <c r="M125" s="5"/>
      <c r="N125" s="5"/>
      <c r="O125" s="5"/>
      <c r="P125" s="5"/>
      <c r="Q125" s="5"/>
      <c r="R125" s="5"/>
      <c r="S125" s="5"/>
    </row>
    <row r="126" spans="1:19" ht="51" x14ac:dyDescent="0.25">
      <c r="A126" s="5"/>
      <c r="B126" s="5"/>
      <c r="C126" s="21" t="s">
        <v>244</v>
      </c>
      <c r="D126" s="24"/>
      <c r="E126" s="24"/>
      <c r="F126" s="25" t="s">
        <v>31</v>
      </c>
      <c r="G126" s="25" t="s">
        <v>25</v>
      </c>
      <c r="H126" s="25"/>
      <c r="I126" s="25"/>
      <c r="J126" s="25" t="s">
        <v>27</v>
      </c>
      <c r="K126" s="5"/>
      <c r="L126" s="5"/>
      <c r="M126" s="5"/>
      <c r="N126" s="5"/>
      <c r="O126" s="5"/>
      <c r="P126" s="5"/>
      <c r="Q126" s="5"/>
      <c r="R126" s="5"/>
      <c r="S126" s="5"/>
    </row>
    <row r="127" spans="1:19" ht="51" x14ac:dyDescent="0.25">
      <c r="A127" s="5"/>
      <c r="B127" s="5"/>
      <c r="C127" s="21" t="s">
        <v>244</v>
      </c>
      <c r="D127" s="23"/>
      <c r="E127" s="23"/>
      <c r="F127" s="25" t="s">
        <v>32</v>
      </c>
      <c r="G127" s="21" t="s">
        <v>52</v>
      </c>
      <c r="H127" s="27"/>
      <c r="I127" s="21"/>
      <c r="J127" s="21" t="s">
        <v>145</v>
      </c>
      <c r="K127" s="5"/>
      <c r="L127" s="5"/>
      <c r="M127" s="5"/>
      <c r="N127" s="5"/>
      <c r="O127" s="5"/>
      <c r="P127" s="5"/>
      <c r="Q127" s="5"/>
      <c r="R127" s="5"/>
      <c r="S127" s="5"/>
    </row>
    <row r="128" spans="1:19" ht="89.25" x14ac:dyDescent="0.25">
      <c r="A128" s="5"/>
      <c r="B128" s="5"/>
      <c r="C128" s="21" t="s">
        <v>244</v>
      </c>
      <c r="D128" s="23"/>
      <c r="E128" s="23"/>
      <c r="F128" s="25" t="s">
        <v>33</v>
      </c>
      <c r="G128" s="22" t="s">
        <v>578</v>
      </c>
      <c r="H128" s="23"/>
      <c r="I128" s="22" t="s">
        <v>147</v>
      </c>
      <c r="J128" s="22" t="s">
        <v>230</v>
      </c>
      <c r="K128" s="5"/>
      <c r="L128" s="5"/>
      <c r="M128" s="5"/>
      <c r="N128" s="5"/>
      <c r="O128" s="5"/>
      <c r="P128" s="5"/>
      <c r="Q128" s="5"/>
      <c r="R128" s="5"/>
      <c r="S128" s="5"/>
    </row>
    <row r="129" spans="1:19" ht="204" x14ac:dyDescent="0.25">
      <c r="A129" s="5"/>
      <c r="B129" s="5"/>
      <c r="C129" s="21" t="s">
        <v>247</v>
      </c>
      <c r="D129" s="22" t="s">
        <v>61</v>
      </c>
      <c r="E129" s="59" t="s">
        <v>519</v>
      </c>
      <c r="F129" s="34" t="s">
        <v>17</v>
      </c>
      <c r="G129" s="59" t="s">
        <v>583</v>
      </c>
      <c r="H129" s="23"/>
      <c r="I129" s="60" t="s">
        <v>517</v>
      </c>
      <c r="J129" s="24" t="s">
        <v>80</v>
      </c>
      <c r="K129" s="5"/>
      <c r="L129" s="5"/>
      <c r="M129" s="5"/>
      <c r="N129" s="5"/>
      <c r="O129" s="5"/>
      <c r="P129" s="5"/>
      <c r="Q129" s="5"/>
      <c r="R129" s="5"/>
      <c r="S129" s="5"/>
    </row>
    <row r="130" spans="1:19" ht="51" x14ac:dyDescent="0.25">
      <c r="A130" s="5"/>
      <c r="B130" s="5"/>
      <c r="C130" s="21" t="s">
        <v>247</v>
      </c>
      <c r="D130" s="24"/>
      <c r="E130" s="24"/>
      <c r="F130" s="25" t="s">
        <v>26</v>
      </c>
      <c r="G130" s="26" t="s">
        <v>18</v>
      </c>
      <c r="H130" s="24"/>
      <c r="I130" s="24"/>
      <c r="J130" s="26" t="s">
        <v>20</v>
      </c>
      <c r="K130" s="5"/>
      <c r="L130" s="5"/>
      <c r="M130" s="5"/>
      <c r="N130" s="5"/>
      <c r="O130" s="5"/>
      <c r="P130" s="5"/>
      <c r="Q130" s="5"/>
      <c r="R130" s="5"/>
      <c r="S130" s="5"/>
    </row>
    <row r="131" spans="1:19" ht="51" x14ac:dyDescent="0.25">
      <c r="A131" s="5"/>
      <c r="B131" s="5"/>
      <c r="C131" s="21" t="s">
        <v>247</v>
      </c>
      <c r="D131" s="24"/>
      <c r="E131" s="24"/>
      <c r="F131" s="25" t="s">
        <v>28</v>
      </c>
      <c r="G131" s="26" t="s">
        <v>21</v>
      </c>
      <c r="H131" s="24"/>
      <c r="I131" s="24"/>
      <c r="J131" s="26" t="s">
        <v>22</v>
      </c>
      <c r="K131" s="5"/>
      <c r="L131" s="5"/>
      <c r="M131" s="5"/>
      <c r="N131" s="5"/>
      <c r="O131" s="5"/>
      <c r="P131" s="5"/>
      <c r="Q131" s="5"/>
      <c r="R131" s="5"/>
      <c r="S131" s="5"/>
    </row>
    <row r="132" spans="1:19" ht="51" x14ac:dyDescent="0.25">
      <c r="A132" s="5"/>
      <c r="B132" s="5"/>
      <c r="C132" s="21" t="s">
        <v>247</v>
      </c>
      <c r="D132" s="24"/>
      <c r="E132" s="24"/>
      <c r="F132" s="25" t="s">
        <v>29</v>
      </c>
      <c r="G132" s="26" t="s">
        <v>23</v>
      </c>
      <c r="H132" s="24"/>
      <c r="I132" s="24"/>
      <c r="J132" s="26" t="s">
        <v>41</v>
      </c>
      <c r="K132" s="5"/>
      <c r="L132" s="5"/>
      <c r="M132" s="5"/>
      <c r="N132" s="5"/>
      <c r="O132" s="5"/>
      <c r="P132" s="5"/>
      <c r="Q132" s="5"/>
      <c r="R132" s="5"/>
      <c r="S132" s="5"/>
    </row>
    <row r="133" spans="1:19" ht="51" x14ac:dyDescent="0.25">
      <c r="A133" s="5"/>
      <c r="B133" s="5"/>
      <c r="C133" s="21" t="s">
        <v>247</v>
      </c>
      <c r="D133" s="24"/>
      <c r="E133" s="24"/>
      <c r="F133" s="25" t="s">
        <v>30</v>
      </c>
      <c r="G133" s="27" t="s">
        <v>43</v>
      </c>
      <c r="H133" s="27"/>
      <c r="I133" s="27"/>
      <c r="J133" s="21" t="s">
        <v>44</v>
      </c>
      <c r="K133" s="5"/>
      <c r="L133" s="5"/>
      <c r="M133" s="5"/>
      <c r="N133" s="5"/>
      <c r="O133" s="5"/>
      <c r="P133" s="5"/>
      <c r="Q133" s="5"/>
      <c r="R133" s="5"/>
      <c r="S133" s="5"/>
    </row>
    <row r="134" spans="1:19" ht="51" x14ac:dyDescent="0.25">
      <c r="A134" s="5"/>
      <c r="B134" s="5"/>
      <c r="C134" s="21" t="s">
        <v>247</v>
      </c>
      <c r="D134" s="24"/>
      <c r="E134" s="24"/>
      <c r="F134" s="25" t="s">
        <v>31</v>
      </c>
      <c r="G134" s="25" t="s">
        <v>25</v>
      </c>
      <c r="H134" s="25"/>
      <c r="I134" s="25"/>
      <c r="J134" s="25" t="s">
        <v>27</v>
      </c>
      <c r="K134" s="5"/>
      <c r="L134" s="5"/>
      <c r="M134" s="5"/>
      <c r="N134" s="5"/>
      <c r="O134" s="5"/>
      <c r="P134" s="5"/>
      <c r="Q134" s="5"/>
      <c r="R134" s="5"/>
      <c r="S134" s="5"/>
    </row>
    <row r="135" spans="1:19" ht="51" x14ac:dyDescent="0.25">
      <c r="A135" s="5"/>
      <c r="B135" s="5"/>
      <c r="C135" s="21" t="s">
        <v>247</v>
      </c>
      <c r="D135" s="23"/>
      <c r="E135" s="23"/>
      <c r="F135" s="25" t="s">
        <v>32</v>
      </c>
      <c r="G135" s="21" t="s">
        <v>52</v>
      </c>
      <c r="H135" s="27"/>
      <c r="I135" s="21"/>
      <c r="J135" s="21" t="s">
        <v>145</v>
      </c>
      <c r="K135" s="5"/>
      <c r="L135" s="5"/>
      <c r="M135" s="5"/>
      <c r="N135" s="5"/>
      <c r="O135" s="5"/>
      <c r="P135" s="5"/>
      <c r="Q135" s="5"/>
      <c r="R135" s="5"/>
      <c r="S135" s="5"/>
    </row>
    <row r="136" spans="1:19" ht="63.75" x14ac:dyDescent="0.25">
      <c r="A136" s="5"/>
      <c r="B136" s="5"/>
      <c r="C136" s="21" t="s">
        <v>247</v>
      </c>
      <c r="D136" s="23"/>
      <c r="E136" s="23"/>
      <c r="F136" s="25" t="s">
        <v>33</v>
      </c>
      <c r="G136" s="22" t="s">
        <v>248</v>
      </c>
      <c r="H136" s="23"/>
      <c r="I136" s="22" t="s">
        <v>249</v>
      </c>
      <c r="J136" s="22" t="s">
        <v>230</v>
      </c>
      <c r="K136" s="5"/>
      <c r="L136" s="5"/>
      <c r="M136" s="5"/>
      <c r="N136" s="5"/>
      <c r="O136" s="5"/>
      <c r="P136" s="5"/>
      <c r="Q136" s="5"/>
      <c r="R136" s="5"/>
      <c r="S136" s="5"/>
    </row>
    <row r="137" spans="1:19" ht="60.75" x14ac:dyDescent="0.25">
      <c r="A137" s="5"/>
      <c r="B137" s="5"/>
      <c r="C137" s="37" t="s">
        <v>618</v>
      </c>
      <c r="D137" s="37" t="s">
        <v>263</v>
      </c>
      <c r="E137" s="63" t="s">
        <v>520</v>
      </c>
      <c r="F137" s="38" t="s">
        <v>17</v>
      </c>
      <c r="G137" s="37" t="s">
        <v>265</v>
      </c>
      <c r="H137" s="39"/>
      <c r="I137" s="39"/>
      <c r="J137" s="37" t="s">
        <v>266</v>
      </c>
      <c r="K137" s="5"/>
      <c r="L137" s="5"/>
      <c r="M137" s="5"/>
      <c r="N137" s="5"/>
      <c r="O137" s="5"/>
      <c r="P137" s="5"/>
      <c r="Q137" s="5"/>
      <c r="R137" s="5"/>
      <c r="S137" s="5"/>
    </row>
    <row r="138" spans="1:19" ht="36.75" x14ac:dyDescent="0.25">
      <c r="A138" s="5"/>
      <c r="B138" s="5"/>
      <c r="C138" s="37" t="s">
        <v>530</v>
      </c>
      <c r="D138" s="39"/>
      <c r="E138" s="39"/>
      <c r="F138" s="40" t="s">
        <v>19</v>
      </c>
      <c r="G138" s="37" t="s">
        <v>267</v>
      </c>
      <c r="H138" s="39"/>
      <c r="I138" s="39"/>
      <c r="J138" s="37" t="s">
        <v>27</v>
      </c>
      <c r="K138" s="5"/>
      <c r="L138" s="5"/>
      <c r="M138" s="5"/>
      <c r="N138" s="5"/>
      <c r="O138" s="5"/>
      <c r="P138" s="5"/>
      <c r="Q138" s="5"/>
      <c r="R138" s="5"/>
      <c r="S138" s="5"/>
    </row>
    <row r="139" spans="1:19" ht="48.75" x14ac:dyDescent="0.25">
      <c r="A139" s="5"/>
      <c r="B139" s="5"/>
      <c r="C139" s="37" t="s">
        <v>530</v>
      </c>
      <c r="D139" s="39"/>
      <c r="E139" s="39"/>
      <c r="F139" s="40" t="s">
        <v>26</v>
      </c>
      <c r="G139" s="40" t="s">
        <v>268</v>
      </c>
      <c r="H139" s="39"/>
      <c r="I139" s="37" t="s">
        <v>269</v>
      </c>
      <c r="J139" s="40" t="s">
        <v>270</v>
      </c>
      <c r="K139" s="5"/>
      <c r="L139" s="5"/>
      <c r="M139" s="5"/>
      <c r="N139" s="5"/>
      <c r="O139" s="5"/>
      <c r="P139" s="5"/>
      <c r="Q139" s="5"/>
      <c r="R139" s="5"/>
      <c r="S139" s="5"/>
    </row>
    <row r="140" spans="1:19" ht="60.75" x14ac:dyDescent="0.25">
      <c r="A140" s="5"/>
      <c r="B140" s="5"/>
      <c r="C140" s="37" t="s">
        <v>530</v>
      </c>
      <c r="D140" s="39"/>
      <c r="E140" s="39"/>
      <c r="F140" s="40" t="s">
        <v>28</v>
      </c>
      <c r="G140" s="40" t="s">
        <v>271</v>
      </c>
      <c r="H140" s="39"/>
      <c r="I140" s="37" t="s">
        <v>272</v>
      </c>
      <c r="J140" s="40" t="s">
        <v>53</v>
      </c>
      <c r="K140" s="5"/>
      <c r="L140" s="5"/>
      <c r="M140" s="5"/>
      <c r="N140" s="5"/>
      <c r="O140" s="5"/>
      <c r="P140" s="5"/>
      <c r="Q140" s="5"/>
      <c r="R140" s="5"/>
      <c r="S140" s="5"/>
    </row>
    <row r="141" spans="1:19" ht="156.75" x14ac:dyDescent="0.25">
      <c r="A141" s="5"/>
      <c r="B141" s="5"/>
      <c r="C141" s="37" t="s">
        <v>530</v>
      </c>
      <c r="D141" s="39"/>
      <c r="E141" s="39"/>
      <c r="F141" s="40" t="s">
        <v>29</v>
      </c>
      <c r="G141" s="40" t="s">
        <v>273</v>
      </c>
      <c r="H141" s="39"/>
      <c r="I141" s="37" t="s">
        <v>274</v>
      </c>
      <c r="J141" s="40" t="s">
        <v>275</v>
      </c>
      <c r="K141" s="5"/>
      <c r="L141" s="5"/>
      <c r="M141" s="5"/>
      <c r="N141" s="5"/>
      <c r="O141" s="5"/>
      <c r="P141" s="5"/>
      <c r="Q141" s="5"/>
      <c r="R141" s="5"/>
      <c r="S141" s="5"/>
    </row>
    <row r="142" spans="1:19" ht="72.75" x14ac:dyDescent="0.25">
      <c r="A142" s="5"/>
      <c r="B142" s="5"/>
      <c r="C142" s="37" t="s">
        <v>530</v>
      </c>
      <c r="D142" s="39"/>
      <c r="E142" s="39"/>
      <c r="F142" s="40" t="s">
        <v>30</v>
      </c>
      <c r="G142" s="40" t="s">
        <v>276</v>
      </c>
      <c r="H142" s="39"/>
      <c r="I142" s="40" t="s">
        <v>277</v>
      </c>
      <c r="J142" s="40" t="s">
        <v>278</v>
      </c>
      <c r="K142" s="5"/>
      <c r="L142" s="5"/>
      <c r="M142" s="5"/>
      <c r="N142" s="5"/>
      <c r="O142" s="5"/>
      <c r="P142" s="5"/>
      <c r="Q142" s="5"/>
      <c r="R142" s="5"/>
      <c r="S142" s="5"/>
    </row>
    <row r="143" spans="1:19" ht="84.75" x14ac:dyDescent="0.25">
      <c r="A143" s="5"/>
      <c r="B143" s="5"/>
      <c r="C143" s="40" t="s">
        <v>531</v>
      </c>
      <c r="D143" s="37" t="s">
        <v>279</v>
      </c>
      <c r="E143" s="37" t="s">
        <v>280</v>
      </c>
      <c r="F143" s="41" t="s">
        <v>281</v>
      </c>
      <c r="G143" s="37" t="s">
        <v>265</v>
      </c>
      <c r="H143" s="39"/>
      <c r="I143" s="39"/>
      <c r="J143" s="37" t="s">
        <v>266</v>
      </c>
      <c r="K143" s="5"/>
      <c r="L143" s="5"/>
      <c r="M143" s="5"/>
      <c r="N143" s="5"/>
      <c r="O143" s="5"/>
      <c r="P143" s="5"/>
      <c r="Q143" s="5"/>
      <c r="R143" s="5"/>
      <c r="S143" s="5"/>
    </row>
    <row r="144" spans="1:19" ht="36.75" x14ac:dyDescent="0.25">
      <c r="A144" s="5"/>
      <c r="B144" s="5"/>
      <c r="C144" s="40" t="s">
        <v>531</v>
      </c>
      <c r="D144" s="39"/>
      <c r="E144" s="39"/>
      <c r="F144" s="39" t="s">
        <v>282</v>
      </c>
      <c r="G144" s="42" t="s">
        <v>25</v>
      </c>
      <c r="H144" s="39"/>
      <c r="I144" s="39"/>
      <c r="J144" s="37" t="s">
        <v>27</v>
      </c>
      <c r="K144" s="5"/>
      <c r="L144" s="5"/>
      <c r="M144" s="5"/>
      <c r="N144" s="5"/>
      <c r="O144" s="5"/>
      <c r="P144" s="5"/>
      <c r="Q144" s="5"/>
      <c r="R144" s="5"/>
      <c r="S144" s="5"/>
    </row>
    <row r="145" spans="1:19" ht="36.75" x14ac:dyDescent="0.25">
      <c r="A145" s="5"/>
      <c r="B145" s="5"/>
      <c r="C145" s="40" t="s">
        <v>531</v>
      </c>
      <c r="D145" s="39"/>
      <c r="E145" s="39"/>
      <c r="F145" s="39" t="s">
        <v>283</v>
      </c>
      <c r="G145" s="42" t="s">
        <v>45</v>
      </c>
      <c r="H145" s="39"/>
      <c r="I145" s="39"/>
      <c r="J145" s="40" t="s">
        <v>284</v>
      </c>
      <c r="K145" s="5"/>
      <c r="L145" s="5"/>
      <c r="M145" s="5"/>
      <c r="N145" s="5"/>
      <c r="O145" s="5"/>
      <c r="P145" s="5"/>
      <c r="Q145" s="5"/>
      <c r="R145" s="5"/>
      <c r="S145" s="5"/>
    </row>
    <row r="146" spans="1:19" ht="60.75" x14ac:dyDescent="0.25">
      <c r="A146" s="5"/>
      <c r="B146" s="5"/>
      <c r="C146" s="40" t="s">
        <v>531</v>
      </c>
      <c r="D146" s="39"/>
      <c r="E146" s="39"/>
      <c r="F146" s="39" t="s">
        <v>285</v>
      </c>
      <c r="G146" s="42" t="s">
        <v>286</v>
      </c>
      <c r="H146" s="39"/>
      <c r="I146" s="37" t="s">
        <v>287</v>
      </c>
      <c r="J146" s="40" t="s">
        <v>288</v>
      </c>
      <c r="K146" s="5"/>
      <c r="L146" s="5"/>
      <c r="M146" s="5"/>
      <c r="N146" s="5"/>
      <c r="O146" s="5"/>
      <c r="P146" s="5"/>
      <c r="Q146" s="5"/>
      <c r="R146" s="5"/>
      <c r="S146" s="5"/>
    </row>
    <row r="147" spans="1:19" ht="72.75" x14ac:dyDescent="0.25">
      <c r="A147" s="5"/>
      <c r="B147" s="5"/>
      <c r="C147" s="40" t="s">
        <v>531</v>
      </c>
      <c r="D147" s="39"/>
      <c r="E147" s="39"/>
      <c r="F147" s="39" t="s">
        <v>289</v>
      </c>
      <c r="G147" s="42" t="s">
        <v>290</v>
      </c>
      <c r="H147" s="39"/>
      <c r="I147" s="37" t="s">
        <v>291</v>
      </c>
      <c r="J147" s="40" t="s">
        <v>292</v>
      </c>
      <c r="K147" s="5"/>
      <c r="L147" s="5"/>
      <c r="M147" s="5"/>
      <c r="N147" s="5"/>
      <c r="O147" s="5"/>
      <c r="P147" s="5"/>
      <c r="Q147" s="5"/>
      <c r="R147" s="5"/>
      <c r="S147" s="5"/>
    </row>
    <row r="148" spans="1:19" ht="36.75" x14ac:dyDescent="0.25">
      <c r="A148" s="5"/>
      <c r="B148" s="5"/>
      <c r="C148" s="40" t="s">
        <v>531</v>
      </c>
      <c r="D148" s="39"/>
      <c r="E148" s="39"/>
      <c r="F148" s="39" t="s">
        <v>293</v>
      </c>
      <c r="G148" s="42" t="s">
        <v>294</v>
      </c>
      <c r="H148" s="39"/>
      <c r="I148" s="37"/>
      <c r="J148" s="40" t="s">
        <v>295</v>
      </c>
      <c r="K148" s="5"/>
      <c r="L148" s="5"/>
      <c r="M148" s="5"/>
      <c r="N148" s="5"/>
      <c r="O148" s="5"/>
      <c r="P148" s="5"/>
      <c r="Q148" s="5"/>
      <c r="R148" s="5"/>
      <c r="S148" s="5"/>
    </row>
    <row r="149" spans="1:19" ht="108.75" x14ac:dyDescent="0.25">
      <c r="A149" s="5"/>
      <c r="B149" s="5"/>
      <c r="C149" s="40" t="s">
        <v>531</v>
      </c>
      <c r="D149" s="39"/>
      <c r="E149" s="39"/>
      <c r="F149" s="39" t="s">
        <v>296</v>
      </c>
      <c r="G149" s="42" t="s">
        <v>584</v>
      </c>
      <c r="H149" s="39"/>
      <c r="I149" s="37" t="s">
        <v>297</v>
      </c>
      <c r="J149" s="40" t="s">
        <v>298</v>
      </c>
      <c r="K149" s="5"/>
      <c r="L149" s="5"/>
      <c r="M149" s="5"/>
      <c r="N149" s="5"/>
      <c r="O149" s="5"/>
      <c r="P149" s="5"/>
      <c r="Q149" s="5"/>
      <c r="R149" s="5"/>
      <c r="S149" s="5"/>
    </row>
    <row r="150" spans="1:19" ht="36.75" x14ac:dyDescent="0.25">
      <c r="A150" s="5"/>
      <c r="B150" s="5"/>
      <c r="C150" s="40" t="s">
        <v>531</v>
      </c>
      <c r="D150" s="39"/>
      <c r="E150" s="39"/>
      <c r="F150" s="39" t="s">
        <v>299</v>
      </c>
      <c r="G150" s="42" t="s">
        <v>300</v>
      </c>
      <c r="H150" s="39"/>
      <c r="I150" s="37"/>
      <c r="J150" s="40" t="s">
        <v>301</v>
      </c>
      <c r="K150" s="5"/>
      <c r="L150" s="5"/>
      <c r="M150" s="5"/>
      <c r="N150" s="5"/>
      <c r="O150" s="5"/>
      <c r="P150" s="5"/>
      <c r="Q150" s="5"/>
      <c r="R150" s="5"/>
      <c r="S150" s="5"/>
    </row>
    <row r="151" spans="1:19" ht="60.75" x14ac:dyDescent="0.25">
      <c r="A151" s="5"/>
      <c r="B151" s="5"/>
      <c r="C151" s="40" t="s">
        <v>531</v>
      </c>
      <c r="D151" s="39"/>
      <c r="E151" s="39"/>
      <c r="F151" s="39" t="s">
        <v>302</v>
      </c>
      <c r="G151" s="42" t="s">
        <v>303</v>
      </c>
      <c r="H151" s="39"/>
      <c r="I151" s="39"/>
      <c r="J151" s="40" t="s">
        <v>304</v>
      </c>
      <c r="K151" s="5"/>
      <c r="L151" s="5"/>
      <c r="M151" s="5"/>
      <c r="N151" s="5"/>
      <c r="O151" s="5"/>
      <c r="P151" s="5"/>
      <c r="Q151" s="5"/>
      <c r="R151" s="5"/>
      <c r="S151" s="5"/>
    </row>
    <row r="152" spans="1:19" ht="36.75" x14ac:dyDescent="0.25">
      <c r="A152" s="5"/>
      <c r="B152" s="5"/>
      <c r="C152" s="40" t="s">
        <v>531</v>
      </c>
      <c r="D152" s="39"/>
      <c r="E152" s="39"/>
      <c r="F152" s="39" t="s">
        <v>305</v>
      </c>
      <c r="G152" s="42" t="s">
        <v>306</v>
      </c>
      <c r="H152" s="39"/>
      <c r="I152" s="37"/>
      <c r="J152" s="40" t="s">
        <v>307</v>
      </c>
      <c r="K152" s="5"/>
      <c r="L152" s="5"/>
      <c r="M152" s="5"/>
      <c r="N152" s="5"/>
      <c r="O152" s="5"/>
      <c r="P152" s="5"/>
      <c r="Q152" s="5"/>
      <c r="R152" s="5"/>
      <c r="S152" s="5"/>
    </row>
    <row r="153" spans="1:19" ht="108.75" x14ac:dyDescent="0.25">
      <c r="A153" s="5"/>
      <c r="B153" s="5"/>
      <c r="C153" s="40" t="s">
        <v>531</v>
      </c>
      <c r="D153" s="39"/>
      <c r="E153" s="39"/>
      <c r="F153" s="39" t="s">
        <v>308</v>
      </c>
      <c r="G153" s="42" t="s">
        <v>584</v>
      </c>
      <c r="H153" s="39"/>
      <c r="I153" s="37" t="s">
        <v>297</v>
      </c>
      <c r="J153" s="40" t="s">
        <v>298</v>
      </c>
      <c r="K153" s="5"/>
      <c r="L153" s="5"/>
      <c r="M153" s="5"/>
      <c r="N153" s="5"/>
      <c r="O153" s="5"/>
      <c r="P153" s="5"/>
      <c r="Q153" s="5"/>
      <c r="R153" s="5"/>
      <c r="S153" s="5"/>
    </row>
    <row r="154" spans="1:19" ht="60.75" x14ac:dyDescent="0.25">
      <c r="A154" s="5"/>
      <c r="B154" s="5"/>
      <c r="C154" s="40" t="s">
        <v>535</v>
      </c>
      <c r="D154" s="37" t="s">
        <v>309</v>
      </c>
      <c r="E154" s="37" t="s">
        <v>310</v>
      </c>
      <c r="F154" s="38" t="s">
        <v>281</v>
      </c>
      <c r="G154" s="37" t="s">
        <v>265</v>
      </c>
      <c r="H154" s="39"/>
      <c r="I154" s="39"/>
      <c r="J154" s="37" t="s">
        <v>266</v>
      </c>
      <c r="K154" s="5"/>
      <c r="L154" s="5"/>
      <c r="M154" s="5"/>
      <c r="N154" s="5"/>
      <c r="O154" s="5"/>
      <c r="P154" s="5"/>
      <c r="Q154" s="5"/>
      <c r="R154" s="5"/>
      <c r="S154" s="5"/>
    </row>
    <row r="155" spans="1:19" ht="36.75" x14ac:dyDescent="0.25">
      <c r="A155" s="5"/>
      <c r="B155" s="5"/>
      <c r="C155" s="40" t="s">
        <v>535</v>
      </c>
      <c r="D155" s="39"/>
      <c r="E155" s="39"/>
      <c r="F155" s="40" t="s">
        <v>282</v>
      </c>
      <c r="G155" s="37" t="s">
        <v>267</v>
      </c>
      <c r="H155" s="39"/>
      <c r="I155" s="39"/>
      <c r="J155" s="37" t="s">
        <v>27</v>
      </c>
      <c r="K155" s="5"/>
      <c r="L155" s="5"/>
      <c r="M155" s="5"/>
      <c r="N155" s="5"/>
      <c r="O155" s="5"/>
      <c r="P155" s="5"/>
      <c r="Q155" s="5"/>
      <c r="R155" s="5"/>
      <c r="S155" s="5"/>
    </row>
    <row r="156" spans="1:19" ht="48.75" x14ac:dyDescent="0.25">
      <c r="A156" s="5"/>
      <c r="B156" s="5"/>
      <c r="C156" s="40" t="s">
        <v>535</v>
      </c>
      <c r="D156" s="39"/>
      <c r="E156" s="39"/>
      <c r="F156" s="40" t="s">
        <v>283</v>
      </c>
      <c r="G156" s="40" t="s">
        <v>268</v>
      </c>
      <c r="H156" s="39"/>
      <c r="I156" s="37" t="s">
        <v>269</v>
      </c>
      <c r="J156" s="40" t="s">
        <v>270</v>
      </c>
      <c r="K156" s="5"/>
      <c r="L156" s="5"/>
      <c r="M156" s="5"/>
      <c r="N156" s="5"/>
      <c r="O156" s="5"/>
      <c r="P156" s="5"/>
      <c r="Q156" s="5"/>
      <c r="R156" s="5"/>
      <c r="S156" s="5"/>
    </row>
    <row r="157" spans="1:19" ht="60.75" x14ac:dyDescent="0.25">
      <c r="A157" s="5"/>
      <c r="B157" s="5"/>
      <c r="C157" s="40" t="s">
        <v>535</v>
      </c>
      <c r="D157" s="39"/>
      <c r="E157" s="39"/>
      <c r="F157" s="40" t="s">
        <v>285</v>
      </c>
      <c r="G157" s="40" t="s">
        <v>311</v>
      </c>
      <c r="H157" s="39"/>
      <c r="I157" s="37" t="s">
        <v>272</v>
      </c>
      <c r="J157" s="40" t="s">
        <v>312</v>
      </c>
      <c r="K157" s="5"/>
      <c r="L157" s="5"/>
      <c r="M157" s="5"/>
      <c r="N157" s="5"/>
      <c r="O157" s="5"/>
      <c r="P157" s="5"/>
      <c r="Q157" s="5"/>
      <c r="R157" s="5"/>
      <c r="S157" s="5"/>
    </row>
    <row r="158" spans="1:19" ht="276.75" x14ac:dyDescent="0.25">
      <c r="A158" s="5"/>
      <c r="B158" s="5"/>
      <c r="C158" s="40" t="s">
        <v>535</v>
      </c>
      <c r="D158" s="39"/>
      <c r="E158" s="39"/>
      <c r="F158" s="40" t="s">
        <v>289</v>
      </c>
      <c r="G158" s="40" t="s">
        <v>313</v>
      </c>
      <c r="H158" s="39"/>
      <c r="I158" s="40" t="s">
        <v>314</v>
      </c>
      <c r="J158" s="40" t="s">
        <v>315</v>
      </c>
      <c r="K158" s="5"/>
      <c r="L158" s="5"/>
      <c r="M158" s="5"/>
      <c r="N158" s="5"/>
      <c r="O158" s="5"/>
      <c r="P158" s="5"/>
      <c r="Q158" s="5"/>
      <c r="R158" s="5"/>
      <c r="S158" s="5"/>
    </row>
    <row r="159" spans="1:19" x14ac:dyDescent="0.25">
      <c r="A159" s="5"/>
      <c r="B159" s="5"/>
      <c r="C159" s="40"/>
      <c r="D159" s="43"/>
      <c r="E159" s="43"/>
      <c r="F159" s="45"/>
      <c r="G159" s="43"/>
      <c r="H159" s="14"/>
      <c r="I159" s="14"/>
      <c r="J159" s="43"/>
      <c r="K159" s="5"/>
      <c r="L159" s="5"/>
      <c r="M159" s="5"/>
      <c r="N159" s="5"/>
      <c r="O159" s="5"/>
      <c r="P159" s="5"/>
      <c r="Q159" s="5"/>
      <c r="R159" s="5"/>
      <c r="S159" s="5"/>
    </row>
    <row r="160" spans="1:19" x14ac:dyDescent="0.25">
      <c r="A160" s="5"/>
      <c r="B160" s="5"/>
      <c r="C160" s="40"/>
      <c r="D160" s="14"/>
      <c r="E160" s="14"/>
      <c r="F160" s="45"/>
      <c r="G160" s="43"/>
      <c r="H160" s="14"/>
      <c r="I160" s="14"/>
      <c r="J160" s="43"/>
      <c r="K160" s="5"/>
      <c r="L160" s="5"/>
      <c r="M160" s="5"/>
      <c r="N160" s="5"/>
      <c r="O160" s="5"/>
      <c r="P160" s="5"/>
      <c r="Q160" s="5"/>
      <c r="R160" s="5"/>
      <c r="S160" s="5"/>
    </row>
    <row r="161" spans="1:19" x14ac:dyDescent="0.25">
      <c r="A161" s="5"/>
      <c r="B161" s="5"/>
      <c r="C161" s="40"/>
      <c r="D161" s="14"/>
      <c r="E161" s="14"/>
      <c r="F161" s="45"/>
      <c r="G161" s="45"/>
      <c r="H161" s="14"/>
      <c r="I161" s="43"/>
      <c r="J161" s="45"/>
      <c r="K161" s="5"/>
      <c r="L161" s="5"/>
      <c r="M161" s="5"/>
      <c r="N161" s="5"/>
      <c r="O161" s="5"/>
      <c r="P161" s="5"/>
      <c r="Q161" s="5"/>
      <c r="R161" s="5"/>
      <c r="S161" s="5"/>
    </row>
    <row r="162" spans="1:19" x14ac:dyDescent="0.25">
      <c r="A162" s="5"/>
      <c r="B162" s="5"/>
      <c r="C162" s="40"/>
      <c r="D162" s="14"/>
      <c r="E162" s="14"/>
      <c r="F162" s="45"/>
      <c r="G162" s="45"/>
      <c r="H162" s="14"/>
      <c r="I162" s="45"/>
      <c r="J162" s="45"/>
      <c r="K162" s="5"/>
      <c r="L162" s="5"/>
      <c r="M162" s="5"/>
      <c r="N162" s="5"/>
      <c r="O162" s="5"/>
      <c r="P162" s="5"/>
      <c r="Q162" s="5"/>
      <c r="R162" s="5"/>
      <c r="S162" s="5"/>
    </row>
    <row r="163" spans="1:19" x14ac:dyDescent="0.25">
      <c r="A163" s="5"/>
      <c r="B163" s="5"/>
      <c r="C163" s="40"/>
      <c r="D163" s="46"/>
      <c r="E163" s="46"/>
      <c r="F163" s="45"/>
      <c r="G163" s="45"/>
      <c r="H163" s="46"/>
      <c r="I163" s="46"/>
      <c r="J163" s="45"/>
      <c r="K163" s="5"/>
      <c r="L163" s="5"/>
      <c r="M163" s="5"/>
      <c r="N163" s="5"/>
      <c r="O163" s="5"/>
      <c r="P163" s="5"/>
      <c r="Q163" s="5"/>
      <c r="R163" s="5"/>
      <c r="S163" s="5"/>
    </row>
    <row r="164" spans="1:19" x14ac:dyDescent="0.25">
      <c r="A164" s="5"/>
      <c r="B164" s="5"/>
      <c r="C164" s="40"/>
      <c r="D164" s="14"/>
      <c r="E164" s="14"/>
      <c r="F164" s="45"/>
      <c r="G164" s="45"/>
      <c r="H164" s="14"/>
      <c r="I164" s="43"/>
      <c r="J164" s="45"/>
      <c r="K164" s="5"/>
      <c r="L164" s="5"/>
      <c r="M164" s="5"/>
      <c r="N164" s="5"/>
      <c r="O164" s="5"/>
      <c r="P164" s="5"/>
      <c r="Q164" s="5"/>
      <c r="R164" s="5"/>
      <c r="S164" s="5"/>
    </row>
    <row r="165" spans="1:19" x14ac:dyDescent="0.25">
      <c r="A165" s="5"/>
      <c r="B165" s="5"/>
      <c r="C165" s="5"/>
      <c r="D165" s="5"/>
      <c r="E165" s="5"/>
      <c r="F165" s="5"/>
      <c r="G165" s="5"/>
      <c r="H165" s="5"/>
      <c r="I165" s="5"/>
      <c r="J165" s="5"/>
      <c r="K165" s="5"/>
      <c r="L165" s="5"/>
      <c r="M165" s="5"/>
      <c r="N165" s="5"/>
      <c r="O165" s="5"/>
      <c r="P165" s="5"/>
      <c r="Q165" s="5"/>
      <c r="R165" s="5"/>
      <c r="S165" s="5"/>
    </row>
    <row r="166" spans="1:19" x14ac:dyDescent="0.25">
      <c r="A166" s="5"/>
      <c r="B166" s="5"/>
      <c r="C166" s="5"/>
      <c r="D166" s="5"/>
      <c r="E166" s="5"/>
      <c r="F166" s="5"/>
      <c r="G166" s="5"/>
      <c r="H166" s="5"/>
      <c r="I166" s="5"/>
      <c r="J166" s="5"/>
      <c r="K166" s="5"/>
      <c r="L166" s="5"/>
      <c r="M166" s="5"/>
      <c r="N166" s="5"/>
      <c r="O166" s="5"/>
      <c r="P166" s="5"/>
      <c r="Q166" s="5"/>
      <c r="R166" s="5"/>
      <c r="S166" s="5"/>
    </row>
    <row r="167" spans="1:19" x14ac:dyDescent="0.25">
      <c r="A167" s="5"/>
      <c r="B167" s="5"/>
      <c r="C167" s="5"/>
      <c r="D167" s="5"/>
      <c r="E167" s="5"/>
      <c r="F167" s="5"/>
      <c r="G167" s="5"/>
      <c r="H167" s="5"/>
      <c r="I167" s="5"/>
      <c r="J167" s="5"/>
      <c r="K167" s="5"/>
      <c r="L167" s="5"/>
      <c r="M167" s="5"/>
      <c r="N167" s="5"/>
      <c r="O167" s="5"/>
      <c r="P167" s="5"/>
      <c r="Q167" s="5"/>
      <c r="R167" s="5"/>
      <c r="S167" s="5"/>
    </row>
    <row r="168" spans="1:19" x14ac:dyDescent="0.25">
      <c r="A168" s="5"/>
      <c r="B168" s="5"/>
      <c r="C168" s="5"/>
      <c r="D168" s="5"/>
      <c r="E168" s="5"/>
      <c r="F168" s="5"/>
      <c r="G168" s="5"/>
      <c r="H168" s="5"/>
      <c r="I168" s="5"/>
      <c r="J168" s="5"/>
      <c r="K168" s="5"/>
      <c r="L168" s="5"/>
      <c r="M168" s="5"/>
      <c r="N168" s="5"/>
      <c r="O168" s="5"/>
      <c r="P168" s="5"/>
      <c r="Q168" s="5"/>
      <c r="R168" s="5"/>
      <c r="S168" s="5"/>
    </row>
    <row r="169" spans="1:19" x14ac:dyDescent="0.25">
      <c r="A169" s="5"/>
      <c r="B169" s="5"/>
      <c r="C169" s="5"/>
      <c r="D169" s="5"/>
      <c r="E169" s="5"/>
      <c r="F169" s="5"/>
      <c r="G169" s="5"/>
      <c r="H169" s="5"/>
      <c r="I169" s="5"/>
      <c r="J169" s="5"/>
      <c r="K169" s="5"/>
      <c r="L169" s="5"/>
      <c r="M169" s="5"/>
      <c r="N169" s="5"/>
      <c r="O169" s="5"/>
      <c r="P169" s="5"/>
      <c r="Q169" s="5"/>
      <c r="R169" s="5"/>
      <c r="S169" s="5"/>
    </row>
    <row r="170" spans="1:19" x14ac:dyDescent="0.25">
      <c r="A170" s="5"/>
      <c r="B170" s="5"/>
      <c r="C170" s="5"/>
      <c r="D170" s="5"/>
      <c r="E170" s="5"/>
      <c r="F170" s="5"/>
      <c r="G170" s="5"/>
      <c r="H170" s="5"/>
      <c r="I170" s="5"/>
      <c r="J170" s="5"/>
      <c r="K170" s="5"/>
      <c r="L170" s="5"/>
      <c r="M170" s="5"/>
      <c r="N170" s="5"/>
      <c r="O170" s="5"/>
      <c r="P170" s="5"/>
      <c r="Q170" s="5"/>
      <c r="R170" s="5"/>
      <c r="S170" s="5"/>
    </row>
    <row r="171" spans="1:19" x14ac:dyDescent="0.25">
      <c r="A171" s="5"/>
      <c r="B171" s="5"/>
      <c r="C171" s="5"/>
      <c r="D171" s="5"/>
      <c r="E171" s="5"/>
      <c r="F171" s="5"/>
      <c r="G171" s="5"/>
      <c r="H171" s="5"/>
      <c r="I171" s="5"/>
      <c r="J171" s="5"/>
      <c r="K171" s="5"/>
      <c r="L171" s="5"/>
      <c r="M171" s="5"/>
      <c r="N171" s="5"/>
      <c r="O171" s="5"/>
      <c r="P171" s="5"/>
      <c r="Q171" s="5"/>
      <c r="R171" s="5"/>
      <c r="S171" s="5"/>
    </row>
    <row r="172" spans="1:19" x14ac:dyDescent="0.25">
      <c r="A172" s="5"/>
      <c r="B172" s="5"/>
      <c r="C172" s="5"/>
      <c r="D172" s="5"/>
      <c r="E172" s="5"/>
      <c r="F172" s="5"/>
      <c r="G172" s="5"/>
      <c r="H172" s="5"/>
      <c r="I172" s="5"/>
      <c r="J172" s="5"/>
      <c r="K172" s="5"/>
      <c r="L172" s="5"/>
      <c r="M172" s="5"/>
      <c r="N172" s="5"/>
      <c r="O172" s="5"/>
      <c r="P172" s="5"/>
      <c r="Q172" s="5"/>
      <c r="R172" s="5"/>
      <c r="S172" s="5"/>
    </row>
    <row r="173" spans="1:19" x14ac:dyDescent="0.25">
      <c r="A173" s="5"/>
      <c r="B173" s="5"/>
      <c r="C173" s="5"/>
      <c r="D173" s="5"/>
      <c r="E173" s="5"/>
      <c r="F173" s="5"/>
      <c r="G173" s="5"/>
      <c r="H173" s="5"/>
      <c r="I173" s="5"/>
      <c r="J173" s="5"/>
      <c r="K173" s="5"/>
      <c r="L173" s="5"/>
      <c r="M173" s="5"/>
      <c r="N173" s="5"/>
      <c r="O173" s="5"/>
      <c r="P173" s="5"/>
      <c r="Q173" s="5"/>
      <c r="R173" s="5"/>
      <c r="S173" s="5"/>
    </row>
    <row r="174" spans="1:19" x14ac:dyDescent="0.25">
      <c r="A174" s="5"/>
      <c r="B174" s="5"/>
      <c r="C174" s="5"/>
      <c r="D174" s="5"/>
      <c r="E174" s="5"/>
      <c r="F174" s="5"/>
      <c r="G174" s="5"/>
      <c r="H174" s="5"/>
      <c r="I174" s="5"/>
      <c r="J174" s="5"/>
      <c r="K174" s="5"/>
      <c r="L174" s="5"/>
      <c r="M174" s="5"/>
      <c r="N174" s="5"/>
      <c r="O174" s="5"/>
      <c r="P174" s="5"/>
      <c r="Q174" s="5"/>
      <c r="R174" s="5"/>
      <c r="S174" s="5"/>
    </row>
    <row r="175" spans="1:19" x14ac:dyDescent="0.25">
      <c r="A175" s="5"/>
      <c r="B175" s="5"/>
      <c r="C175" s="5"/>
      <c r="D175" s="5"/>
      <c r="E175" s="5"/>
      <c r="F175" s="5"/>
      <c r="G175" s="5"/>
      <c r="H175" s="5"/>
      <c r="I175" s="5"/>
      <c r="J175" s="5"/>
      <c r="K175" s="5"/>
      <c r="L175" s="5"/>
      <c r="M175" s="5"/>
      <c r="N175" s="5"/>
      <c r="O175" s="5"/>
      <c r="P175" s="5"/>
      <c r="Q175" s="5"/>
      <c r="R175" s="5"/>
      <c r="S175" s="5"/>
    </row>
    <row r="176" spans="1:19" x14ac:dyDescent="0.25">
      <c r="A176" s="5"/>
      <c r="B176" s="5"/>
      <c r="C176" s="5"/>
      <c r="D176" s="5"/>
      <c r="E176" s="5"/>
      <c r="F176" s="5"/>
      <c r="G176" s="5"/>
      <c r="H176" s="5"/>
      <c r="I176" s="5"/>
      <c r="J176" s="5"/>
      <c r="K176" s="5"/>
      <c r="L176" s="5"/>
      <c r="M176" s="5"/>
      <c r="N176" s="5"/>
      <c r="O176" s="5"/>
      <c r="P176" s="5"/>
      <c r="Q176" s="5"/>
      <c r="R176" s="5"/>
      <c r="S176" s="5"/>
    </row>
    <row r="177" spans="1:19" x14ac:dyDescent="0.25">
      <c r="A177" s="5"/>
      <c r="B177" s="5"/>
      <c r="C177" s="5"/>
      <c r="D177" s="5"/>
      <c r="E177" s="5"/>
      <c r="F177" s="5"/>
      <c r="G177" s="5"/>
      <c r="H177" s="5"/>
      <c r="I177" s="5"/>
      <c r="J177" s="5"/>
      <c r="K177" s="5"/>
      <c r="L177" s="5"/>
      <c r="M177" s="5"/>
      <c r="N177" s="5"/>
      <c r="O177" s="5"/>
      <c r="P177" s="5"/>
      <c r="Q177" s="5"/>
      <c r="R177" s="5"/>
      <c r="S177" s="5"/>
    </row>
    <row r="178" spans="1:19" x14ac:dyDescent="0.25">
      <c r="A178" s="5"/>
      <c r="B178" s="5"/>
      <c r="C178" s="5"/>
      <c r="D178" s="5"/>
      <c r="E178" s="5"/>
      <c r="F178" s="5"/>
      <c r="G178" s="5"/>
      <c r="H178" s="5"/>
      <c r="I178" s="5"/>
      <c r="J178" s="5"/>
      <c r="K178" s="5"/>
      <c r="L178" s="5"/>
      <c r="M178" s="5"/>
      <c r="N178" s="5"/>
      <c r="O178" s="5"/>
      <c r="P178" s="5"/>
      <c r="Q178" s="5"/>
      <c r="R178" s="5"/>
      <c r="S178" s="5"/>
    </row>
    <row r="179" spans="1:19" x14ac:dyDescent="0.25">
      <c r="A179" s="5"/>
      <c r="B179" s="5"/>
      <c r="C179" s="5"/>
      <c r="D179" s="5"/>
      <c r="E179" s="5"/>
      <c r="F179" s="5"/>
      <c r="G179" s="5"/>
      <c r="H179" s="5"/>
      <c r="I179" s="5"/>
      <c r="J179" s="5"/>
      <c r="K179" s="5"/>
      <c r="L179" s="5"/>
      <c r="M179" s="5"/>
      <c r="N179" s="5"/>
      <c r="O179" s="5"/>
      <c r="P179" s="5"/>
      <c r="Q179" s="5"/>
      <c r="R179" s="5"/>
      <c r="S179" s="5"/>
    </row>
    <row r="180" spans="1:19" x14ac:dyDescent="0.25">
      <c r="A180" s="5"/>
      <c r="B180" s="5"/>
      <c r="C180" s="5"/>
      <c r="D180" s="5"/>
      <c r="E180" s="5"/>
      <c r="F180" s="5"/>
      <c r="G180" s="5"/>
      <c r="H180" s="5"/>
      <c r="I180" s="5"/>
      <c r="J180" s="5"/>
      <c r="K180" s="5"/>
      <c r="L180" s="5"/>
      <c r="M180" s="5"/>
      <c r="N180" s="5"/>
      <c r="O180" s="5"/>
      <c r="P180" s="5"/>
      <c r="Q180" s="5"/>
      <c r="R180" s="5"/>
      <c r="S180" s="5"/>
    </row>
    <row r="181" spans="1:19" x14ac:dyDescent="0.25">
      <c r="A181" s="5"/>
      <c r="B181" s="5"/>
      <c r="C181" s="5"/>
      <c r="D181" s="5"/>
      <c r="E181" s="5"/>
      <c r="F181" s="5"/>
      <c r="G181" s="5"/>
      <c r="H181" s="5"/>
      <c r="I181" s="5"/>
      <c r="J181" s="5"/>
      <c r="K181" s="5"/>
      <c r="L181" s="5"/>
      <c r="M181" s="5"/>
      <c r="N181" s="5"/>
      <c r="O181" s="5"/>
      <c r="P181" s="5"/>
      <c r="Q181" s="5"/>
      <c r="R181" s="5"/>
      <c r="S181" s="5"/>
    </row>
    <row r="182" spans="1:19" x14ac:dyDescent="0.25">
      <c r="A182" s="5"/>
      <c r="B182" s="5"/>
      <c r="C182" s="5"/>
      <c r="D182" s="5"/>
      <c r="E182" s="5"/>
      <c r="F182" s="5"/>
      <c r="G182" s="5"/>
      <c r="H182" s="5"/>
      <c r="I182" s="5"/>
      <c r="J182" s="5"/>
      <c r="K182" s="5"/>
      <c r="L182" s="5"/>
      <c r="M182" s="5"/>
      <c r="N182" s="5"/>
      <c r="O182" s="5"/>
      <c r="P182" s="5"/>
      <c r="Q182" s="5"/>
      <c r="R182" s="5"/>
      <c r="S182" s="5"/>
    </row>
    <row r="183" spans="1:19" x14ac:dyDescent="0.25">
      <c r="A183" s="5"/>
      <c r="B183" s="5"/>
      <c r="C183" s="5"/>
      <c r="D183" s="5"/>
      <c r="E183" s="5"/>
      <c r="F183" s="5"/>
      <c r="G183" s="5"/>
      <c r="H183" s="5"/>
      <c r="I183" s="5"/>
      <c r="J183" s="5"/>
      <c r="K183" s="5"/>
      <c r="L183" s="5"/>
      <c r="M183" s="5"/>
      <c r="N183" s="5"/>
      <c r="O183" s="5"/>
      <c r="P183" s="5"/>
      <c r="Q183" s="5"/>
      <c r="R183" s="5"/>
      <c r="S183" s="5"/>
    </row>
    <row r="184" spans="1:19" x14ac:dyDescent="0.25">
      <c r="A184" s="5"/>
      <c r="B184" s="5"/>
      <c r="C184" s="5"/>
      <c r="D184" s="5"/>
      <c r="E184" s="5"/>
      <c r="F184" s="5"/>
      <c r="G184" s="5"/>
      <c r="H184" s="5"/>
      <c r="I184" s="5"/>
      <c r="J184" s="5"/>
      <c r="K184" s="5"/>
      <c r="L184" s="5"/>
      <c r="M184" s="5"/>
      <c r="N184" s="5"/>
      <c r="O184" s="5"/>
      <c r="P184" s="5"/>
      <c r="Q184" s="5"/>
      <c r="R184" s="5"/>
      <c r="S184" s="5"/>
    </row>
    <row r="185" spans="1:19" x14ac:dyDescent="0.25">
      <c r="A185" s="5"/>
      <c r="B185" s="5"/>
      <c r="C185" s="5"/>
      <c r="D185" s="5"/>
      <c r="E185" s="5"/>
      <c r="F185" s="5"/>
      <c r="G185" s="5"/>
      <c r="H185" s="5"/>
      <c r="I185" s="5"/>
      <c r="J185" s="5"/>
      <c r="K185" s="5"/>
      <c r="L185" s="5"/>
      <c r="M185" s="5"/>
      <c r="N185" s="5"/>
      <c r="O185" s="5"/>
      <c r="P185" s="5"/>
      <c r="Q185" s="5"/>
      <c r="R185" s="5"/>
      <c r="S185" s="5"/>
    </row>
    <row r="186" spans="1:19" x14ac:dyDescent="0.25">
      <c r="A186" s="5"/>
      <c r="B186" s="5"/>
      <c r="C186" s="5"/>
      <c r="D186" s="5"/>
      <c r="E186" s="5"/>
      <c r="F186" s="5"/>
      <c r="G186" s="5"/>
      <c r="H186" s="5"/>
      <c r="I186" s="5"/>
      <c r="J186" s="5"/>
      <c r="K186" s="5"/>
      <c r="L186" s="5"/>
      <c r="M186" s="5"/>
      <c r="N186" s="5"/>
      <c r="O186" s="5"/>
      <c r="P186" s="5"/>
      <c r="Q186" s="5"/>
      <c r="R186" s="5"/>
      <c r="S186" s="5"/>
    </row>
    <row r="187" spans="1:19" x14ac:dyDescent="0.25">
      <c r="A187" s="5"/>
      <c r="B187" s="5"/>
      <c r="C187" s="5"/>
      <c r="D187" s="5"/>
      <c r="E187" s="5"/>
      <c r="F187" s="5"/>
      <c r="G187" s="5"/>
      <c r="H187" s="5"/>
      <c r="I187" s="5"/>
      <c r="J187" s="5"/>
      <c r="K187" s="5"/>
      <c r="L187" s="5"/>
      <c r="M187" s="5"/>
      <c r="N187" s="5"/>
      <c r="O187" s="5"/>
      <c r="P187" s="5"/>
      <c r="Q187" s="5"/>
      <c r="R187" s="5"/>
      <c r="S187" s="5"/>
    </row>
    <row r="188" spans="1:19" x14ac:dyDescent="0.25">
      <c r="A188" s="5"/>
      <c r="B188" s="5"/>
      <c r="C188" s="5"/>
      <c r="D188" s="5"/>
      <c r="E188" s="5"/>
      <c r="F188" s="5"/>
      <c r="G188" s="5"/>
      <c r="H188" s="5"/>
      <c r="I188" s="5"/>
      <c r="J188" s="5"/>
      <c r="K188" s="5"/>
      <c r="L188" s="5"/>
      <c r="M188" s="5"/>
      <c r="N188" s="5"/>
      <c r="O188" s="5"/>
      <c r="P188" s="5"/>
      <c r="Q188" s="5"/>
      <c r="R188" s="5"/>
      <c r="S188" s="5"/>
    </row>
    <row r="189" spans="1:19" x14ac:dyDescent="0.25">
      <c r="A189" s="5"/>
      <c r="B189" s="5"/>
      <c r="C189" s="5"/>
      <c r="D189" s="5"/>
      <c r="E189" s="5"/>
      <c r="F189" s="5"/>
      <c r="G189" s="5"/>
      <c r="H189" s="5"/>
      <c r="I189" s="5"/>
      <c r="J189" s="5"/>
      <c r="K189" s="5"/>
      <c r="L189" s="5"/>
      <c r="M189" s="5"/>
      <c r="N189" s="5"/>
      <c r="O189" s="5"/>
      <c r="P189" s="5"/>
      <c r="Q189" s="5"/>
      <c r="R189" s="5"/>
      <c r="S189" s="5"/>
    </row>
    <row r="190" spans="1:19" x14ac:dyDescent="0.25">
      <c r="A190" s="5"/>
      <c r="B190" s="5"/>
      <c r="C190" s="5"/>
      <c r="D190" s="5"/>
      <c r="E190" s="5"/>
      <c r="F190" s="5"/>
      <c r="G190" s="5"/>
      <c r="H190" s="5"/>
      <c r="I190" s="5"/>
      <c r="J190" s="5"/>
      <c r="K190" s="5"/>
      <c r="L190" s="5"/>
      <c r="M190" s="5"/>
      <c r="N190" s="5"/>
      <c r="O190" s="5"/>
      <c r="P190" s="5"/>
      <c r="Q190" s="5"/>
      <c r="R190" s="5"/>
      <c r="S190" s="5"/>
    </row>
    <row r="191" spans="1:19" x14ac:dyDescent="0.25">
      <c r="A191" s="5"/>
      <c r="B191" s="5"/>
      <c r="C191" s="5"/>
      <c r="D191" s="5"/>
      <c r="E191" s="5"/>
      <c r="F191" s="5"/>
      <c r="G191" s="5"/>
      <c r="H191" s="5"/>
      <c r="I191" s="5"/>
      <c r="J191" s="5"/>
      <c r="K191" s="5"/>
      <c r="L191" s="5"/>
      <c r="M191" s="5"/>
      <c r="N191" s="5"/>
      <c r="O191" s="5"/>
      <c r="P191" s="5"/>
      <c r="Q191" s="5"/>
      <c r="R191" s="5"/>
      <c r="S191" s="5"/>
    </row>
    <row r="192" spans="1:19" x14ac:dyDescent="0.25">
      <c r="A192" s="5"/>
      <c r="B192" s="5"/>
      <c r="C192" s="5"/>
      <c r="D192" s="5"/>
      <c r="E192" s="5"/>
      <c r="F192" s="5"/>
      <c r="G192" s="5"/>
      <c r="H192" s="5"/>
      <c r="I192" s="5"/>
      <c r="J192" s="5"/>
      <c r="K192" s="5"/>
      <c r="L192" s="5"/>
      <c r="M192" s="5"/>
      <c r="N192" s="5"/>
      <c r="O192" s="5"/>
      <c r="P192" s="5"/>
      <c r="Q192" s="5"/>
      <c r="R192" s="5"/>
      <c r="S192" s="5"/>
    </row>
    <row r="193" spans="1:19" x14ac:dyDescent="0.25">
      <c r="A193" s="5"/>
      <c r="B193" s="5"/>
      <c r="C193" s="5"/>
      <c r="D193" s="5"/>
      <c r="E193" s="5"/>
      <c r="F193" s="5"/>
      <c r="G193" s="5"/>
      <c r="H193" s="5"/>
      <c r="I193" s="5"/>
      <c r="J193" s="5"/>
      <c r="K193" s="5"/>
      <c r="L193" s="5"/>
      <c r="M193" s="5"/>
      <c r="N193" s="5"/>
      <c r="O193" s="5"/>
      <c r="P193" s="5"/>
      <c r="Q193" s="5"/>
      <c r="R193" s="5"/>
      <c r="S193" s="5"/>
    </row>
    <row r="194" spans="1:19" x14ac:dyDescent="0.25">
      <c r="A194" s="5"/>
      <c r="B194" s="5"/>
      <c r="C194" s="5"/>
      <c r="D194" s="5"/>
      <c r="E194" s="5"/>
      <c r="F194" s="5"/>
      <c r="G194" s="5"/>
      <c r="H194" s="5"/>
      <c r="I194" s="5"/>
      <c r="J194" s="5"/>
      <c r="K194" s="5"/>
      <c r="L194" s="5"/>
      <c r="M194" s="5"/>
      <c r="N194" s="5"/>
      <c r="O194" s="5"/>
      <c r="P194" s="5"/>
      <c r="Q194" s="5"/>
      <c r="R194" s="5"/>
      <c r="S194" s="5"/>
    </row>
    <row r="195" spans="1:19" x14ac:dyDescent="0.25">
      <c r="A195" s="5"/>
      <c r="B195" s="5"/>
      <c r="C195" s="5"/>
      <c r="D195" s="5"/>
      <c r="E195" s="5"/>
      <c r="F195" s="5"/>
      <c r="G195" s="5"/>
      <c r="H195" s="5"/>
      <c r="I195" s="5"/>
      <c r="J195" s="5"/>
      <c r="K195" s="5"/>
      <c r="L195" s="5"/>
      <c r="M195" s="5"/>
      <c r="N195" s="5"/>
      <c r="O195" s="5"/>
      <c r="P195" s="5"/>
      <c r="Q195" s="5"/>
      <c r="R195" s="5"/>
      <c r="S195" s="5"/>
    </row>
    <row r="196" spans="1:19" x14ac:dyDescent="0.25">
      <c r="A196" s="5"/>
      <c r="B196" s="5"/>
      <c r="C196" s="5"/>
      <c r="D196" s="5"/>
      <c r="E196" s="5"/>
      <c r="F196" s="5"/>
      <c r="G196" s="5"/>
      <c r="H196" s="5"/>
      <c r="I196" s="5"/>
      <c r="J196" s="5"/>
      <c r="K196" s="5"/>
      <c r="L196" s="5"/>
      <c r="M196" s="5"/>
      <c r="N196" s="5"/>
      <c r="O196" s="5"/>
      <c r="P196" s="5"/>
      <c r="Q196" s="5"/>
      <c r="R196" s="5"/>
      <c r="S196" s="5"/>
    </row>
    <row r="197" spans="1:19" x14ac:dyDescent="0.25">
      <c r="A197" s="5"/>
      <c r="B197" s="5"/>
      <c r="C197" s="5"/>
      <c r="D197" s="5"/>
      <c r="E197" s="5"/>
      <c r="F197" s="5"/>
      <c r="G197" s="5"/>
      <c r="H197" s="5"/>
      <c r="I197" s="5"/>
      <c r="J197" s="5"/>
      <c r="K197" s="5"/>
      <c r="L197" s="5"/>
      <c r="M197" s="5"/>
      <c r="N197" s="5"/>
      <c r="O197" s="5"/>
      <c r="P197" s="5"/>
      <c r="Q197" s="5"/>
      <c r="R197" s="5"/>
      <c r="S197" s="5"/>
    </row>
    <row r="198" spans="1:19" x14ac:dyDescent="0.25">
      <c r="A198" s="5"/>
      <c r="B198" s="5"/>
      <c r="C198" s="5"/>
      <c r="D198" s="5"/>
      <c r="E198" s="5"/>
      <c r="F198" s="5"/>
      <c r="G198" s="5"/>
      <c r="H198" s="5"/>
      <c r="I198" s="5"/>
      <c r="J198" s="5"/>
      <c r="K198" s="5"/>
      <c r="L198" s="5"/>
      <c r="M198" s="5"/>
      <c r="N198" s="5"/>
      <c r="O198" s="5"/>
      <c r="P198" s="5"/>
      <c r="Q198" s="5"/>
      <c r="R198" s="5"/>
      <c r="S198" s="5"/>
    </row>
    <row r="199" spans="1:19" x14ac:dyDescent="0.25">
      <c r="A199" s="5"/>
      <c r="B199" s="5"/>
      <c r="C199" s="5"/>
      <c r="D199" s="5"/>
      <c r="E199" s="5"/>
      <c r="F199" s="5"/>
      <c r="G199" s="5"/>
      <c r="H199" s="5"/>
      <c r="I199" s="5"/>
      <c r="J199" s="5"/>
      <c r="K199" s="5"/>
      <c r="L199" s="5"/>
      <c r="M199" s="5"/>
      <c r="N199" s="5"/>
      <c r="O199" s="5"/>
      <c r="P199" s="5"/>
      <c r="Q199" s="5"/>
      <c r="R199" s="5"/>
      <c r="S199" s="5"/>
    </row>
    <row r="200" spans="1:19" x14ac:dyDescent="0.25">
      <c r="A200" s="5"/>
      <c r="B200" s="5"/>
      <c r="C200" s="5"/>
      <c r="D200" s="5"/>
      <c r="E200" s="5"/>
      <c r="F200" s="5"/>
      <c r="G200" s="5"/>
      <c r="H200" s="5"/>
      <c r="I200" s="5"/>
      <c r="J200" s="5"/>
      <c r="K200" s="5"/>
      <c r="L200" s="5"/>
      <c r="M200" s="5"/>
      <c r="N200" s="5"/>
      <c r="O200" s="5"/>
      <c r="P200" s="5"/>
      <c r="Q200" s="5"/>
      <c r="R200" s="5"/>
      <c r="S200" s="5"/>
    </row>
    <row r="201" spans="1:19" x14ac:dyDescent="0.25">
      <c r="A201" s="5"/>
      <c r="B201" s="5"/>
      <c r="C201" s="5"/>
      <c r="D201" s="5"/>
      <c r="E201" s="5"/>
      <c r="F201" s="5"/>
      <c r="G201" s="5"/>
      <c r="H201" s="5"/>
      <c r="I201" s="5"/>
      <c r="J201" s="5"/>
      <c r="K201" s="5"/>
      <c r="L201" s="5"/>
      <c r="M201" s="5"/>
      <c r="N201" s="5"/>
      <c r="O201" s="5"/>
      <c r="P201" s="5"/>
      <c r="Q201" s="5"/>
      <c r="R201" s="5"/>
      <c r="S201" s="5"/>
    </row>
    <row r="202" spans="1:19" x14ac:dyDescent="0.25">
      <c r="A202" s="5"/>
      <c r="B202" s="5"/>
      <c r="C202" s="5"/>
      <c r="D202" s="5"/>
      <c r="E202" s="5"/>
      <c r="F202" s="5"/>
      <c r="G202" s="5"/>
      <c r="H202" s="5"/>
      <c r="I202" s="5"/>
      <c r="J202" s="5"/>
      <c r="K202" s="5"/>
      <c r="L202" s="5"/>
      <c r="M202" s="5"/>
      <c r="N202" s="5"/>
      <c r="O202" s="5"/>
      <c r="P202" s="5"/>
      <c r="Q202" s="5"/>
      <c r="R202" s="5"/>
      <c r="S202" s="5"/>
    </row>
    <row r="203" spans="1:19" x14ac:dyDescent="0.25">
      <c r="A203" s="5"/>
      <c r="B203" s="5"/>
      <c r="C203" s="5"/>
      <c r="D203" s="5"/>
      <c r="E203" s="5"/>
      <c r="F203" s="5"/>
      <c r="G203" s="5"/>
      <c r="H203" s="5"/>
      <c r="I203" s="5"/>
      <c r="J203" s="5"/>
      <c r="K203" s="5"/>
      <c r="L203" s="5"/>
      <c r="M203" s="5"/>
      <c r="N203" s="5"/>
      <c r="O203" s="5"/>
      <c r="P203" s="5"/>
      <c r="Q203" s="5"/>
      <c r="R203" s="5"/>
      <c r="S203" s="5"/>
    </row>
    <row r="204" spans="1:19" x14ac:dyDescent="0.25">
      <c r="A204" s="5"/>
      <c r="B204" s="5"/>
      <c r="C204" s="5"/>
      <c r="D204" s="5"/>
      <c r="E204" s="5"/>
      <c r="F204" s="5"/>
      <c r="G204" s="5"/>
      <c r="H204" s="5"/>
      <c r="I204" s="5"/>
      <c r="J204" s="5"/>
      <c r="K204" s="5"/>
      <c r="L204" s="5"/>
      <c r="M204" s="5"/>
      <c r="N204" s="5"/>
      <c r="O204" s="5"/>
      <c r="P204" s="5"/>
      <c r="Q204" s="5"/>
      <c r="R204" s="5"/>
      <c r="S204" s="5"/>
    </row>
    <row r="205" spans="1:19" x14ac:dyDescent="0.25">
      <c r="A205" s="5"/>
      <c r="B205" s="5"/>
      <c r="C205" s="5"/>
      <c r="D205" s="5"/>
      <c r="E205" s="5"/>
      <c r="F205" s="5"/>
      <c r="G205" s="5"/>
      <c r="H205" s="5"/>
      <c r="I205" s="5"/>
      <c r="J205" s="5"/>
      <c r="K205" s="5"/>
      <c r="L205" s="5"/>
      <c r="M205" s="5"/>
      <c r="N205" s="5"/>
      <c r="O205" s="5"/>
      <c r="P205" s="5"/>
      <c r="Q205" s="5"/>
      <c r="R205" s="5"/>
      <c r="S205" s="5"/>
    </row>
    <row r="206" spans="1:19" x14ac:dyDescent="0.25">
      <c r="A206" s="5"/>
      <c r="B206" s="5"/>
      <c r="C206" s="5"/>
      <c r="D206" s="5"/>
      <c r="E206" s="5"/>
      <c r="F206" s="5"/>
      <c r="G206" s="5"/>
      <c r="H206" s="5"/>
      <c r="I206" s="5"/>
      <c r="J206" s="5"/>
      <c r="K206" s="5"/>
      <c r="L206" s="5"/>
      <c r="M206" s="5"/>
      <c r="N206" s="5"/>
      <c r="O206" s="5"/>
      <c r="P206" s="5"/>
      <c r="Q206" s="5"/>
      <c r="R206" s="5"/>
      <c r="S206" s="5"/>
    </row>
    <row r="207" spans="1:19" x14ac:dyDescent="0.25">
      <c r="A207" s="5"/>
      <c r="B207" s="5"/>
      <c r="C207" s="5"/>
      <c r="D207" s="5"/>
      <c r="E207" s="5"/>
      <c r="F207" s="5"/>
      <c r="G207" s="5"/>
      <c r="H207" s="5"/>
      <c r="I207" s="5"/>
      <c r="J207" s="5"/>
      <c r="K207" s="5"/>
      <c r="L207" s="5"/>
      <c r="M207" s="5"/>
      <c r="N207" s="5"/>
      <c r="O207" s="5"/>
      <c r="P207" s="5"/>
      <c r="Q207" s="5"/>
      <c r="R207" s="5"/>
      <c r="S207" s="5"/>
    </row>
    <row r="208" spans="1:19" x14ac:dyDescent="0.25">
      <c r="A208" s="5"/>
      <c r="B208" s="5"/>
      <c r="C208" s="5"/>
      <c r="D208" s="5"/>
      <c r="E208" s="5"/>
      <c r="F208" s="5"/>
      <c r="G208" s="5"/>
      <c r="H208" s="5"/>
      <c r="I208" s="5"/>
      <c r="J208" s="5"/>
      <c r="K208" s="5"/>
      <c r="L208" s="5"/>
      <c r="M208" s="5"/>
      <c r="N208" s="5"/>
      <c r="O208" s="5"/>
      <c r="P208" s="5"/>
      <c r="Q208" s="5"/>
      <c r="R208" s="5"/>
      <c r="S208" s="5"/>
    </row>
    <row r="209" spans="1:19" x14ac:dyDescent="0.25">
      <c r="A209" s="5"/>
      <c r="B209" s="5"/>
      <c r="C209" s="5"/>
      <c r="D209" s="5"/>
      <c r="E209" s="5"/>
      <c r="F209" s="5"/>
      <c r="G209" s="5"/>
      <c r="H209" s="5"/>
      <c r="I209" s="5"/>
      <c r="J209" s="5"/>
      <c r="K209" s="5"/>
      <c r="L209" s="5"/>
      <c r="M209" s="5"/>
      <c r="N209" s="5"/>
      <c r="O209" s="5"/>
      <c r="P209" s="5"/>
      <c r="Q209" s="5"/>
      <c r="R209" s="5"/>
      <c r="S209" s="5"/>
    </row>
    <row r="210" spans="1:19" x14ac:dyDescent="0.25">
      <c r="A210" s="5"/>
      <c r="B210" s="5"/>
      <c r="C210" s="5"/>
      <c r="D210" s="5"/>
      <c r="E210" s="5"/>
      <c r="F210" s="5"/>
      <c r="G210" s="5"/>
      <c r="H210" s="5"/>
      <c r="I210" s="5"/>
      <c r="J210" s="5"/>
      <c r="K210" s="5"/>
      <c r="L210" s="5"/>
      <c r="M210" s="5"/>
      <c r="N210" s="5"/>
      <c r="O210" s="5"/>
      <c r="P210" s="5"/>
      <c r="Q210" s="5"/>
      <c r="R210" s="5"/>
      <c r="S210" s="5"/>
    </row>
    <row r="211" spans="1:19" x14ac:dyDescent="0.25">
      <c r="A211" s="5"/>
      <c r="B211" s="5"/>
      <c r="C211" s="5"/>
      <c r="D211" s="5"/>
      <c r="E211" s="5"/>
      <c r="F211" s="5"/>
      <c r="G211" s="5"/>
      <c r="H211" s="5"/>
      <c r="I211" s="5"/>
      <c r="J211" s="5"/>
      <c r="K211" s="5"/>
      <c r="L211" s="5"/>
      <c r="M211" s="5"/>
      <c r="N211" s="5"/>
      <c r="O211" s="5"/>
      <c r="P211" s="5"/>
      <c r="Q211" s="5"/>
      <c r="R211" s="5"/>
      <c r="S211" s="5"/>
    </row>
    <row r="212" spans="1:19" x14ac:dyDescent="0.25">
      <c r="A212" s="5"/>
      <c r="B212" s="5"/>
      <c r="C212" s="5"/>
      <c r="D212" s="5"/>
      <c r="E212" s="5"/>
      <c r="F212" s="5"/>
      <c r="G212" s="5"/>
      <c r="H212" s="5"/>
      <c r="I212" s="5"/>
      <c r="J212" s="5"/>
      <c r="K212" s="5"/>
      <c r="L212" s="5"/>
      <c r="M212" s="5"/>
      <c r="N212" s="5"/>
      <c r="O212" s="5"/>
      <c r="P212" s="5"/>
      <c r="Q212" s="5"/>
      <c r="R212" s="5"/>
      <c r="S212" s="5"/>
    </row>
    <row r="213" spans="1:19" x14ac:dyDescent="0.25">
      <c r="A213" s="5"/>
      <c r="B213" s="5"/>
      <c r="C213" s="5"/>
      <c r="D213" s="5"/>
      <c r="E213" s="5"/>
      <c r="F213" s="5"/>
      <c r="G213" s="5"/>
      <c r="H213" s="5"/>
      <c r="I213" s="5"/>
      <c r="J213" s="5"/>
      <c r="K213" s="5"/>
      <c r="L213" s="5"/>
      <c r="M213" s="5"/>
      <c r="N213" s="5"/>
      <c r="O213" s="5"/>
      <c r="P213" s="5"/>
      <c r="Q213" s="5"/>
      <c r="R213" s="5"/>
      <c r="S213" s="5"/>
    </row>
    <row r="214" spans="1:19" x14ac:dyDescent="0.25">
      <c r="A214" s="5"/>
      <c r="B214" s="5"/>
      <c r="C214" s="5"/>
      <c r="D214" s="5"/>
      <c r="E214" s="5"/>
      <c r="F214" s="5"/>
      <c r="G214" s="5"/>
      <c r="H214" s="5"/>
      <c r="I214" s="5"/>
      <c r="J214" s="5"/>
      <c r="K214" s="5"/>
      <c r="L214" s="5"/>
      <c r="M214" s="5"/>
      <c r="N214" s="5"/>
      <c r="O214" s="5"/>
      <c r="P214" s="5"/>
      <c r="Q214" s="5"/>
      <c r="R214" s="5"/>
      <c r="S214" s="5"/>
    </row>
    <row r="215" spans="1:19" x14ac:dyDescent="0.25">
      <c r="A215" s="5"/>
      <c r="B215" s="5"/>
      <c r="C215" s="5"/>
      <c r="D215" s="5"/>
      <c r="E215" s="5"/>
      <c r="F215" s="5"/>
      <c r="G215" s="5"/>
      <c r="H215" s="5"/>
      <c r="I215" s="5"/>
      <c r="J215" s="5"/>
      <c r="K215" s="5"/>
      <c r="L215" s="5"/>
      <c r="M215" s="5"/>
      <c r="N215" s="5"/>
      <c r="O215" s="5"/>
      <c r="P215" s="5"/>
      <c r="Q215" s="5"/>
      <c r="R215" s="5"/>
      <c r="S215" s="5"/>
    </row>
    <row r="216" spans="1:19" x14ac:dyDescent="0.25">
      <c r="A216" s="5"/>
      <c r="B216" s="5"/>
      <c r="C216" s="5"/>
      <c r="D216" s="5"/>
      <c r="E216" s="5"/>
      <c r="F216" s="5"/>
      <c r="G216" s="5"/>
      <c r="H216" s="5"/>
      <c r="I216" s="5"/>
      <c r="J216" s="5"/>
      <c r="K216" s="5"/>
      <c r="L216" s="5"/>
      <c r="M216" s="5"/>
      <c r="N216" s="5"/>
      <c r="O216" s="5"/>
      <c r="P216" s="5"/>
      <c r="Q216" s="5"/>
      <c r="R216" s="5"/>
      <c r="S216" s="5"/>
    </row>
    <row r="217" spans="1:19" x14ac:dyDescent="0.25">
      <c r="A217" s="5"/>
      <c r="B217" s="5"/>
      <c r="C217" s="5"/>
      <c r="D217" s="5"/>
      <c r="E217" s="5"/>
      <c r="F217" s="5"/>
      <c r="G217" s="5"/>
      <c r="H217" s="5"/>
      <c r="I217" s="5"/>
      <c r="J217" s="5"/>
      <c r="K217" s="5"/>
      <c r="L217" s="5"/>
      <c r="M217" s="5"/>
      <c r="N217" s="5"/>
      <c r="O217" s="5"/>
      <c r="P217" s="5"/>
      <c r="Q217" s="5"/>
      <c r="R217" s="5"/>
      <c r="S217" s="5"/>
    </row>
    <row r="218" spans="1:19" x14ac:dyDescent="0.25">
      <c r="A218" s="5"/>
      <c r="B218" s="5"/>
      <c r="C218" s="5"/>
      <c r="D218" s="5"/>
      <c r="E218" s="5"/>
      <c r="F218" s="5"/>
      <c r="G218" s="5"/>
      <c r="H218" s="5"/>
      <c r="I218" s="5"/>
      <c r="J218" s="5"/>
      <c r="K218" s="5"/>
      <c r="L218" s="5"/>
      <c r="M218" s="5"/>
      <c r="N218" s="5"/>
      <c r="O218" s="5"/>
      <c r="P218" s="5"/>
      <c r="Q218" s="5"/>
      <c r="R218" s="5"/>
      <c r="S218" s="5"/>
    </row>
    <row r="219" spans="1:19" x14ac:dyDescent="0.25">
      <c r="A219" s="5"/>
      <c r="B219" s="5"/>
      <c r="C219" s="5"/>
      <c r="D219" s="5"/>
      <c r="E219" s="5"/>
      <c r="F219" s="5"/>
      <c r="G219" s="5"/>
      <c r="H219" s="5"/>
      <c r="I219" s="5"/>
      <c r="J219" s="5"/>
      <c r="K219" s="5"/>
      <c r="L219" s="5"/>
      <c r="M219" s="5"/>
      <c r="N219" s="5"/>
      <c r="O219" s="5"/>
      <c r="P219" s="5"/>
      <c r="Q219" s="5"/>
      <c r="R219" s="5"/>
      <c r="S219" s="5"/>
    </row>
    <row r="220" spans="1:19" x14ac:dyDescent="0.25">
      <c r="A220" s="5"/>
      <c r="B220" s="5"/>
      <c r="C220" s="5"/>
      <c r="D220" s="5"/>
      <c r="E220" s="5"/>
      <c r="F220" s="5"/>
      <c r="G220" s="5"/>
      <c r="H220" s="5"/>
      <c r="I220" s="5"/>
      <c r="J220" s="5"/>
      <c r="K220" s="5"/>
      <c r="L220" s="5"/>
      <c r="M220" s="5"/>
      <c r="N220" s="5"/>
      <c r="O220" s="5"/>
      <c r="P220" s="5"/>
      <c r="Q220" s="5"/>
      <c r="R220" s="5"/>
      <c r="S220" s="5"/>
    </row>
    <row r="221" spans="1:19" x14ac:dyDescent="0.25">
      <c r="A221" s="5"/>
      <c r="B221" s="5"/>
      <c r="C221" s="5"/>
      <c r="D221" s="5"/>
      <c r="E221" s="5"/>
      <c r="F221" s="5"/>
      <c r="G221" s="5"/>
      <c r="H221" s="5"/>
      <c r="I221" s="5"/>
      <c r="J221" s="5"/>
      <c r="K221" s="5"/>
      <c r="L221" s="5"/>
      <c r="M221" s="5"/>
      <c r="N221" s="5"/>
      <c r="O221" s="5"/>
      <c r="P221" s="5"/>
      <c r="Q221" s="5"/>
      <c r="R221" s="5"/>
      <c r="S221" s="5"/>
    </row>
    <row r="222" spans="1:19" x14ac:dyDescent="0.25">
      <c r="A222" s="5"/>
      <c r="B222" s="5"/>
      <c r="C222" s="5"/>
      <c r="D222" s="5"/>
      <c r="E222" s="5"/>
      <c r="F222" s="5"/>
      <c r="G222" s="5"/>
      <c r="H222" s="5"/>
      <c r="I222" s="5"/>
      <c r="J222" s="5"/>
      <c r="K222" s="5"/>
      <c r="L222" s="5"/>
      <c r="M222" s="5"/>
      <c r="N222" s="5"/>
      <c r="O222" s="5"/>
      <c r="P222" s="5"/>
      <c r="Q222" s="5"/>
      <c r="R222" s="5"/>
      <c r="S222" s="5"/>
    </row>
    <row r="223" spans="1:19" x14ac:dyDescent="0.25">
      <c r="A223" s="5"/>
      <c r="B223" s="5"/>
      <c r="C223" s="5"/>
      <c r="D223" s="5"/>
      <c r="E223" s="5"/>
      <c r="F223" s="5"/>
      <c r="G223" s="5"/>
      <c r="H223" s="5"/>
      <c r="I223" s="5"/>
      <c r="J223" s="5"/>
      <c r="K223" s="5"/>
      <c r="L223" s="5"/>
      <c r="M223" s="5"/>
      <c r="N223" s="5"/>
      <c r="O223" s="5"/>
      <c r="P223" s="5"/>
      <c r="Q223" s="5"/>
      <c r="R223" s="5"/>
      <c r="S223" s="5"/>
    </row>
    <row r="224" spans="1:19" x14ac:dyDescent="0.25">
      <c r="A224" s="5"/>
      <c r="B224" s="5"/>
      <c r="C224" s="5"/>
      <c r="D224" s="5"/>
      <c r="E224" s="5"/>
      <c r="F224" s="5"/>
      <c r="G224" s="5"/>
      <c r="H224" s="5"/>
      <c r="I224" s="5"/>
      <c r="J224" s="5"/>
      <c r="K224" s="5"/>
      <c r="L224" s="5"/>
      <c r="M224" s="5"/>
      <c r="N224" s="5"/>
      <c r="O224" s="5"/>
      <c r="P224" s="5"/>
      <c r="Q224" s="5"/>
      <c r="R224" s="5"/>
      <c r="S224" s="5"/>
    </row>
    <row r="225" spans="1:19" x14ac:dyDescent="0.25">
      <c r="A225" s="5"/>
      <c r="B225" s="5"/>
      <c r="C225" s="5"/>
      <c r="D225" s="5"/>
      <c r="E225" s="5"/>
      <c r="F225" s="5"/>
      <c r="G225" s="5"/>
      <c r="H225" s="5"/>
      <c r="I225" s="5"/>
      <c r="J225" s="5"/>
      <c r="K225" s="5"/>
      <c r="L225" s="5"/>
      <c r="M225" s="5"/>
      <c r="N225" s="5"/>
      <c r="O225" s="5"/>
      <c r="P225" s="5"/>
      <c r="Q225" s="5"/>
      <c r="R225" s="5"/>
      <c r="S225" s="5"/>
    </row>
    <row r="226" spans="1:19" x14ac:dyDescent="0.25">
      <c r="A226" s="5"/>
      <c r="B226" s="5"/>
      <c r="C226" s="5"/>
      <c r="D226" s="5"/>
      <c r="E226" s="5"/>
      <c r="F226" s="5"/>
      <c r="G226" s="5"/>
      <c r="H226" s="5"/>
      <c r="I226" s="5"/>
      <c r="J226" s="5"/>
      <c r="K226" s="5"/>
      <c r="L226" s="5"/>
      <c r="M226" s="5"/>
      <c r="N226" s="5"/>
      <c r="O226" s="5"/>
      <c r="P226" s="5"/>
      <c r="Q226" s="5"/>
      <c r="R226" s="5"/>
      <c r="S226" s="5"/>
    </row>
    <row r="227" spans="1:19" x14ac:dyDescent="0.25">
      <c r="A227" s="5"/>
      <c r="B227" s="5"/>
      <c r="C227" s="5"/>
      <c r="D227" s="5"/>
      <c r="E227" s="5"/>
      <c r="F227" s="5"/>
      <c r="G227" s="5"/>
      <c r="H227" s="5"/>
      <c r="I227" s="5"/>
      <c r="J227" s="5"/>
      <c r="K227" s="5"/>
      <c r="L227" s="5"/>
      <c r="M227" s="5"/>
      <c r="N227" s="5"/>
      <c r="O227" s="5"/>
      <c r="P227" s="5"/>
      <c r="Q227" s="5"/>
      <c r="R227" s="5"/>
      <c r="S227" s="5"/>
    </row>
    <row r="228" spans="1:19" x14ac:dyDescent="0.25">
      <c r="A228" s="5"/>
      <c r="B228" s="5"/>
      <c r="C228" s="5"/>
      <c r="D228" s="5"/>
      <c r="E228" s="5"/>
      <c r="F228" s="5"/>
      <c r="G228" s="5"/>
      <c r="H228" s="5"/>
      <c r="I228" s="5"/>
      <c r="J228" s="5"/>
      <c r="K228" s="5"/>
      <c r="L228" s="5"/>
      <c r="M228" s="5"/>
      <c r="N228" s="5"/>
      <c r="O228" s="5"/>
      <c r="P228" s="5"/>
      <c r="Q228" s="5"/>
      <c r="R228" s="5"/>
      <c r="S228" s="5"/>
    </row>
    <row r="229" spans="1:19" x14ac:dyDescent="0.25">
      <c r="A229" s="5"/>
      <c r="B229" s="5"/>
      <c r="C229" s="5"/>
      <c r="D229" s="5"/>
      <c r="E229" s="5"/>
      <c r="F229" s="5"/>
      <c r="G229" s="5"/>
      <c r="H229" s="5"/>
      <c r="I229" s="5"/>
      <c r="J229" s="5"/>
      <c r="K229" s="5"/>
      <c r="L229" s="5"/>
      <c r="M229" s="5"/>
      <c r="N229" s="5"/>
      <c r="O229" s="5"/>
      <c r="P229" s="5"/>
      <c r="Q229" s="5"/>
      <c r="R229" s="5"/>
      <c r="S229" s="5"/>
    </row>
    <row r="230" spans="1:19" x14ac:dyDescent="0.25">
      <c r="A230" s="5"/>
      <c r="B230" s="5"/>
      <c r="C230" s="5"/>
      <c r="D230" s="5"/>
      <c r="E230" s="5"/>
      <c r="F230" s="5"/>
      <c r="G230" s="5"/>
      <c r="H230" s="5"/>
      <c r="I230" s="5"/>
      <c r="J230" s="5"/>
      <c r="K230" s="5"/>
      <c r="L230" s="5"/>
      <c r="M230" s="5"/>
      <c r="N230" s="5"/>
      <c r="O230" s="5"/>
      <c r="P230" s="5"/>
      <c r="Q230" s="5"/>
      <c r="R230" s="5"/>
      <c r="S230" s="5"/>
    </row>
    <row r="231" spans="1:19" x14ac:dyDescent="0.25">
      <c r="A231" s="5"/>
      <c r="B231" s="5"/>
      <c r="C231" s="5"/>
      <c r="D231" s="5"/>
      <c r="E231" s="5"/>
      <c r="F231" s="5"/>
      <c r="G231" s="5"/>
      <c r="H231" s="5"/>
      <c r="I231" s="5"/>
      <c r="J231" s="5"/>
      <c r="K231" s="5"/>
      <c r="L231" s="5"/>
      <c r="M231" s="5"/>
      <c r="N231" s="5"/>
      <c r="O231" s="5"/>
      <c r="P231" s="5"/>
      <c r="Q231" s="5"/>
      <c r="R231" s="5"/>
      <c r="S231" s="5"/>
    </row>
    <row r="232" spans="1:19" x14ac:dyDescent="0.25">
      <c r="A232" s="5"/>
      <c r="B232" s="5"/>
      <c r="C232" s="5"/>
      <c r="D232" s="5"/>
      <c r="E232" s="5"/>
      <c r="F232" s="5"/>
      <c r="G232" s="5"/>
      <c r="H232" s="5"/>
      <c r="I232" s="5"/>
      <c r="J232" s="5"/>
      <c r="K232" s="5"/>
      <c r="L232" s="5"/>
      <c r="M232" s="5"/>
      <c r="N232" s="5"/>
      <c r="O232" s="5"/>
      <c r="P232" s="5"/>
      <c r="Q232" s="5"/>
      <c r="R232" s="5"/>
      <c r="S232" s="5"/>
    </row>
    <row r="233" spans="1:19" x14ac:dyDescent="0.25">
      <c r="A233" s="5"/>
      <c r="B233" s="5"/>
      <c r="C233" s="5"/>
      <c r="D233" s="5"/>
      <c r="E233" s="5"/>
      <c r="F233" s="5"/>
      <c r="G233" s="5"/>
      <c r="H233" s="5"/>
      <c r="I233" s="5"/>
      <c r="J233" s="5"/>
      <c r="K233" s="5"/>
      <c r="L233" s="5"/>
      <c r="M233" s="5"/>
      <c r="N233" s="5"/>
      <c r="O233" s="5"/>
      <c r="P233" s="5"/>
      <c r="Q233" s="5"/>
      <c r="R233" s="5"/>
      <c r="S233" s="5"/>
    </row>
    <row r="234" spans="1:19" x14ac:dyDescent="0.25">
      <c r="A234" s="5"/>
      <c r="B234" s="5"/>
      <c r="C234" s="5"/>
      <c r="D234" s="5"/>
      <c r="E234" s="5"/>
      <c r="F234" s="5"/>
      <c r="G234" s="5"/>
      <c r="H234" s="5"/>
      <c r="I234" s="5"/>
      <c r="J234" s="5"/>
      <c r="K234" s="5"/>
      <c r="L234" s="5"/>
      <c r="M234" s="5"/>
      <c r="N234" s="5"/>
      <c r="O234" s="5"/>
      <c r="P234" s="5"/>
      <c r="Q234" s="5"/>
      <c r="R234" s="5"/>
      <c r="S234" s="5"/>
    </row>
    <row r="235" spans="1:19" x14ac:dyDescent="0.25">
      <c r="A235" s="5"/>
      <c r="B235" s="5"/>
      <c r="C235" s="5"/>
      <c r="D235" s="5"/>
      <c r="E235" s="5"/>
      <c r="F235" s="5"/>
      <c r="G235" s="5"/>
      <c r="H235" s="5"/>
      <c r="I235" s="5"/>
      <c r="J235" s="5"/>
      <c r="K235" s="5"/>
      <c r="L235" s="5"/>
      <c r="M235" s="5"/>
      <c r="N235" s="5"/>
      <c r="O235" s="5"/>
      <c r="P235" s="5"/>
      <c r="Q235" s="5"/>
      <c r="R235" s="5"/>
      <c r="S235" s="5"/>
    </row>
    <row r="236" spans="1:19" x14ac:dyDescent="0.25">
      <c r="A236" s="5"/>
      <c r="B236" s="5"/>
      <c r="C236" s="5"/>
      <c r="D236" s="5"/>
      <c r="E236" s="5"/>
      <c r="F236" s="5"/>
      <c r="G236" s="5"/>
      <c r="H236" s="5"/>
      <c r="I236" s="5"/>
      <c r="J236" s="5"/>
      <c r="K236" s="5"/>
      <c r="L236" s="5"/>
      <c r="M236" s="5"/>
      <c r="N236" s="5"/>
      <c r="O236" s="5"/>
      <c r="P236" s="5"/>
      <c r="Q236" s="5"/>
      <c r="R236" s="5"/>
      <c r="S236" s="5"/>
    </row>
    <row r="237" spans="1:19" x14ac:dyDescent="0.25">
      <c r="A237" s="5"/>
      <c r="B237" s="5"/>
      <c r="C237" s="5"/>
      <c r="D237" s="5"/>
      <c r="E237" s="5"/>
      <c r="F237" s="5"/>
      <c r="G237" s="5"/>
      <c r="H237" s="5"/>
      <c r="I237" s="5"/>
      <c r="J237" s="5"/>
      <c r="K237" s="5"/>
      <c r="L237" s="5"/>
      <c r="M237" s="5"/>
      <c r="N237" s="5"/>
      <c r="O237" s="5"/>
      <c r="P237" s="5"/>
      <c r="Q237" s="5"/>
      <c r="R237" s="5"/>
      <c r="S237" s="5"/>
    </row>
    <row r="238" spans="1:19" x14ac:dyDescent="0.25">
      <c r="A238" s="5"/>
      <c r="B238" s="5"/>
      <c r="C238" s="5"/>
      <c r="D238" s="5"/>
      <c r="E238" s="5"/>
      <c r="F238" s="5"/>
      <c r="G238" s="5"/>
      <c r="H238" s="5"/>
      <c r="I238" s="5"/>
      <c r="J238" s="5"/>
      <c r="K238" s="5"/>
      <c r="L238" s="5"/>
      <c r="M238" s="5"/>
      <c r="N238" s="5"/>
      <c r="O238" s="5"/>
      <c r="P238" s="5"/>
      <c r="Q238" s="5"/>
      <c r="R238" s="5"/>
      <c r="S238" s="5"/>
    </row>
    <row r="239" spans="1:19" x14ac:dyDescent="0.25">
      <c r="A239" s="5"/>
      <c r="B239" s="5"/>
      <c r="C239" s="5"/>
      <c r="D239" s="5"/>
      <c r="E239" s="5"/>
      <c r="F239" s="5"/>
      <c r="G239" s="5"/>
      <c r="H239" s="5"/>
      <c r="I239" s="5"/>
      <c r="J239" s="5"/>
      <c r="K239" s="5"/>
      <c r="L239" s="5"/>
      <c r="M239" s="5"/>
      <c r="N239" s="5"/>
      <c r="O239" s="5"/>
      <c r="P239" s="5"/>
      <c r="Q239" s="5"/>
      <c r="R239" s="5"/>
      <c r="S239" s="5"/>
    </row>
    <row r="240" spans="1:19" x14ac:dyDescent="0.25">
      <c r="A240" s="5"/>
      <c r="B240" s="5"/>
      <c r="C240" s="5"/>
      <c r="D240" s="5"/>
      <c r="E240" s="5"/>
      <c r="F240" s="5"/>
      <c r="G240" s="5"/>
      <c r="H240" s="5"/>
      <c r="I240" s="5"/>
      <c r="J240" s="5"/>
      <c r="K240" s="5"/>
      <c r="L240" s="5"/>
      <c r="M240" s="5"/>
      <c r="N240" s="5"/>
      <c r="O240" s="5"/>
      <c r="P240" s="5"/>
      <c r="Q240" s="5"/>
      <c r="R240" s="5"/>
      <c r="S240" s="5"/>
    </row>
    <row r="241" spans="1:19" x14ac:dyDescent="0.25">
      <c r="A241" s="5"/>
      <c r="B241" s="5"/>
      <c r="C241" s="5"/>
      <c r="D241" s="5"/>
      <c r="E241" s="5"/>
      <c r="F241" s="5"/>
      <c r="G241" s="5"/>
      <c r="H241" s="5"/>
      <c r="I241" s="5"/>
      <c r="J241" s="5"/>
      <c r="K241" s="5"/>
      <c r="L241" s="5"/>
      <c r="M241" s="5"/>
      <c r="N241" s="5"/>
      <c r="O241" s="5"/>
      <c r="P241" s="5"/>
      <c r="Q241" s="5"/>
      <c r="R241" s="5"/>
      <c r="S241" s="5"/>
    </row>
    <row r="242" spans="1:19" x14ac:dyDescent="0.25">
      <c r="A242" s="5"/>
      <c r="B242" s="5"/>
      <c r="C242" s="5"/>
      <c r="D242" s="5"/>
      <c r="E242" s="5"/>
      <c r="F242" s="5"/>
      <c r="G242" s="5"/>
      <c r="H242" s="5"/>
      <c r="I242" s="5"/>
      <c r="J242" s="5"/>
      <c r="K242" s="5"/>
      <c r="L242" s="5"/>
      <c r="M242" s="5"/>
      <c r="N242" s="5"/>
      <c r="O242" s="5"/>
      <c r="P242" s="5"/>
      <c r="Q242" s="5"/>
      <c r="R242" s="5"/>
      <c r="S242" s="5"/>
    </row>
    <row r="243" spans="1:19" x14ac:dyDescent="0.25">
      <c r="A243" s="5"/>
      <c r="B243" s="5"/>
      <c r="C243" s="5"/>
      <c r="D243" s="5"/>
      <c r="E243" s="5"/>
      <c r="F243" s="5"/>
      <c r="G243" s="5"/>
      <c r="H243" s="5"/>
      <c r="I243" s="5"/>
      <c r="J243" s="5"/>
      <c r="K243" s="5"/>
      <c r="L243" s="5"/>
      <c r="M243" s="5"/>
      <c r="N243" s="5"/>
      <c r="O243" s="5"/>
      <c r="P243" s="5"/>
      <c r="Q243" s="5"/>
      <c r="R243" s="5"/>
      <c r="S243" s="5"/>
    </row>
    <row r="244" spans="1:19" x14ac:dyDescent="0.25">
      <c r="A244" s="5"/>
      <c r="B244" s="5"/>
      <c r="C244" s="5"/>
      <c r="D244" s="5"/>
      <c r="E244" s="5"/>
      <c r="F244" s="5"/>
      <c r="G244" s="5"/>
      <c r="H244" s="5"/>
      <c r="I244" s="5"/>
      <c r="J244" s="5"/>
      <c r="K244" s="5"/>
      <c r="L244" s="5"/>
      <c r="M244" s="5"/>
      <c r="N244" s="5"/>
      <c r="O244" s="5"/>
      <c r="P244" s="5"/>
      <c r="Q244" s="5"/>
      <c r="R244" s="5"/>
      <c r="S244" s="5"/>
    </row>
    <row r="245" spans="1:19" x14ac:dyDescent="0.25">
      <c r="A245" s="5"/>
      <c r="B245" s="5"/>
      <c r="C245" s="5"/>
      <c r="D245" s="5"/>
      <c r="E245" s="5"/>
      <c r="F245" s="5"/>
      <c r="G245" s="5"/>
      <c r="H245" s="5"/>
      <c r="I245" s="5"/>
      <c r="J245" s="5"/>
      <c r="K245" s="5"/>
      <c r="L245" s="5"/>
      <c r="M245" s="5"/>
      <c r="N245" s="5"/>
      <c r="O245" s="5"/>
      <c r="P245" s="5"/>
      <c r="Q245" s="5"/>
      <c r="R245" s="5"/>
      <c r="S245" s="5"/>
    </row>
    <row r="246" spans="1:19" x14ac:dyDescent="0.25">
      <c r="A246" s="5"/>
      <c r="B246" s="5"/>
      <c r="C246" s="5"/>
      <c r="D246" s="5"/>
      <c r="E246" s="5"/>
      <c r="F246" s="5"/>
      <c r="G246" s="5"/>
      <c r="H246" s="5"/>
      <c r="I246" s="5"/>
      <c r="J246" s="5"/>
      <c r="K246" s="5"/>
      <c r="L246" s="5"/>
      <c r="M246" s="5"/>
      <c r="N246" s="5"/>
      <c r="O246" s="5"/>
      <c r="P246" s="5"/>
      <c r="Q246" s="5"/>
      <c r="R246" s="5"/>
      <c r="S246" s="5"/>
    </row>
    <row r="247" spans="1:19" x14ac:dyDescent="0.25">
      <c r="A247" s="5"/>
      <c r="B247" s="5"/>
      <c r="C247" s="5"/>
      <c r="D247" s="5"/>
      <c r="E247" s="5"/>
      <c r="F247" s="5"/>
      <c r="G247" s="5"/>
      <c r="H247" s="5"/>
      <c r="I247" s="5"/>
      <c r="J247" s="5"/>
      <c r="K247" s="5"/>
      <c r="L247" s="5"/>
      <c r="M247" s="5"/>
      <c r="N247" s="5"/>
      <c r="O247" s="5"/>
      <c r="P247" s="5"/>
      <c r="Q247" s="5"/>
      <c r="R247" s="5"/>
      <c r="S247" s="5"/>
    </row>
    <row r="248" spans="1:19" x14ac:dyDescent="0.25">
      <c r="A248" s="5"/>
      <c r="B248" s="5"/>
      <c r="C248" s="5"/>
      <c r="D248" s="5"/>
      <c r="E248" s="5"/>
      <c r="F248" s="5"/>
      <c r="G248" s="5"/>
      <c r="H248" s="5"/>
      <c r="I248" s="5"/>
      <c r="J248" s="5"/>
      <c r="K248" s="5"/>
      <c r="L248" s="5"/>
      <c r="M248" s="5"/>
      <c r="N248" s="5"/>
      <c r="O248" s="5"/>
      <c r="P248" s="5"/>
      <c r="Q248" s="5"/>
      <c r="R248" s="5"/>
      <c r="S248" s="5"/>
    </row>
    <row r="249" spans="1:19" x14ac:dyDescent="0.25">
      <c r="A249" s="5"/>
      <c r="B249" s="5"/>
      <c r="C249" s="5"/>
      <c r="D249" s="5"/>
      <c r="E249" s="5"/>
      <c r="F249" s="5"/>
      <c r="G249" s="5"/>
      <c r="H249" s="5"/>
      <c r="I249" s="5"/>
      <c r="J249" s="5"/>
      <c r="K249" s="5"/>
      <c r="L249" s="5"/>
      <c r="M249" s="5"/>
      <c r="N249" s="5"/>
      <c r="O249" s="5"/>
      <c r="P249" s="5"/>
      <c r="Q249" s="5"/>
      <c r="R249" s="5"/>
      <c r="S249" s="5"/>
    </row>
    <row r="250" spans="1:19" x14ac:dyDescent="0.25">
      <c r="A250" s="5"/>
      <c r="B250" s="5"/>
      <c r="C250" s="5"/>
      <c r="D250" s="5"/>
      <c r="E250" s="5"/>
      <c r="F250" s="5"/>
      <c r="G250" s="5"/>
      <c r="H250" s="5"/>
      <c r="I250" s="5"/>
      <c r="J250" s="5"/>
      <c r="K250" s="5"/>
      <c r="L250" s="5"/>
      <c r="M250" s="5"/>
      <c r="N250" s="5"/>
      <c r="O250" s="5"/>
      <c r="P250" s="5"/>
      <c r="Q250" s="5"/>
      <c r="R250" s="5"/>
      <c r="S250" s="5"/>
    </row>
    <row r="251" spans="1:19" x14ac:dyDescent="0.25">
      <c r="A251" s="5"/>
      <c r="B251" s="5"/>
      <c r="C251" s="5"/>
      <c r="D251" s="5"/>
      <c r="E251" s="5"/>
      <c r="F251" s="5"/>
      <c r="G251" s="5"/>
      <c r="H251" s="5"/>
      <c r="I251" s="5"/>
      <c r="J251" s="5"/>
      <c r="K251" s="5"/>
      <c r="L251" s="5"/>
      <c r="M251" s="5"/>
      <c r="N251" s="5"/>
      <c r="O251" s="5"/>
      <c r="P251" s="5"/>
      <c r="Q251" s="5"/>
      <c r="R251" s="5"/>
      <c r="S251" s="5"/>
    </row>
    <row r="252" spans="1:19" x14ac:dyDescent="0.25">
      <c r="A252" s="5"/>
      <c r="B252" s="5"/>
      <c r="C252" s="5"/>
      <c r="D252" s="5"/>
      <c r="E252" s="5"/>
      <c r="F252" s="5"/>
      <c r="G252" s="5"/>
      <c r="H252" s="5"/>
      <c r="I252" s="5"/>
      <c r="J252" s="5"/>
      <c r="K252" s="5"/>
      <c r="L252" s="5"/>
      <c r="M252" s="5"/>
      <c r="N252" s="5"/>
      <c r="O252" s="5"/>
      <c r="P252" s="5"/>
      <c r="Q252" s="5"/>
      <c r="R252" s="5"/>
      <c r="S252" s="5"/>
    </row>
    <row r="253" spans="1:19" x14ac:dyDescent="0.25">
      <c r="A253" s="5"/>
      <c r="B253" s="5"/>
      <c r="C253" s="5"/>
      <c r="D253" s="5"/>
      <c r="E253" s="5"/>
      <c r="F253" s="5"/>
      <c r="G253" s="5"/>
      <c r="H253" s="5"/>
      <c r="I253" s="5"/>
      <c r="J253" s="5"/>
      <c r="K253" s="5"/>
      <c r="L253" s="5"/>
      <c r="M253" s="5"/>
      <c r="N253" s="5"/>
      <c r="O253" s="5"/>
      <c r="P253" s="5"/>
      <c r="Q253" s="5"/>
      <c r="R253" s="5"/>
      <c r="S253" s="5"/>
    </row>
    <row r="254" spans="1:19" x14ac:dyDescent="0.25">
      <c r="A254" s="5"/>
      <c r="B254" s="5"/>
      <c r="C254" s="5"/>
      <c r="D254" s="5"/>
      <c r="E254" s="5"/>
      <c r="F254" s="5"/>
      <c r="G254" s="5"/>
      <c r="H254" s="5"/>
      <c r="I254" s="5"/>
      <c r="J254" s="5"/>
      <c r="K254" s="5"/>
      <c r="L254" s="5"/>
      <c r="M254" s="5"/>
      <c r="N254" s="5"/>
      <c r="O254" s="5"/>
      <c r="P254" s="5"/>
      <c r="Q254" s="5"/>
      <c r="R254" s="5"/>
      <c r="S254" s="5"/>
    </row>
    <row r="255" spans="1:19" x14ac:dyDescent="0.25">
      <c r="A255" s="5"/>
      <c r="B255" s="5"/>
      <c r="C255" s="5"/>
      <c r="D255" s="5"/>
      <c r="E255" s="5"/>
      <c r="F255" s="5"/>
      <c r="G255" s="5"/>
      <c r="H255" s="5"/>
      <c r="I255" s="5"/>
      <c r="J255" s="5"/>
      <c r="K255" s="5"/>
      <c r="L255" s="5"/>
      <c r="M255" s="5"/>
      <c r="N255" s="5"/>
      <c r="O255" s="5"/>
      <c r="P255" s="5"/>
      <c r="Q255" s="5"/>
      <c r="R255" s="5"/>
      <c r="S255" s="5"/>
    </row>
    <row r="256" spans="1:19" x14ac:dyDescent="0.25">
      <c r="A256" s="5"/>
      <c r="B256" s="5"/>
      <c r="C256" s="5"/>
      <c r="D256" s="5"/>
      <c r="E256" s="5"/>
      <c r="F256" s="5"/>
      <c r="G256" s="5"/>
      <c r="H256" s="5"/>
      <c r="I256" s="5"/>
      <c r="J256" s="5"/>
      <c r="K256" s="5"/>
      <c r="L256" s="5"/>
      <c r="M256" s="5"/>
      <c r="N256" s="5"/>
      <c r="O256" s="5"/>
      <c r="P256" s="5"/>
      <c r="Q256" s="5"/>
      <c r="R256" s="5"/>
      <c r="S256" s="5"/>
    </row>
    <row r="257" spans="1:19" x14ac:dyDescent="0.25">
      <c r="A257" s="5"/>
      <c r="B257" s="5"/>
      <c r="C257" s="5"/>
      <c r="D257" s="5"/>
      <c r="E257" s="5"/>
      <c r="F257" s="5"/>
      <c r="G257" s="5"/>
      <c r="H257" s="5"/>
      <c r="I257" s="5"/>
      <c r="J257" s="5"/>
      <c r="K257" s="5"/>
      <c r="L257" s="5"/>
      <c r="M257" s="5"/>
      <c r="N257" s="5"/>
      <c r="O257" s="5"/>
      <c r="P257" s="5"/>
      <c r="Q257" s="5"/>
      <c r="R257" s="5"/>
      <c r="S257" s="5"/>
    </row>
    <row r="258" spans="1:19" x14ac:dyDescent="0.25">
      <c r="A258" s="5"/>
      <c r="B258" s="5"/>
      <c r="C258" s="5"/>
      <c r="D258" s="5"/>
      <c r="E258" s="5"/>
      <c r="F258" s="5"/>
      <c r="G258" s="5"/>
      <c r="H258" s="5"/>
      <c r="I258" s="5"/>
      <c r="J258" s="5"/>
      <c r="K258" s="5"/>
      <c r="L258" s="5"/>
      <c r="M258" s="5"/>
      <c r="N258" s="5"/>
      <c r="O258" s="5"/>
      <c r="P258" s="5"/>
      <c r="Q258" s="5"/>
      <c r="R258" s="5"/>
      <c r="S258" s="5"/>
    </row>
    <row r="259" spans="1:19" x14ac:dyDescent="0.25">
      <c r="A259" s="5"/>
      <c r="B259" s="5"/>
      <c r="C259" s="5"/>
      <c r="D259" s="5"/>
      <c r="E259" s="5"/>
      <c r="F259" s="5"/>
      <c r="G259" s="5"/>
      <c r="H259" s="5"/>
      <c r="I259" s="5"/>
      <c r="J259" s="5"/>
      <c r="K259" s="5"/>
      <c r="L259" s="5"/>
      <c r="M259" s="5"/>
      <c r="N259" s="5"/>
      <c r="O259" s="5"/>
      <c r="P259" s="5"/>
      <c r="Q259" s="5"/>
      <c r="R259" s="5"/>
      <c r="S259" s="5"/>
    </row>
    <row r="260" spans="1:19" x14ac:dyDescent="0.25">
      <c r="A260" s="5"/>
      <c r="B260" s="5"/>
      <c r="C260" s="5"/>
      <c r="D260" s="5"/>
      <c r="E260" s="5"/>
      <c r="F260" s="5"/>
      <c r="G260" s="5"/>
      <c r="H260" s="5"/>
      <c r="I260" s="5"/>
      <c r="J260" s="5"/>
      <c r="K260" s="5"/>
      <c r="L260" s="5"/>
      <c r="M260" s="5"/>
      <c r="N260" s="5"/>
      <c r="O260" s="5"/>
      <c r="P260" s="5"/>
      <c r="Q260" s="5"/>
      <c r="R260" s="5"/>
      <c r="S260" s="5"/>
    </row>
    <row r="261" spans="1:19" x14ac:dyDescent="0.25">
      <c r="A261" s="5"/>
      <c r="B261" s="5"/>
      <c r="C261" s="5"/>
      <c r="D261" s="5"/>
      <c r="E261" s="5"/>
      <c r="F261" s="5"/>
      <c r="G261" s="5"/>
      <c r="H261" s="5"/>
      <c r="I261" s="5"/>
      <c r="J261" s="5"/>
      <c r="K261" s="5"/>
      <c r="L261" s="5"/>
      <c r="M261" s="5"/>
      <c r="N261" s="5"/>
      <c r="O261" s="5"/>
      <c r="P261" s="5"/>
      <c r="Q261" s="5"/>
      <c r="R261" s="5"/>
      <c r="S261" s="5"/>
    </row>
    <row r="262" spans="1:19" x14ac:dyDescent="0.25">
      <c r="A262" s="5"/>
      <c r="B262" s="5"/>
      <c r="C262" s="5"/>
      <c r="D262" s="5"/>
      <c r="E262" s="5"/>
      <c r="F262" s="5"/>
      <c r="G262" s="5"/>
      <c r="H262" s="5"/>
      <c r="I262" s="5"/>
      <c r="J262" s="5"/>
      <c r="K262" s="5"/>
      <c r="L262" s="5"/>
      <c r="M262" s="5"/>
      <c r="N262" s="5"/>
      <c r="O262" s="5"/>
      <c r="P262" s="5"/>
      <c r="Q262" s="5"/>
      <c r="R262" s="5"/>
      <c r="S262" s="5"/>
    </row>
    <row r="263" spans="1:19" x14ac:dyDescent="0.25">
      <c r="A263" s="5"/>
      <c r="B263" s="5"/>
      <c r="C263" s="5"/>
      <c r="D263" s="5"/>
      <c r="E263" s="5"/>
      <c r="F263" s="5"/>
      <c r="G263" s="5"/>
      <c r="H263" s="5"/>
      <c r="I263" s="5"/>
      <c r="J263" s="5"/>
      <c r="K263" s="5"/>
      <c r="L263" s="5"/>
      <c r="M263" s="5"/>
      <c r="N263" s="5"/>
      <c r="O263" s="5"/>
      <c r="P263" s="5"/>
      <c r="Q263" s="5"/>
      <c r="R263" s="5"/>
      <c r="S263" s="5"/>
    </row>
    <row r="264" spans="1:19" x14ac:dyDescent="0.25">
      <c r="A264" s="5"/>
      <c r="B264" s="5"/>
      <c r="C264" s="5"/>
      <c r="D264" s="5"/>
      <c r="E264" s="5"/>
      <c r="F264" s="5"/>
      <c r="G264" s="5"/>
      <c r="H264" s="5"/>
      <c r="I264" s="5"/>
      <c r="J264" s="5"/>
      <c r="K264" s="5"/>
      <c r="L264" s="5"/>
      <c r="M264" s="5"/>
      <c r="N264" s="5"/>
      <c r="O264" s="5"/>
      <c r="P264" s="5"/>
      <c r="Q264" s="5"/>
      <c r="R264" s="5"/>
      <c r="S264" s="5"/>
    </row>
    <row r="265" spans="1:19" x14ac:dyDescent="0.25">
      <c r="A265" s="5"/>
      <c r="B265" s="5"/>
      <c r="C265" s="5"/>
      <c r="D265" s="5"/>
      <c r="E265" s="5"/>
      <c r="F265" s="5"/>
      <c r="G265" s="5"/>
      <c r="H265" s="5"/>
      <c r="I265" s="5"/>
      <c r="J265" s="5"/>
      <c r="K265" s="5"/>
      <c r="L265" s="5"/>
      <c r="M265" s="5"/>
      <c r="N265" s="5"/>
      <c r="O265" s="5"/>
      <c r="P265" s="5"/>
      <c r="Q265" s="5"/>
      <c r="R265" s="5"/>
      <c r="S265" s="5"/>
    </row>
    <row r="266" spans="1:19" x14ac:dyDescent="0.25">
      <c r="A266" s="5"/>
      <c r="B266" s="5"/>
      <c r="C266" s="5"/>
      <c r="D266" s="5"/>
      <c r="E266" s="5"/>
      <c r="F266" s="5"/>
      <c r="G266" s="5"/>
      <c r="H266" s="5"/>
      <c r="I266" s="5"/>
      <c r="J266" s="5"/>
      <c r="K266" s="5"/>
      <c r="L266" s="5"/>
      <c r="M266" s="5"/>
      <c r="N266" s="5"/>
      <c r="O266" s="5"/>
      <c r="P266" s="5"/>
      <c r="Q266" s="5"/>
      <c r="R266" s="5"/>
      <c r="S266" s="5"/>
    </row>
    <row r="267" spans="1:19" x14ac:dyDescent="0.25">
      <c r="A267" s="5"/>
      <c r="B267" s="5"/>
      <c r="C267" s="5"/>
      <c r="D267" s="5"/>
      <c r="E267" s="5"/>
      <c r="F267" s="5"/>
      <c r="G267" s="5"/>
      <c r="H267" s="5"/>
      <c r="I267" s="5"/>
      <c r="J267" s="5"/>
      <c r="K267" s="5"/>
      <c r="L267" s="5"/>
      <c r="M267" s="5"/>
      <c r="N267" s="5"/>
      <c r="O267" s="5"/>
      <c r="P267" s="5"/>
      <c r="Q267" s="5"/>
      <c r="R267" s="5"/>
      <c r="S267" s="5"/>
    </row>
    <row r="268" spans="1:19" x14ac:dyDescent="0.25">
      <c r="A268" s="5"/>
      <c r="B268" s="5"/>
      <c r="C268" s="5"/>
      <c r="D268" s="5"/>
      <c r="E268" s="5"/>
      <c r="F268" s="5"/>
      <c r="G268" s="5"/>
      <c r="H268" s="5"/>
      <c r="I268" s="5"/>
      <c r="J268" s="5"/>
      <c r="K268" s="5"/>
      <c r="L268" s="5"/>
      <c r="M268" s="5"/>
      <c r="N268" s="5"/>
      <c r="O268" s="5"/>
      <c r="P268" s="5"/>
      <c r="Q268" s="5"/>
      <c r="R268" s="5"/>
      <c r="S268" s="5"/>
    </row>
    <row r="269" spans="1:19" x14ac:dyDescent="0.25">
      <c r="A269" s="5"/>
      <c r="B269" s="5"/>
      <c r="C269" s="5"/>
      <c r="D269" s="5"/>
      <c r="E269" s="5"/>
      <c r="F269" s="5"/>
      <c r="G269" s="5"/>
      <c r="H269" s="5"/>
      <c r="I269" s="5"/>
      <c r="J269" s="5"/>
      <c r="K269" s="5"/>
      <c r="L269" s="5"/>
      <c r="M269" s="5"/>
      <c r="N269" s="5"/>
      <c r="O269" s="5"/>
      <c r="P269" s="5"/>
      <c r="Q269" s="5"/>
      <c r="R269" s="5"/>
      <c r="S269" s="5"/>
    </row>
    <row r="270" spans="1:19" x14ac:dyDescent="0.25">
      <c r="A270" s="5"/>
      <c r="B270" s="5"/>
      <c r="C270" s="5"/>
      <c r="D270" s="5"/>
      <c r="E270" s="5"/>
      <c r="F270" s="5"/>
      <c r="G270" s="5"/>
      <c r="H270" s="5"/>
      <c r="I270" s="5"/>
      <c r="J270" s="5"/>
      <c r="K270" s="5"/>
      <c r="L270" s="5"/>
      <c r="M270" s="5"/>
      <c r="N270" s="5"/>
      <c r="O270" s="5"/>
      <c r="P270" s="5"/>
      <c r="Q270" s="5"/>
      <c r="R270" s="5"/>
      <c r="S270" s="5"/>
    </row>
    <row r="271" spans="1:19" x14ac:dyDescent="0.25">
      <c r="A271" s="5"/>
      <c r="B271" s="5"/>
      <c r="C271" s="5"/>
      <c r="D271" s="5"/>
      <c r="E271" s="5"/>
      <c r="F271" s="5"/>
      <c r="G271" s="5"/>
      <c r="H271" s="5"/>
      <c r="I271" s="5"/>
      <c r="J271" s="5"/>
      <c r="K271" s="5"/>
      <c r="L271" s="5"/>
      <c r="M271" s="5"/>
      <c r="N271" s="5"/>
      <c r="O271" s="5"/>
      <c r="P271" s="5"/>
      <c r="Q271" s="5"/>
      <c r="R271" s="5"/>
      <c r="S271" s="5"/>
    </row>
    <row r="272" spans="1:19" x14ac:dyDescent="0.25">
      <c r="A272" s="5"/>
      <c r="B272" s="5"/>
      <c r="C272" s="5"/>
      <c r="D272" s="5"/>
      <c r="E272" s="5"/>
      <c r="F272" s="5"/>
      <c r="G272" s="5"/>
      <c r="H272" s="5"/>
      <c r="I272" s="5"/>
      <c r="J272" s="5"/>
      <c r="K272" s="5"/>
      <c r="L272" s="5"/>
      <c r="M272" s="5"/>
      <c r="N272" s="5"/>
      <c r="O272" s="5"/>
      <c r="P272" s="5"/>
      <c r="Q272" s="5"/>
      <c r="R272" s="5"/>
      <c r="S272" s="5"/>
    </row>
    <row r="273" spans="1:19" x14ac:dyDescent="0.25">
      <c r="A273" s="5"/>
      <c r="B273" s="5"/>
      <c r="C273" s="5"/>
      <c r="D273" s="5"/>
      <c r="E273" s="5"/>
      <c r="F273" s="5"/>
      <c r="G273" s="5"/>
      <c r="H273" s="5"/>
      <c r="I273" s="5"/>
      <c r="J273" s="5"/>
      <c r="K273" s="5"/>
      <c r="L273" s="5"/>
      <c r="M273" s="5"/>
      <c r="N273" s="5"/>
      <c r="O273" s="5"/>
      <c r="P273" s="5"/>
      <c r="Q273" s="5"/>
      <c r="R273" s="5"/>
      <c r="S273" s="5"/>
    </row>
    <row r="274" spans="1:19" x14ac:dyDescent="0.25">
      <c r="A274" s="5"/>
      <c r="B274" s="5"/>
      <c r="C274" s="5"/>
      <c r="D274" s="5"/>
      <c r="E274" s="5"/>
      <c r="F274" s="5"/>
      <c r="G274" s="5"/>
      <c r="H274" s="5"/>
      <c r="I274" s="5"/>
      <c r="J274" s="5"/>
      <c r="K274" s="5"/>
      <c r="L274" s="5"/>
      <c r="M274" s="5"/>
      <c r="N274" s="5"/>
      <c r="O274" s="5"/>
      <c r="P274" s="5"/>
      <c r="Q274" s="5"/>
      <c r="R274" s="5"/>
      <c r="S274" s="5"/>
    </row>
    <row r="275" spans="1:19" x14ac:dyDescent="0.25">
      <c r="A275" s="5"/>
      <c r="B275" s="5"/>
      <c r="C275" s="5"/>
      <c r="D275" s="5"/>
      <c r="E275" s="5"/>
      <c r="F275" s="5"/>
      <c r="G275" s="5"/>
      <c r="H275" s="5"/>
      <c r="I275" s="5"/>
      <c r="J275" s="5"/>
      <c r="K275" s="5"/>
      <c r="L275" s="5"/>
      <c r="M275" s="5"/>
      <c r="N275" s="5"/>
      <c r="O275" s="5"/>
      <c r="P275" s="5"/>
      <c r="Q275" s="5"/>
      <c r="R275" s="5"/>
      <c r="S275" s="5"/>
    </row>
    <row r="276" spans="1:19" x14ac:dyDescent="0.25">
      <c r="A276" s="5"/>
      <c r="B276" s="5"/>
      <c r="C276" s="5"/>
      <c r="D276" s="5"/>
      <c r="E276" s="5"/>
      <c r="F276" s="5"/>
      <c r="G276" s="5"/>
      <c r="H276" s="5"/>
      <c r="I276" s="5"/>
      <c r="J276" s="5"/>
      <c r="K276" s="5"/>
      <c r="L276" s="5"/>
      <c r="M276" s="5"/>
      <c r="N276" s="5"/>
      <c r="O276" s="5"/>
      <c r="P276" s="5"/>
      <c r="Q276" s="5"/>
      <c r="R276" s="5"/>
      <c r="S276" s="5"/>
    </row>
    <row r="277" spans="1:19" x14ac:dyDescent="0.25">
      <c r="A277" s="5"/>
      <c r="B277" s="5"/>
      <c r="C277" s="5"/>
      <c r="D277" s="5"/>
      <c r="E277" s="5"/>
      <c r="F277" s="5"/>
      <c r="G277" s="5"/>
      <c r="H277" s="5"/>
      <c r="I277" s="5"/>
      <c r="J277" s="5"/>
      <c r="K277" s="5"/>
      <c r="L277" s="5"/>
      <c r="M277" s="5"/>
      <c r="N277" s="5"/>
      <c r="O277" s="5"/>
      <c r="P277" s="5"/>
      <c r="Q277" s="5"/>
      <c r="R277" s="5"/>
      <c r="S277" s="5"/>
    </row>
    <row r="278" spans="1:19" x14ac:dyDescent="0.25">
      <c r="A278" s="5"/>
      <c r="B278" s="5"/>
      <c r="C278" s="5"/>
      <c r="D278" s="5"/>
      <c r="E278" s="5"/>
      <c r="F278" s="5"/>
      <c r="G278" s="5"/>
      <c r="H278" s="5"/>
      <c r="I278" s="5"/>
      <c r="J278" s="5"/>
      <c r="K278" s="5"/>
      <c r="L278" s="5"/>
      <c r="M278" s="5"/>
      <c r="N278" s="5"/>
      <c r="O278" s="5"/>
      <c r="P278" s="5"/>
      <c r="Q278" s="5"/>
      <c r="R278" s="5"/>
      <c r="S278" s="5"/>
    </row>
    <row r="279" spans="1:19" x14ac:dyDescent="0.25">
      <c r="A279" s="5"/>
      <c r="B279" s="5"/>
      <c r="C279" s="5"/>
      <c r="D279" s="5"/>
      <c r="E279" s="5"/>
      <c r="F279" s="5"/>
      <c r="G279" s="5"/>
      <c r="H279" s="5"/>
      <c r="I279" s="5"/>
      <c r="J279" s="5"/>
      <c r="K279" s="5"/>
      <c r="L279" s="5"/>
      <c r="M279" s="5"/>
      <c r="N279" s="5"/>
      <c r="O279" s="5"/>
      <c r="P279" s="5"/>
      <c r="Q279" s="5"/>
      <c r="R279" s="5"/>
      <c r="S279" s="5"/>
    </row>
    <row r="280" spans="1:19" x14ac:dyDescent="0.25">
      <c r="A280" s="5"/>
      <c r="B280" s="5"/>
      <c r="C280" s="5"/>
      <c r="D280" s="5"/>
      <c r="E280" s="5"/>
      <c r="F280" s="5"/>
      <c r="G280" s="5"/>
      <c r="H280" s="5"/>
      <c r="I280" s="5"/>
      <c r="J280" s="5"/>
      <c r="K280" s="5"/>
      <c r="L280" s="5"/>
      <c r="M280" s="5"/>
      <c r="N280" s="5"/>
      <c r="O280" s="5"/>
      <c r="P280" s="5"/>
      <c r="Q280" s="5"/>
      <c r="R280" s="5"/>
      <c r="S280" s="5"/>
    </row>
    <row r="281" spans="1:19" x14ac:dyDescent="0.25">
      <c r="A281" s="5"/>
      <c r="B281" s="5"/>
      <c r="C281" s="5"/>
      <c r="D281" s="5"/>
      <c r="E281" s="5"/>
      <c r="F281" s="5"/>
      <c r="G281" s="5"/>
      <c r="H281" s="5"/>
      <c r="I281" s="5"/>
      <c r="J281" s="5"/>
      <c r="K281" s="5"/>
      <c r="L281" s="5"/>
      <c r="M281" s="5"/>
      <c r="N281" s="5"/>
      <c r="O281" s="5"/>
      <c r="P281" s="5"/>
      <c r="Q281" s="5"/>
      <c r="R281" s="5"/>
      <c r="S281" s="5"/>
    </row>
    <row r="282" spans="1:19" x14ac:dyDescent="0.25">
      <c r="A282" s="5"/>
      <c r="B282" s="5"/>
      <c r="C282" s="5"/>
      <c r="D282" s="5"/>
      <c r="E282" s="5"/>
      <c r="F282" s="5"/>
      <c r="G282" s="5"/>
      <c r="H282" s="5"/>
      <c r="I282" s="5"/>
      <c r="J282" s="5"/>
      <c r="K282" s="5"/>
      <c r="L282" s="5"/>
      <c r="M282" s="5"/>
      <c r="N282" s="5"/>
      <c r="O282" s="5"/>
      <c r="P282" s="5"/>
      <c r="Q282" s="5"/>
      <c r="R282" s="5"/>
      <c r="S282" s="5"/>
    </row>
    <row r="283" spans="1:19" x14ac:dyDescent="0.25">
      <c r="A283" s="5"/>
      <c r="B283" s="5"/>
      <c r="C283" s="5"/>
      <c r="D283" s="5"/>
      <c r="E283" s="5"/>
      <c r="F283" s="5"/>
      <c r="G283" s="5"/>
      <c r="H283" s="5"/>
      <c r="I283" s="5"/>
      <c r="J283" s="5"/>
      <c r="K283" s="5"/>
      <c r="L283" s="5"/>
      <c r="M283" s="5"/>
      <c r="N283" s="5"/>
      <c r="O283" s="5"/>
      <c r="P283" s="5"/>
      <c r="Q283" s="5"/>
      <c r="R283" s="5"/>
      <c r="S283" s="5"/>
    </row>
    <row r="284" spans="1:19" x14ac:dyDescent="0.25">
      <c r="A284" s="5"/>
      <c r="B284" s="5"/>
      <c r="C284" s="5"/>
      <c r="D284" s="5"/>
      <c r="E284" s="5"/>
      <c r="F284" s="5"/>
      <c r="G284" s="5"/>
      <c r="H284" s="5"/>
      <c r="I284" s="5"/>
      <c r="J284" s="5"/>
      <c r="K284" s="5"/>
      <c r="L284" s="5"/>
      <c r="M284" s="5"/>
      <c r="N284" s="5"/>
      <c r="O284" s="5"/>
      <c r="P284" s="5"/>
      <c r="Q284" s="5"/>
      <c r="R284" s="5"/>
      <c r="S284" s="5"/>
    </row>
    <row r="285" spans="1:19" x14ac:dyDescent="0.25">
      <c r="A285" s="5"/>
      <c r="B285" s="5"/>
      <c r="C285" s="5"/>
      <c r="D285" s="5"/>
      <c r="E285" s="5"/>
      <c r="F285" s="5"/>
      <c r="G285" s="5"/>
      <c r="H285" s="5"/>
      <c r="I285" s="5"/>
      <c r="J285" s="5"/>
      <c r="K285" s="5"/>
      <c r="L285" s="5"/>
      <c r="M285" s="5"/>
      <c r="N285" s="5"/>
      <c r="O285" s="5"/>
      <c r="P285" s="5"/>
      <c r="Q285" s="5"/>
      <c r="R285" s="5"/>
      <c r="S285" s="5"/>
    </row>
    <row r="286" spans="1:19" x14ac:dyDescent="0.25">
      <c r="A286" s="5"/>
      <c r="B286" s="5"/>
      <c r="C286" s="5"/>
      <c r="D286" s="5"/>
      <c r="E286" s="5"/>
      <c r="F286" s="5"/>
      <c r="G286" s="5"/>
      <c r="H286" s="5"/>
      <c r="I286" s="5"/>
      <c r="J286" s="5"/>
      <c r="K286" s="5"/>
      <c r="L286" s="5"/>
      <c r="M286" s="5"/>
      <c r="N286" s="5"/>
      <c r="O286" s="5"/>
      <c r="P286" s="5"/>
      <c r="Q286" s="5"/>
      <c r="R286" s="5"/>
      <c r="S286" s="5"/>
    </row>
    <row r="287" spans="1:19" x14ac:dyDescent="0.25">
      <c r="A287" s="5"/>
      <c r="B287" s="5"/>
      <c r="C287" s="5"/>
      <c r="D287" s="5"/>
      <c r="E287" s="5"/>
      <c r="F287" s="5"/>
      <c r="G287" s="5"/>
      <c r="H287" s="5"/>
      <c r="I287" s="5"/>
      <c r="J287" s="5"/>
      <c r="K287" s="5"/>
      <c r="L287" s="5"/>
      <c r="M287" s="5"/>
      <c r="N287" s="5"/>
      <c r="O287" s="5"/>
      <c r="P287" s="5"/>
      <c r="Q287" s="5"/>
      <c r="R287" s="5"/>
      <c r="S287" s="5"/>
    </row>
    <row r="288" spans="1:19" x14ac:dyDescent="0.25">
      <c r="A288" s="5"/>
      <c r="B288" s="5"/>
      <c r="C288" s="5"/>
      <c r="D288" s="5"/>
      <c r="E288" s="5"/>
      <c r="F288" s="5"/>
      <c r="G288" s="5"/>
      <c r="H288" s="5"/>
      <c r="I288" s="5"/>
      <c r="J288" s="5"/>
      <c r="K288" s="5"/>
      <c r="L288" s="5"/>
      <c r="M288" s="5"/>
      <c r="N288" s="5"/>
      <c r="O288" s="5"/>
      <c r="P288" s="5"/>
      <c r="Q288" s="5"/>
      <c r="R288" s="5"/>
      <c r="S288" s="5"/>
    </row>
    <row r="289" spans="1:19" x14ac:dyDescent="0.25">
      <c r="A289" s="5"/>
      <c r="B289" s="5"/>
      <c r="C289" s="5"/>
      <c r="D289" s="5"/>
      <c r="E289" s="5"/>
      <c r="F289" s="5"/>
      <c r="G289" s="5"/>
      <c r="H289" s="5"/>
      <c r="I289" s="5"/>
      <c r="J289" s="5"/>
      <c r="K289" s="5"/>
      <c r="L289" s="5"/>
      <c r="M289" s="5"/>
      <c r="N289" s="5"/>
      <c r="O289" s="5"/>
      <c r="P289" s="5"/>
      <c r="Q289" s="5"/>
      <c r="R289" s="5"/>
      <c r="S289" s="5"/>
    </row>
    <row r="290" spans="1:19" x14ac:dyDescent="0.25">
      <c r="A290" s="5"/>
      <c r="B290" s="5"/>
      <c r="C290" s="5"/>
      <c r="D290" s="5"/>
      <c r="E290" s="5"/>
      <c r="F290" s="5"/>
      <c r="G290" s="5"/>
      <c r="H290" s="5"/>
      <c r="I290" s="5"/>
      <c r="J290" s="5"/>
      <c r="K290" s="5"/>
      <c r="L290" s="5"/>
      <c r="M290" s="5"/>
      <c r="N290" s="5"/>
      <c r="O290" s="5"/>
      <c r="P290" s="5"/>
      <c r="Q290" s="5"/>
      <c r="R290" s="5"/>
      <c r="S290" s="5"/>
    </row>
    <row r="291" spans="1:19" x14ac:dyDescent="0.25">
      <c r="A291" s="5"/>
      <c r="B291" s="5"/>
      <c r="C291" s="5"/>
      <c r="D291" s="5"/>
      <c r="E291" s="5"/>
      <c r="F291" s="5"/>
      <c r="G291" s="5"/>
      <c r="H291" s="5"/>
      <c r="I291" s="5"/>
      <c r="J291" s="5"/>
      <c r="K291" s="5"/>
      <c r="L291" s="5"/>
      <c r="M291" s="5"/>
      <c r="N291" s="5"/>
      <c r="O291" s="5"/>
      <c r="P291" s="5"/>
      <c r="Q291" s="5"/>
      <c r="R291" s="5"/>
      <c r="S291" s="5"/>
    </row>
    <row r="292" spans="1:19" x14ac:dyDescent="0.25">
      <c r="A292" s="5"/>
      <c r="B292" s="5"/>
      <c r="C292" s="5"/>
      <c r="D292" s="5"/>
      <c r="E292" s="5"/>
      <c r="F292" s="5"/>
      <c r="G292" s="5"/>
      <c r="H292" s="5"/>
      <c r="I292" s="5"/>
      <c r="J292" s="5"/>
      <c r="K292" s="5"/>
      <c r="L292" s="5"/>
      <c r="M292" s="5"/>
      <c r="N292" s="5"/>
      <c r="O292" s="5"/>
      <c r="P292" s="5"/>
      <c r="Q292" s="5"/>
      <c r="R292" s="5"/>
      <c r="S292" s="5"/>
    </row>
    <row r="293" spans="1:19" x14ac:dyDescent="0.25">
      <c r="A293" s="5"/>
      <c r="B293" s="5"/>
      <c r="C293" s="5"/>
      <c r="D293" s="5"/>
      <c r="E293" s="5"/>
      <c r="F293" s="5"/>
      <c r="G293" s="5"/>
      <c r="H293" s="5"/>
      <c r="I293" s="5"/>
      <c r="J293" s="5"/>
      <c r="K293" s="5"/>
      <c r="L293" s="5"/>
      <c r="M293" s="5"/>
      <c r="N293" s="5"/>
      <c r="O293" s="5"/>
      <c r="P293" s="5"/>
      <c r="Q293" s="5"/>
      <c r="R293" s="5"/>
      <c r="S293" s="5"/>
    </row>
    <row r="294" spans="1:19" x14ac:dyDescent="0.25">
      <c r="A294" s="5"/>
      <c r="B294" s="5"/>
      <c r="C294" s="5"/>
      <c r="D294" s="5"/>
      <c r="E294" s="5"/>
      <c r="F294" s="5"/>
      <c r="G294" s="5"/>
      <c r="H294" s="5"/>
      <c r="I294" s="5"/>
      <c r="J294" s="5"/>
      <c r="K294" s="5"/>
      <c r="L294" s="5"/>
      <c r="M294" s="5"/>
      <c r="N294" s="5"/>
      <c r="O294" s="5"/>
      <c r="P294" s="5"/>
      <c r="Q294" s="5"/>
      <c r="R294" s="5"/>
      <c r="S294" s="5"/>
    </row>
    <row r="295" spans="1:19" x14ac:dyDescent="0.25">
      <c r="A295" s="5"/>
      <c r="B295" s="5"/>
      <c r="C295" s="5"/>
      <c r="D295" s="5"/>
      <c r="E295" s="5"/>
      <c r="F295" s="5"/>
      <c r="G295" s="5"/>
      <c r="H295" s="5"/>
      <c r="I295" s="5"/>
      <c r="J295" s="5"/>
      <c r="K295" s="5"/>
      <c r="L295" s="5"/>
      <c r="M295" s="5"/>
      <c r="N295" s="5"/>
      <c r="O295" s="5"/>
      <c r="P295" s="5"/>
      <c r="Q295" s="5"/>
      <c r="R295" s="5"/>
      <c r="S295" s="5"/>
    </row>
    <row r="296" spans="1:19" x14ac:dyDescent="0.25">
      <c r="A296" s="5"/>
      <c r="B296" s="5"/>
      <c r="C296" s="5"/>
      <c r="D296" s="5"/>
      <c r="E296" s="5"/>
      <c r="F296" s="5"/>
      <c r="G296" s="5"/>
      <c r="H296" s="5"/>
      <c r="I296" s="5"/>
      <c r="J296" s="5"/>
      <c r="K296" s="5"/>
      <c r="L296" s="5"/>
      <c r="M296" s="5"/>
      <c r="N296" s="5"/>
      <c r="O296" s="5"/>
      <c r="P296" s="5"/>
      <c r="Q296" s="5"/>
      <c r="R296" s="5"/>
      <c r="S296" s="5"/>
    </row>
    <row r="297" spans="1:19" x14ac:dyDescent="0.25">
      <c r="A297" s="5"/>
      <c r="B297" s="5"/>
      <c r="C297" s="5"/>
      <c r="D297" s="5"/>
      <c r="E297" s="5"/>
      <c r="F297" s="5"/>
      <c r="G297" s="5"/>
      <c r="H297" s="5"/>
      <c r="I297" s="5"/>
      <c r="J297" s="5"/>
      <c r="K297" s="5"/>
      <c r="L297" s="5"/>
      <c r="M297" s="5"/>
      <c r="N297" s="5"/>
      <c r="O297" s="5"/>
      <c r="P297" s="5"/>
      <c r="Q297" s="5"/>
      <c r="R297" s="5"/>
      <c r="S297" s="5"/>
    </row>
    <row r="298" spans="1:19" x14ac:dyDescent="0.25">
      <c r="A298" s="5"/>
      <c r="B298" s="5"/>
      <c r="C298" s="5"/>
      <c r="D298" s="5"/>
      <c r="E298" s="5"/>
      <c r="F298" s="5"/>
      <c r="G298" s="5"/>
      <c r="H298" s="5"/>
      <c r="I298" s="5"/>
      <c r="J298" s="5"/>
      <c r="K298" s="5"/>
      <c r="L298" s="5"/>
      <c r="M298" s="5"/>
      <c r="N298" s="5"/>
      <c r="O298" s="5"/>
      <c r="P298" s="5"/>
      <c r="Q298" s="5"/>
      <c r="R298" s="5"/>
      <c r="S298" s="5"/>
    </row>
    <row r="299" spans="1:19" x14ac:dyDescent="0.25">
      <c r="A299" s="5"/>
      <c r="B299" s="5"/>
      <c r="C299" s="5"/>
      <c r="D299" s="5"/>
      <c r="E299" s="5"/>
      <c r="F299" s="5"/>
      <c r="G299" s="5"/>
      <c r="H299" s="5"/>
      <c r="I299" s="5"/>
      <c r="J299" s="5"/>
      <c r="K299" s="5"/>
      <c r="L299" s="5"/>
      <c r="M299" s="5"/>
      <c r="N299" s="5"/>
      <c r="O299" s="5"/>
      <c r="P299" s="5"/>
      <c r="Q299" s="5"/>
      <c r="R299" s="5"/>
      <c r="S299" s="5"/>
    </row>
    <row r="300" spans="1:19" x14ac:dyDescent="0.25">
      <c r="A300" s="5"/>
      <c r="B300" s="5"/>
      <c r="C300" s="5"/>
      <c r="D300" s="5"/>
      <c r="E300" s="5"/>
      <c r="F300" s="5"/>
      <c r="G300" s="5"/>
      <c r="H300" s="5"/>
      <c r="I300" s="5"/>
      <c r="J300" s="5"/>
      <c r="K300" s="5"/>
      <c r="L300" s="5"/>
      <c r="M300" s="5"/>
      <c r="N300" s="5"/>
      <c r="O300" s="5"/>
      <c r="P300" s="5"/>
      <c r="Q300" s="5"/>
      <c r="R300" s="5"/>
      <c r="S300" s="5"/>
    </row>
    <row r="301" spans="1:19" x14ac:dyDescent="0.25">
      <c r="A301" s="5"/>
      <c r="B301" s="5"/>
      <c r="C301" s="5"/>
      <c r="D301" s="5"/>
      <c r="E301" s="5"/>
      <c r="F301" s="5"/>
      <c r="G301" s="5"/>
      <c r="H301" s="5"/>
      <c r="I301" s="5"/>
      <c r="J301" s="5"/>
      <c r="K301" s="5"/>
      <c r="L301" s="5"/>
      <c r="M301" s="5"/>
      <c r="N301" s="5"/>
      <c r="O301" s="5"/>
      <c r="P301" s="5"/>
      <c r="Q301" s="5"/>
      <c r="R301" s="5"/>
      <c r="S301" s="5"/>
    </row>
    <row r="302" spans="1:19" x14ac:dyDescent="0.25">
      <c r="A302" s="5"/>
      <c r="B302" s="5"/>
      <c r="C302" s="5"/>
      <c r="D302" s="5"/>
      <c r="E302" s="5"/>
      <c r="F302" s="5"/>
      <c r="G302" s="5"/>
      <c r="H302" s="5"/>
      <c r="I302" s="5"/>
      <c r="J302" s="5"/>
      <c r="K302" s="5"/>
      <c r="L302" s="5"/>
      <c r="M302" s="5"/>
      <c r="N302" s="5"/>
      <c r="O302" s="5"/>
      <c r="P302" s="5"/>
      <c r="Q302" s="5"/>
      <c r="R302" s="5"/>
      <c r="S302" s="5"/>
    </row>
    <row r="303" spans="1:19" x14ac:dyDescent="0.25">
      <c r="A303" s="5"/>
      <c r="B303" s="5"/>
      <c r="C303" s="5"/>
      <c r="D303" s="5"/>
      <c r="E303" s="5"/>
      <c r="F303" s="5"/>
      <c r="G303" s="5"/>
      <c r="H303" s="5"/>
      <c r="I303" s="5"/>
      <c r="J303" s="5"/>
      <c r="K303" s="5"/>
      <c r="L303" s="5"/>
      <c r="M303" s="5"/>
      <c r="N303" s="5"/>
      <c r="O303" s="5"/>
      <c r="P303" s="5"/>
      <c r="Q303" s="5"/>
      <c r="R303" s="5"/>
      <c r="S303" s="5"/>
    </row>
    <row r="304" spans="1:19" x14ac:dyDescent="0.25">
      <c r="A304" s="5"/>
      <c r="B304" s="5"/>
      <c r="C304" s="5"/>
      <c r="D304" s="5"/>
      <c r="E304" s="5"/>
      <c r="F304" s="5"/>
      <c r="G304" s="5"/>
      <c r="H304" s="5"/>
      <c r="I304" s="5"/>
      <c r="J304" s="5"/>
      <c r="K304" s="5"/>
      <c r="L304" s="5"/>
      <c r="M304" s="5"/>
      <c r="N304" s="5"/>
      <c r="O304" s="5"/>
      <c r="P304" s="5"/>
      <c r="Q304" s="5"/>
      <c r="R304" s="5"/>
      <c r="S304" s="5"/>
    </row>
    <row r="305" spans="1:19" x14ac:dyDescent="0.25">
      <c r="A305" s="5"/>
      <c r="B305" s="5"/>
      <c r="C305" s="5"/>
      <c r="D305" s="5"/>
      <c r="E305" s="5"/>
      <c r="F305" s="5"/>
      <c r="G305" s="5"/>
      <c r="H305" s="5"/>
      <c r="I305" s="5"/>
      <c r="J305" s="5"/>
      <c r="K305" s="5"/>
      <c r="L305" s="5"/>
      <c r="M305" s="5"/>
      <c r="N305" s="5"/>
      <c r="O305" s="5"/>
      <c r="P305" s="5"/>
      <c r="Q305" s="5"/>
      <c r="R305" s="5"/>
      <c r="S305" s="5"/>
    </row>
    <row r="306" spans="1:19" x14ac:dyDescent="0.25">
      <c r="A306" s="5"/>
      <c r="B306" s="5"/>
      <c r="C306" s="5"/>
      <c r="D306" s="5"/>
      <c r="E306" s="5"/>
      <c r="F306" s="5"/>
      <c r="G306" s="5"/>
      <c r="H306" s="5"/>
      <c r="I306" s="5"/>
      <c r="J306" s="5"/>
      <c r="K306" s="5"/>
      <c r="L306" s="5"/>
      <c r="M306" s="5"/>
      <c r="N306" s="5"/>
      <c r="O306" s="5"/>
      <c r="P306" s="5"/>
      <c r="Q306" s="5"/>
      <c r="R306" s="5"/>
      <c r="S306" s="5"/>
    </row>
    <row r="307" spans="1:19" x14ac:dyDescent="0.25">
      <c r="A307" s="5"/>
      <c r="B307" s="5"/>
      <c r="C307" s="5"/>
      <c r="D307" s="5"/>
      <c r="E307" s="5"/>
      <c r="F307" s="5"/>
      <c r="G307" s="5"/>
      <c r="H307" s="5"/>
      <c r="I307" s="5"/>
      <c r="J307" s="5"/>
      <c r="K307" s="5"/>
      <c r="L307" s="5"/>
      <c r="M307" s="5"/>
      <c r="N307" s="5"/>
      <c r="O307" s="5"/>
      <c r="P307" s="5"/>
      <c r="Q307" s="5"/>
      <c r="R307" s="5"/>
      <c r="S307" s="5"/>
    </row>
    <row r="308" spans="1:19" x14ac:dyDescent="0.25">
      <c r="A308" s="5"/>
      <c r="B308" s="5"/>
      <c r="C308" s="5"/>
      <c r="D308" s="5"/>
      <c r="E308" s="5"/>
      <c r="F308" s="5"/>
      <c r="G308" s="5"/>
      <c r="H308" s="5"/>
      <c r="I308" s="5"/>
      <c r="J308" s="5"/>
      <c r="K308" s="5"/>
      <c r="L308" s="5"/>
      <c r="M308" s="5"/>
      <c r="N308" s="5"/>
      <c r="O308" s="5"/>
      <c r="P308" s="5"/>
      <c r="Q308" s="5"/>
      <c r="R308" s="5"/>
      <c r="S308" s="5"/>
    </row>
    <row r="309" spans="1:19" x14ac:dyDescent="0.25">
      <c r="A309" s="5"/>
      <c r="B309" s="5"/>
      <c r="C309" s="5"/>
      <c r="D309" s="5"/>
      <c r="E309" s="5"/>
      <c r="F309" s="5"/>
      <c r="G309" s="5"/>
      <c r="H309" s="5"/>
      <c r="I309" s="5"/>
      <c r="J309" s="5"/>
      <c r="K309" s="5"/>
      <c r="L309" s="5"/>
      <c r="M309" s="5"/>
      <c r="N309" s="5"/>
      <c r="O309" s="5"/>
      <c r="P309" s="5"/>
      <c r="Q309" s="5"/>
      <c r="R309" s="5"/>
      <c r="S309" s="5"/>
    </row>
    <row r="310" spans="1:19" x14ac:dyDescent="0.25">
      <c r="A310" s="5"/>
      <c r="B310" s="5"/>
      <c r="C310" s="5"/>
      <c r="D310" s="5"/>
      <c r="E310" s="5"/>
      <c r="F310" s="5"/>
      <c r="G310" s="5"/>
      <c r="H310" s="5"/>
      <c r="I310" s="5"/>
      <c r="J310" s="5"/>
      <c r="K310" s="5"/>
      <c r="L310" s="5"/>
      <c r="M310" s="5"/>
      <c r="N310" s="5"/>
      <c r="O310" s="5"/>
      <c r="P310" s="5"/>
      <c r="Q310" s="5"/>
      <c r="R310" s="5"/>
      <c r="S310" s="5"/>
    </row>
    <row r="311" spans="1:19" x14ac:dyDescent="0.25">
      <c r="A311" s="5"/>
      <c r="B311" s="5"/>
      <c r="C311" s="5"/>
      <c r="D311" s="5"/>
      <c r="E311" s="5"/>
      <c r="F311" s="5"/>
      <c r="G311" s="5"/>
      <c r="H311" s="5"/>
      <c r="I311" s="5"/>
      <c r="J311" s="5"/>
      <c r="K311" s="5"/>
      <c r="L311" s="5"/>
      <c r="M311" s="5"/>
      <c r="N311" s="5"/>
      <c r="O311" s="5"/>
      <c r="P311" s="5"/>
      <c r="Q311" s="5"/>
      <c r="R311" s="5"/>
      <c r="S311" s="5"/>
    </row>
    <row r="312" spans="1:19" x14ac:dyDescent="0.25">
      <c r="A312" s="5"/>
      <c r="B312" s="5"/>
      <c r="C312" s="5"/>
      <c r="D312" s="5"/>
      <c r="E312" s="5"/>
      <c r="F312" s="5"/>
      <c r="G312" s="5"/>
      <c r="H312" s="5"/>
      <c r="I312" s="5"/>
      <c r="J312" s="5"/>
      <c r="K312" s="5"/>
      <c r="L312" s="5"/>
      <c r="M312" s="5"/>
      <c r="N312" s="5"/>
      <c r="O312" s="5"/>
      <c r="P312" s="5"/>
      <c r="Q312" s="5"/>
      <c r="R312" s="5"/>
      <c r="S312" s="5"/>
    </row>
    <row r="313" spans="1:19" x14ac:dyDescent="0.25">
      <c r="A313" s="5"/>
      <c r="B313" s="5"/>
      <c r="C313" s="5"/>
      <c r="D313" s="5"/>
      <c r="E313" s="5"/>
      <c r="F313" s="5"/>
      <c r="G313" s="5"/>
      <c r="H313" s="5"/>
      <c r="I313" s="5"/>
      <c r="J313" s="5"/>
      <c r="K313" s="5"/>
      <c r="L313" s="5"/>
      <c r="M313" s="5"/>
      <c r="N313" s="5"/>
      <c r="O313" s="5"/>
      <c r="P313" s="5"/>
      <c r="Q313" s="5"/>
      <c r="R313" s="5"/>
      <c r="S313" s="5"/>
    </row>
    <row r="314" spans="1:19" x14ac:dyDescent="0.25">
      <c r="A314" s="5"/>
      <c r="B314" s="5"/>
      <c r="C314" s="5"/>
      <c r="D314" s="5"/>
      <c r="E314" s="5"/>
      <c r="F314" s="5"/>
      <c r="G314" s="5"/>
      <c r="H314" s="5"/>
      <c r="I314" s="5"/>
      <c r="J314" s="5"/>
      <c r="K314" s="5"/>
      <c r="L314" s="5"/>
      <c r="M314" s="5"/>
      <c r="N314" s="5"/>
      <c r="O314" s="5"/>
      <c r="P314" s="5"/>
      <c r="Q314" s="5"/>
      <c r="R314" s="5"/>
      <c r="S314" s="5"/>
    </row>
    <row r="315" spans="1:19" x14ac:dyDescent="0.25">
      <c r="A315" s="5"/>
      <c r="B315" s="5"/>
      <c r="C315" s="5"/>
      <c r="D315" s="5"/>
      <c r="E315" s="5"/>
      <c r="F315" s="5"/>
      <c r="G315" s="5"/>
      <c r="H315" s="5"/>
      <c r="I315" s="5"/>
      <c r="J315" s="5"/>
      <c r="K315" s="5"/>
      <c r="L315" s="5"/>
      <c r="M315" s="5"/>
      <c r="N315" s="5"/>
      <c r="O315" s="5"/>
      <c r="P315" s="5"/>
      <c r="Q315" s="5"/>
      <c r="R315" s="5"/>
      <c r="S315" s="5"/>
    </row>
    <row r="316" spans="1:19" x14ac:dyDescent="0.25">
      <c r="A316" s="5"/>
      <c r="B316" s="5"/>
      <c r="C316" s="5"/>
      <c r="D316" s="5"/>
      <c r="E316" s="5"/>
      <c r="F316" s="5"/>
      <c r="G316" s="5"/>
      <c r="H316" s="5"/>
      <c r="I316" s="5"/>
      <c r="J316" s="5"/>
      <c r="K316" s="5"/>
      <c r="L316" s="5"/>
      <c r="M316" s="5"/>
      <c r="N316" s="5"/>
      <c r="O316" s="5"/>
      <c r="P316" s="5"/>
      <c r="Q316" s="5"/>
      <c r="R316" s="5"/>
      <c r="S316" s="5"/>
    </row>
    <row r="317" spans="1:19" x14ac:dyDescent="0.25">
      <c r="A317" s="5"/>
      <c r="B317" s="5"/>
      <c r="C317" s="5"/>
      <c r="D317" s="5"/>
      <c r="E317" s="5"/>
      <c r="F317" s="5"/>
      <c r="G317" s="5"/>
      <c r="H317" s="5"/>
      <c r="I317" s="5"/>
      <c r="J317" s="5"/>
      <c r="K317" s="5"/>
      <c r="L317" s="5"/>
      <c r="M317" s="5"/>
      <c r="N317" s="5"/>
      <c r="O317" s="5"/>
      <c r="P317" s="5"/>
      <c r="Q317" s="5"/>
      <c r="R317" s="5"/>
      <c r="S317" s="5"/>
    </row>
    <row r="318" spans="1:19" x14ac:dyDescent="0.25">
      <c r="A318" s="5"/>
      <c r="B318" s="5"/>
      <c r="C318" s="5"/>
      <c r="D318" s="5"/>
      <c r="E318" s="5"/>
      <c r="F318" s="5"/>
      <c r="G318" s="5"/>
      <c r="H318" s="5"/>
      <c r="I318" s="5"/>
      <c r="J318" s="5"/>
      <c r="K318" s="5"/>
      <c r="L318" s="5"/>
      <c r="M318" s="5"/>
      <c r="N318" s="5"/>
      <c r="O318" s="5"/>
      <c r="P318" s="5"/>
      <c r="Q318" s="5"/>
      <c r="R318" s="5"/>
      <c r="S318" s="5"/>
    </row>
    <row r="319" spans="1:19" x14ac:dyDescent="0.25">
      <c r="A319" s="5"/>
      <c r="B319" s="5"/>
      <c r="C319" s="5"/>
      <c r="D319" s="5"/>
      <c r="E319" s="5"/>
      <c r="F319" s="5"/>
      <c r="G319" s="5"/>
      <c r="H319" s="5"/>
      <c r="I319" s="5"/>
      <c r="J319" s="5"/>
      <c r="K319" s="5"/>
      <c r="L319" s="5"/>
      <c r="M319" s="5"/>
      <c r="N319" s="5"/>
      <c r="O319" s="5"/>
      <c r="P319" s="5"/>
      <c r="Q319" s="5"/>
      <c r="R319" s="5"/>
      <c r="S319" s="5"/>
    </row>
    <row r="320" spans="1:19" x14ac:dyDescent="0.25">
      <c r="A320" s="5"/>
      <c r="B320" s="5"/>
      <c r="C320" s="5"/>
      <c r="D320" s="5"/>
      <c r="E320" s="5"/>
      <c r="F320" s="5"/>
      <c r="G320" s="5"/>
      <c r="H320" s="5"/>
      <c r="I320" s="5"/>
      <c r="J320" s="5"/>
      <c r="K320" s="5"/>
      <c r="L320" s="5"/>
      <c r="M320" s="5"/>
      <c r="N320" s="5"/>
      <c r="O320" s="5"/>
      <c r="P320" s="5"/>
      <c r="Q320" s="5"/>
      <c r="R320" s="5"/>
      <c r="S320" s="5"/>
    </row>
    <row r="321" spans="1:19" x14ac:dyDescent="0.25">
      <c r="A321" s="5"/>
      <c r="B321" s="5"/>
      <c r="C321" s="5"/>
      <c r="D321" s="5"/>
      <c r="E321" s="5"/>
      <c r="F321" s="5"/>
      <c r="G321" s="5"/>
      <c r="H321" s="5"/>
      <c r="I321" s="5"/>
      <c r="J321" s="5"/>
      <c r="K321" s="5"/>
      <c r="L321" s="5"/>
      <c r="M321" s="5"/>
      <c r="N321" s="5"/>
      <c r="O321" s="5"/>
      <c r="P321" s="5"/>
      <c r="Q321" s="5"/>
      <c r="R321" s="5"/>
      <c r="S321" s="5"/>
    </row>
    <row r="322" spans="1:19" x14ac:dyDescent="0.25">
      <c r="A322" s="5"/>
      <c r="B322" s="5"/>
      <c r="C322" s="5"/>
      <c r="D322" s="5"/>
      <c r="E322" s="5"/>
      <c r="F322" s="5"/>
      <c r="G322" s="5"/>
      <c r="H322" s="5"/>
      <c r="I322" s="5"/>
      <c r="J322" s="5"/>
      <c r="K322" s="5"/>
      <c r="L322" s="5"/>
      <c r="M322" s="5"/>
      <c r="N322" s="5"/>
      <c r="O322" s="5"/>
      <c r="P322" s="5"/>
      <c r="Q322" s="5"/>
      <c r="R322" s="5"/>
      <c r="S322" s="5"/>
    </row>
    <row r="323" spans="1:19" x14ac:dyDescent="0.25">
      <c r="A323" s="5"/>
      <c r="B323" s="5"/>
      <c r="C323" s="5"/>
      <c r="D323" s="5"/>
      <c r="E323" s="5"/>
      <c r="F323" s="5"/>
      <c r="G323" s="5"/>
      <c r="H323" s="5"/>
      <c r="I323" s="5"/>
      <c r="J323" s="5"/>
      <c r="K323" s="5"/>
      <c r="L323" s="5"/>
      <c r="M323" s="5"/>
      <c r="N323" s="5"/>
      <c r="O323" s="5"/>
      <c r="P323" s="5"/>
      <c r="Q323" s="5"/>
      <c r="R323" s="5"/>
      <c r="S323" s="5"/>
    </row>
    <row r="324" spans="1:19" x14ac:dyDescent="0.25">
      <c r="A324" s="5"/>
      <c r="B324" s="5"/>
      <c r="C324" s="5"/>
      <c r="D324" s="5"/>
      <c r="E324" s="5"/>
      <c r="F324" s="5"/>
      <c r="G324" s="5"/>
      <c r="H324" s="5"/>
      <c r="I324" s="5"/>
      <c r="J324" s="5"/>
      <c r="K324" s="5"/>
      <c r="L324" s="5"/>
      <c r="M324" s="5"/>
      <c r="N324" s="5"/>
      <c r="O324" s="5"/>
      <c r="P324" s="5"/>
      <c r="Q324" s="5"/>
      <c r="R324" s="5"/>
      <c r="S324" s="5"/>
    </row>
    <row r="325" spans="1:19" x14ac:dyDescent="0.25">
      <c r="A325" s="5"/>
      <c r="B325" s="5"/>
      <c r="C325" s="5"/>
      <c r="D325" s="5"/>
      <c r="E325" s="5"/>
      <c r="F325" s="5"/>
      <c r="G325" s="5"/>
      <c r="H325" s="5"/>
      <c r="I325" s="5"/>
      <c r="J325" s="5"/>
      <c r="K325" s="5"/>
      <c r="L325" s="5"/>
      <c r="M325" s="5"/>
      <c r="N325" s="5"/>
      <c r="O325" s="5"/>
      <c r="P325" s="5"/>
      <c r="Q325" s="5"/>
      <c r="R325" s="5"/>
      <c r="S325" s="5"/>
    </row>
    <row r="326" spans="1:19" x14ac:dyDescent="0.25">
      <c r="A326" s="5"/>
      <c r="B326" s="5"/>
      <c r="C326" s="5"/>
      <c r="D326" s="5"/>
      <c r="E326" s="5"/>
      <c r="F326" s="5"/>
      <c r="G326" s="5"/>
      <c r="H326" s="5"/>
      <c r="I326" s="5"/>
      <c r="J326" s="5"/>
      <c r="K326" s="5"/>
      <c r="L326" s="5"/>
      <c r="M326" s="5"/>
      <c r="N326" s="5"/>
      <c r="O326" s="5"/>
      <c r="P326" s="5"/>
      <c r="Q326" s="5"/>
      <c r="R326" s="5"/>
      <c r="S326" s="5"/>
    </row>
    <row r="327" spans="1:19" x14ac:dyDescent="0.25">
      <c r="A327" s="5"/>
      <c r="B327" s="5"/>
      <c r="C327" s="5"/>
      <c r="D327" s="5"/>
      <c r="E327" s="5"/>
      <c r="F327" s="5"/>
      <c r="G327" s="5"/>
      <c r="H327" s="5"/>
      <c r="I327" s="5"/>
      <c r="J327" s="5"/>
      <c r="K327" s="5"/>
      <c r="L327" s="5"/>
      <c r="M327" s="5"/>
      <c r="N327" s="5"/>
      <c r="O327" s="5"/>
      <c r="P327" s="5"/>
      <c r="Q327" s="5"/>
      <c r="R327" s="5"/>
      <c r="S327" s="5"/>
    </row>
    <row r="328" spans="1:19" x14ac:dyDescent="0.25">
      <c r="A328" s="5"/>
      <c r="B328" s="5"/>
      <c r="C328" s="5"/>
      <c r="D328" s="5"/>
      <c r="E328" s="5"/>
      <c r="F328" s="5"/>
      <c r="G328" s="5"/>
      <c r="H328" s="5"/>
      <c r="I328" s="5"/>
      <c r="J328" s="5"/>
      <c r="K328" s="5"/>
      <c r="L328" s="5"/>
      <c r="M328" s="5"/>
      <c r="N328" s="5"/>
      <c r="O328" s="5"/>
      <c r="P328" s="5"/>
      <c r="Q328" s="5"/>
      <c r="R328" s="5"/>
      <c r="S328" s="5"/>
    </row>
    <row r="329" spans="1:19" x14ac:dyDescent="0.25">
      <c r="A329" s="5"/>
      <c r="B329" s="5"/>
      <c r="C329" s="5"/>
      <c r="D329" s="5"/>
      <c r="E329" s="5"/>
      <c r="F329" s="5"/>
      <c r="G329" s="5"/>
      <c r="H329" s="5"/>
      <c r="I329" s="5"/>
      <c r="J329" s="5"/>
      <c r="K329" s="5"/>
      <c r="L329" s="5"/>
      <c r="M329" s="5"/>
      <c r="N329" s="5"/>
      <c r="O329" s="5"/>
      <c r="P329" s="5"/>
      <c r="Q329" s="5"/>
      <c r="R329" s="5"/>
      <c r="S329" s="5"/>
    </row>
    <row r="330" spans="1:19" x14ac:dyDescent="0.25">
      <c r="A330" s="5"/>
      <c r="B330" s="5"/>
      <c r="C330" s="5"/>
      <c r="D330" s="5"/>
      <c r="E330" s="5"/>
      <c r="F330" s="5"/>
      <c r="G330" s="5"/>
      <c r="H330" s="5"/>
      <c r="I330" s="5"/>
      <c r="J330" s="5"/>
      <c r="K330" s="5"/>
      <c r="L330" s="5"/>
      <c r="M330" s="5"/>
      <c r="N330" s="5"/>
      <c r="O330" s="5"/>
      <c r="P330" s="5"/>
      <c r="Q330" s="5"/>
      <c r="R330" s="5"/>
      <c r="S330" s="5"/>
    </row>
    <row r="331" spans="1:19" x14ac:dyDescent="0.25">
      <c r="A331" s="5"/>
      <c r="B331" s="5"/>
      <c r="C331" s="5"/>
      <c r="D331" s="5"/>
      <c r="E331" s="5"/>
      <c r="F331" s="5"/>
      <c r="G331" s="5"/>
      <c r="H331" s="5"/>
      <c r="I331" s="5"/>
      <c r="J331" s="5"/>
      <c r="K331" s="5"/>
      <c r="L331" s="5"/>
      <c r="M331" s="5"/>
      <c r="N331" s="5"/>
      <c r="O331" s="5"/>
      <c r="P331" s="5"/>
      <c r="Q331" s="5"/>
      <c r="R331" s="5"/>
      <c r="S331" s="5"/>
    </row>
    <row r="332" spans="1:19" x14ac:dyDescent="0.25">
      <c r="A332" s="5"/>
      <c r="B332" s="5"/>
      <c r="C332" s="5"/>
      <c r="D332" s="5"/>
      <c r="E332" s="5"/>
      <c r="F332" s="5"/>
      <c r="G332" s="5"/>
      <c r="H332" s="5"/>
      <c r="I332" s="5"/>
      <c r="J332" s="5"/>
      <c r="K332" s="5"/>
      <c r="L332" s="5"/>
      <c r="M332" s="5"/>
      <c r="N332" s="5"/>
      <c r="O332" s="5"/>
      <c r="P332" s="5"/>
      <c r="Q332" s="5"/>
      <c r="R332" s="5"/>
      <c r="S332" s="5"/>
    </row>
    <row r="333" spans="1:19" x14ac:dyDescent="0.25">
      <c r="A333" s="5"/>
      <c r="B333" s="5"/>
      <c r="C333" s="5"/>
      <c r="D333" s="5"/>
      <c r="E333" s="5"/>
      <c r="F333" s="5"/>
      <c r="G333" s="5"/>
      <c r="H333" s="5"/>
      <c r="I333" s="5"/>
      <c r="J333" s="5"/>
      <c r="K333" s="5"/>
      <c r="L333" s="5"/>
      <c r="M333" s="5"/>
      <c r="N333" s="5"/>
      <c r="O333" s="5"/>
      <c r="P333" s="5"/>
      <c r="Q333" s="5"/>
      <c r="R333" s="5"/>
      <c r="S333" s="5"/>
    </row>
    <row r="334" spans="1:19" x14ac:dyDescent="0.25">
      <c r="A334" s="5"/>
      <c r="B334" s="5"/>
      <c r="C334" s="5"/>
      <c r="D334" s="5"/>
      <c r="E334" s="5"/>
      <c r="F334" s="5"/>
      <c r="G334" s="5"/>
      <c r="H334" s="5"/>
      <c r="I334" s="5"/>
      <c r="J334" s="5"/>
      <c r="K334" s="5"/>
      <c r="L334" s="5"/>
      <c r="M334" s="5"/>
      <c r="N334" s="5"/>
      <c r="O334" s="5"/>
      <c r="P334" s="5"/>
      <c r="Q334" s="5"/>
      <c r="R334" s="5"/>
      <c r="S334" s="5"/>
    </row>
    <row r="335" spans="1:19" x14ac:dyDescent="0.25">
      <c r="A335" s="5"/>
      <c r="B335" s="5"/>
      <c r="C335" s="5"/>
      <c r="D335" s="5"/>
      <c r="E335" s="5"/>
      <c r="F335" s="5"/>
      <c r="G335" s="5"/>
      <c r="H335" s="5"/>
      <c r="I335" s="5"/>
      <c r="J335" s="5"/>
      <c r="K335" s="5"/>
      <c r="L335" s="5"/>
      <c r="M335" s="5"/>
      <c r="N335" s="5"/>
      <c r="O335" s="5"/>
      <c r="P335" s="5"/>
      <c r="Q335" s="5"/>
      <c r="R335" s="5"/>
      <c r="S335" s="5"/>
    </row>
    <row r="336" spans="1:19" x14ac:dyDescent="0.25">
      <c r="A336" s="5"/>
      <c r="B336" s="5"/>
      <c r="C336" s="5"/>
      <c r="D336" s="5"/>
      <c r="E336" s="5"/>
      <c r="F336" s="5"/>
      <c r="G336" s="5"/>
      <c r="H336" s="5"/>
      <c r="I336" s="5"/>
      <c r="J336" s="5"/>
      <c r="K336" s="5"/>
      <c r="L336" s="5"/>
      <c r="M336" s="5"/>
      <c r="N336" s="5"/>
      <c r="O336" s="5"/>
      <c r="P336" s="5"/>
      <c r="Q336" s="5"/>
      <c r="R336" s="5"/>
      <c r="S336" s="5"/>
    </row>
    <row r="337" spans="1:19" x14ac:dyDescent="0.25">
      <c r="A337" s="5"/>
      <c r="B337" s="5"/>
      <c r="C337" s="5"/>
      <c r="D337" s="5"/>
      <c r="E337" s="5"/>
      <c r="F337" s="5"/>
      <c r="G337" s="5"/>
      <c r="H337" s="5"/>
      <c r="I337" s="5"/>
      <c r="J337" s="5"/>
      <c r="K337" s="5"/>
      <c r="L337" s="5"/>
      <c r="M337" s="5"/>
      <c r="N337" s="5"/>
      <c r="O337" s="5"/>
      <c r="P337" s="5"/>
      <c r="Q337" s="5"/>
      <c r="R337" s="5"/>
      <c r="S337" s="5"/>
    </row>
    <row r="338" spans="1:19" x14ac:dyDescent="0.25">
      <c r="A338" s="5"/>
      <c r="B338" s="5"/>
      <c r="C338" s="5"/>
      <c r="D338" s="5"/>
      <c r="E338" s="5"/>
      <c r="F338" s="5"/>
      <c r="G338" s="5"/>
      <c r="H338" s="5"/>
      <c r="I338" s="5"/>
      <c r="J338" s="5"/>
      <c r="K338" s="5"/>
      <c r="L338" s="5"/>
      <c r="M338" s="5"/>
      <c r="N338" s="5"/>
      <c r="O338" s="5"/>
      <c r="P338" s="5"/>
      <c r="Q338" s="5"/>
      <c r="R338" s="5"/>
      <c r="S338" s="5"/>
    </row>
    <row r="339" spans="1:19" x14ac:dyDescent="0.25">
      <c r="A339" s="5"/>
      <c r="B339" s="5"/>
      <c r="C339" s="5"/>
      <c r="D339" s="5"/>
      <c r="E339" s="5"/>
      <c r="F339" s="5"/>
      <c r="G339" s="5"/>
      <c r="H339" s="5"/>
      <c r="I339" s="5"/>
      <c r="J339" s="5"/>
      <c r="K339" s="5"/>
      <c r="L339" s="5"/>
      <c r="M339" s="5"/>
      <c r="N339" s="5"/>
      <c r="O339" s="5"/>
      <c r="P339" s="5"/>
      <c r="Q339" s="5"/>
      <c r="R339" s="5"/>
      <c r="S339" s="5"/>
    </row>
    <row r="340" spans="1:19" x14ac:dyDescent="0.25">
      <c r="A340" s="5"/>
      <c r="B340" s="5"/>
      <c r="C340" s="5"/>
      <c r="D340" s="5"/>
      <c r="E340" s="5"/>
      <c r="F340" s="5"/>
      <c r="G340" s="5"/>
      <c r="H340" s="5"/>
      <c r="I340" s="5"/>
      <c r="J340" s="5"/>
      <c r="K340" s="5"/>
      <c r="L340" s="5"/>
      <c r="M340" s="5"/>
      <c r="N340" s="5"/>
      <c r="O340" s="5"/>
      <c r="P340" s="5"/>
      <c r="Q340" s="5"/>
      <c r="R340" s="5"/>
      <c r="S340" s="5"/>
    </row>
    <row r="341" spans="1:19" x14ac:dyDescent="0.25">
      <c r="A341" s="5"/>
      <c r="B341" s="5"/>
      <c r="C341" s="5"/>
      <c r="D341" s="5"/>
      <c r="E341" s="5"/>
      <c r="F341" s="5"/>
      <c r="G341" s="5"/>
      <c r="H341" s="5"/>
      <c r="I341" s="5"/>
      <c r="J341" s="5"/>
      <c r="K341" s="5"/>
      <c r="L341" s="5"/>
      <c r="M341" s="5"/>
      <c r="N341" s="5"/>
      <c r="O341" s="5"/>
      <c r="P341" s="5"/>
      <c r="Q341" s="5"/>
      <c r="R341" s="5"/>
      <c r="S341" s="5"/>
    </row>
    <row r="342" spans="1:19" x14ac:dyDescent="0.25">
      <c r="A342" s="5"/>
      <c r="B342" s="5"/>
      <c r="C342" s="5"/>
      <c r="D342" s="5"/>
      <c r="E342" s="5"/>
      <c r="F342" s="5"/>
      <c r="G342" s="5"/>
      <c r="H342" s="5"/>
      <c r="I342" s="5"/>
      <c r="J342" s="5"/>
      <c r="K342" s="5"/>
      <c r="L342" s="5"/>
      <c r="M342" s="5"/>
      <c r="N342" s="5"/>
      <c r="O342" s="5"/>
      <c r="P342" s="5"/>
      <c r="Q342" s="5"/>
      <c r="R342" s="5"/>
      <c r="S342" s="5"/>
    </row>
    <row r="343" spans="1:19" x14ac:dyDescent="0.25">
      <c r="A343" s="5"/>
      <c r="B343" s="5"/>
      <c r="C343" s="5"/>
      <c r="D343" s="5"/>
      <c r="E343" s="5"/>
      <c r="F343" s="5"/>
      <c r="G343" s="5"/>
      <c r="H343" s="5"/>
      <c r="I343" s="5"/>
      <c r="J343" s="5"/>
      <c r="K343" s="5"/>
      <c r="L343" s="5"/>
      <c r="M343" s="5"/>
      <c r="N343" s="5"/>
      <c r="O343" s="5"/>
      <c r="P343" s="5"/>
      <c r="Q343" s="5"/>
      <c r="R343" s="5"/>
      <c r="S343" s="5"/>
    </row>
    <row r="344" spans="1:19" x14ac:dyDescent="0.25">
      <c r="A344" s="5"/>
      <c r="B344" s="5"/>
      <c r="C344" s="5"/>
      <c r="D344" s="5"/>
      <c r="E344" s="5"/>
      <c r="F344" s="5"/>
      <c r="G344" s="5"/>
      <c r="H344" s="5"/>
      <c r="I344" s="5"/>
      <c r="J344" s="5"/>
      <c r="K344" s="5"/>
      <c r="L344" s="5"/>
      <c r="M344" s="5"/>
      <c r="N344" s="5"/>
      <c r="O344" s="5"/>
      <c r="P344" s="5"/>
      <c r="Q344" s="5"/>
      <c r="R344" s="5"/>
      <c r="S344" s="5"/>
    </row>
    <row r="345" spans="1:19" x14ac:dyDescent="0.25">
      <c r="A345" s="5"/>
      <c r="B345" s="5"/>
      <c r="C345" s="5"/>
      <c r="D345" s="5"/>
      <c r="E345" s="5"/>
      <c r="F345" s="5"/>
      <c r="G345" s="5"/>
      <c r="H345" s="5"/>
      <c r="I345" s="5"/>
      <c r="J345" s="5"/>
      <c r="K345" s="5"/>
      <c r="L345" s="5"/>
      <c r="M345" s="5"/>
      <c r="N345" s="5"/>
      <c r="O345" s="5"/>
      <c r="P345" s="5"/>
      <c r="Q345" s="5"/>
      <c r="R345" s="5"/>
      <c r="S345" s="5"/>
    </row>
    <row r="346" spans="1:19" x14ac:dyDescent="0.25">
      <c r="A346" s="5"/>
      <c r="B346" s="5"/>
      <c r="C346" s="5"/>
      <c r="D346" s="5"/>
      <c r="E346" s="5"/>
      <c r="F346" s="5"/>
      <c r="G346" s="5"/>
      <c r="H346" s="5"/>
      <c r="I346" s="5"/>
      <c r="J346" s="5"/>
      <c r="K346" s="5"/>
      <c r="L346" s="5"/>
      <c r="M346" s="5"/>
      <c r="N346" s="5"/>
      <c r="O346" s="5"/>
      <c r="P346" s="5"/>
      <c r="Q346" s="5"/>
      <c r="R346" s="5"/>
      <c r="S346" s="5"/>
    </row>
    <row r="347" spans="1:19" x14ac:dyDescent="0.25">
      <c r="A347" s="5"/>
      <c r="B347" s="5"/>
      <c r="C347" s="5"/>
      <c r="D347" s="5"/>
      <c r="E347" s="5"/>
      <c r="F347" s="5"/>
      <c r="G347" s="5"/>
      <c r="H347" s="5"/>
      <c r="I347" s="5"/>
      <c r="J347" s="5"/>
      <c r="K347" s="5"/>
      <c r="L347" s="5"/>
      <c r="M347" s="5"/>
      <c r="N347" s="5"/>
      <c r="O347" s="5"/>
      <c r="P347" s="5"/>
      <c r="Q347" s="5"/>
      <c r="R347" s="5"/>
      <c r="S347" s="5"/>
    </row>
    <row r="348" spans="1:19" x14ac:dyDescent="0.25">
      <c r="A348" s="5"/>
      <c r="B348" s="5"/>
      <c r="C348" s="5"/>
      <c r="D348" s="5"/>
      <c r="E348" s="5"/>
      <c r="F348" s="5"/>
      <c r="G348" s="5"/>
      <c r="H348" s="5"/>
      <c r="I348" s="5"/>
      <c r="J348" s="5"/>
      <c r="K348" s="5"/>
      <c r="L348" s="5"/>
      <c r="M348" s="5"/>
      <c r="N348" s="5"/>
      <c r="O348" s="5"/>
      <c r="P348" s="5"/>
      <c r="Q348" s="5"/>
      <c r="R348" s="5"/>
      <c r="S348" s="5"/>
    </row>
    <row r="349" spans="1:19" x14ac:dyDescent="0.25">
      <c r="A349" s="5"/>
      <c r="B349" s="5"/>
      <c r="C349" s="5"/>
      <c r="D349" s="5"/>
      <c r="E349" s="5"/>
      <c r="F349" s="5"/>
      <c r="G349" s="5"/>
      <c r="H349" s="5"/>
      <c r="I349" s="5"/>
      <c r="J349" s="5"/>
      <c r="K349" s="5"/>
      <c r="L349" s="5"/>
      <c r="M349" s="5"/>
      <c r="N349" s="5"/>
      <c r="O349" s="5"/>
      <c r="P349" s="5"/>
      <c r="Q349" s="5"/>
      <c r="R349" s="5"/>
      <c r="S349" s="5"/>
    </row>
    <row r="350" spans="1:19" x14ac:dyDescent="0.25">
      <c r="A350" s="5"/>
      <c r="B350" s="5"/>
      <c r="C350" s="5"/>
      <c r="D350" s="5"/>
      <c r="E350" s="5"/>
      <c r="F350" s="5"/>
      <c r="G350" s="5"/>
      <c r="H350" s="5"/>
      <c r="I350" s="5"/>
      <c r="J350" s="5"/>
      <c r="K350" s="5"/>
      <c r="L350" s="5"/>
      <c r="M350" s="5"/>
      <c r="N350" s="5"/>
      <c r="O350" s="5"/>
      <c r="P350" s="5"/>
      <c r="Q350" s="5"/>
      <c r="R350" s="5"/>
      <c r="S350" s="5"/>
    </row>
    <row r="351" spans="1:19" x14ac:dyDescent="0.25">
      <c r="A351" s="5"/>
      <c r="B351" s="5"/>
      <c r="C351" s="5"/>
      <c r="D351" s="5"/>
      <c r="E351" s="5"/>
      <c r="F351" s="5"/>
      <c r="G351" s="5"/>
      <c r="H351" s="5"/>
      <c r="I351" s="5"/>
      <c r="J351" s="5"/>
      <c r="K351" s="5"/>
      <c r="L351" s="5"/>
      <c r="M351" s="5"/>
      <c r="N351" s="5"/>
      <c r="O351" s="5"/>
      <c r="P351" s="5"/>
      <c r="Q351" s="5"/>
      <c r="R351" s="5"/>
      <c r="S351" s="5"/>
    </row>
    <row r="352" spans="1:19" x14ac:dyDescent="0.25">
      <c r="A352" s="5"/>
      <c r="B352" s="5"/>
      <c r="C352" s="5"/>
      <c r="D352" s="5"/>
      <c r="E352" s="5"/>
      <c r="F352" s="5"/>
      <c r="G352" s="5"/>
      <c r="H352" s="5"/>
      <c r="I352" s="5"/>
      <c r="J352" s="5"/>
      <c r="K352" s="5"/>
      <c r="L352" s="5"/>
      <c r="M352" s="5"/>
      <c r="N352" s="5"/>
      <c r="O352" s="5"/>
      <c r="P352" s="5"/>
      <c r="Q352" s="5"/>
      <c r="R352" s="5"/>
      <c r="S352" s="5"/>
    </row>
    <row r="353" spans="1:19" x14ac:dyDescent="0.25">
      <c r="A353" s="5"/>
      <c r="B353" s="5"/>
      <c r="C353" s="5"/>
      <c r="D353" s="5"/>
      <c r="E353" s="5"/>
      <c r="F353" s="5"/>
      <c r="G353" s="5"/>
      <c r="H353" s="5"/>
      <c r="I353" s="5"/>
      <c r="J353" s="5"/>
      <c r="K353" s="5"/>
      <c r="L353" s="5"/>
      <c r="M353" s="5"/>
      <c r="N353" s="5"/>
      <c r="O353" s="5"/>
      <c r="P353" s="5"/>
      <c r="Q353" s="5"/>
      <c r="R353" s="5"/>
      <c r="S353" s="5"/>
    </row>
    <row r="354" spans="1:19" x14ac:dyDescent="0.25">
      <c r="A354" s="5"/>
      <c r="B354" s="5"/>
      <c r="C354" s="5"/>
      <c r="D354" s="5"/>
      <c r="E354" s="5"/>
      <c r="F354" s="5"/>
      <c r="G354" s="5"/>
      <c r="H354" s="5"/>
      <c r="I354" s="5"/>
      <c r="J354" s="5"/>
      <c r="K354" s="5"/>
      <c r="L354" s="5"/>
      <c r="M354" s="5"/>
      <c r="N354" s="5"/>
      <c r="O354" s="5"/>
      <c r="P354" s="5"/>
      <c r="Q354" s="5"/>
      <c r="R354" s="5"/>
      <c r="S354" s="5"/>
    </row>
    <row r="355" spans="1:19" x14ac:dyDescent="0.25">
      <c r="A355" s="5"/>
      <c r="B355" s="5"/>
      <c r="C355" s="5"/>
      <c r="D355" s="5"/>
      <c r="E355" s="5"/>
      <c r="F355" s="5"/>
      <c r="G355" s="5"/>
      <c r="H355" s="5"/>
      <c r="I355" s="5"/>
      <c r="J355" s="5"/>
      <c r="K355" s="5"/>
      <c r="L355" s="5"/>
      <c r="M355" s="5"/>
      <c r="N355" s="5"/>
      <c r="O355" s="5"/>
      <c r="P355" s="5"/>
      <c r="Q355" s="5"/>
      <c r="R355" s="5"/>
      <c r="S355" s="5"/>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581"/>
  <sheetViews>
    <sheetView workbookViewId="0"/>
  </sheetViews>
  <sheetFormatPr defaultRowHeight="15" x14ac:dyDescent="0.25"/>
  <cols>
    <col min="1" max="1" width="21.5703125" style="3" customWidth="1"/>
    <col min="2" max="2" width="9.140625" style="3"/>
    <col min="3" max="3" width="20.140625" style="3" customWidth="1"/>
    <col min="4" max="4" width="9.140625" style="3"/>
    <col min="5" max="5" width="36.85546875" style="3" customWidth="1"/>
    <col min="6" max="6" width="13.28515625" style="3" customWidth="1"/>
    <col min="7" max="7" width="34.5703125" style="3" customWidth="1"/>
    <col min="8" max="8" width="9.140625" style="3"/>
    <col min="9" max="9" width="14.5703125" style="3" customWidth="1"/>
    <col min="10" max="10" width="29.85546875" style="3" customWidth="1"/>
    <col min="11" max="16384" width="9.140625" style="3"/>
  </cols>
  <sheetData>
    <row r="1" spans="1:17" s="2" customFormat="1" ht="31.5" customHeight="1" x14ac:dyDescent="0.25">
      <c r="A1" s="7" t="s">
        <v>0</v>
      </c>
      <c r="B1" s="8" t="s">
        <v>1</v>
      </c>
      <c r="C1" s="7" t="s">
        <v>2</v>
      </c>
      <c r="D1" s="7" t="s">
        <v>3</v>
      </c>
      <c r="E1" s="7" t="s">
        <v>4</v>
      </c>
      <c r="F1" s="7" t="s">
        <v>5</v>
      </c>
      <c r="G1" s="7" t="s">
        <v>6</v>
      </c>
      <c r="H1" s="7" t="s">
        <v>7</v>
      </c>
      <c r="I1" s="7" t="s">
        <v>8</v>
      </c>
      <c r="J1" s="7" t="s">
        <v>9</v>
      </c>
      <c r="K1" s="7" t="s">
        <v>10</v>
      </c>
      <c r="L1" s="7" t="s">
        <v>11</v>
      </c>
      <c r="M1" s="7" t="s">
        <v>12</v>
      </c>
      <c r="N1" s="7" t="s">
        <v>13</v>
      </c>
      <c r="O1" s="7" t="s">
        <v>14</v>
      </c>
      <c r="P1" s="7" t="s">
        <v>15</v>
      </c>
      <c r="Q1" s="7" t="s">
        <v>16</v>
      </c>
    </row>
    <row r="2" spans="1:17" ht="150" customHeight="1" x14ac:dyDescent="0.25">
      <c r="A2" s="6"/>
      <c r="B2" s="6"/>
      <c r="C2" s="21" t="s">
        <v>121</v>
      </c>
      <c r="D2" s="22" t="s">
        <v>55</v>
      </c>
      <c r="E2" s="22" t="s">
        <v>118</v>
      </c>
      <c r="F2" s="34" t="s">
        <v>17</v>
      </c>
      <c r="G2" s="22" t="s">
        <v>585</v>
      </c>
      <c r="H2" s="23"/>
      <c r="I2" s="22" t="s">
        <v>517</v>
      </c>
      <c r="J2" s="24" t="s">
        <v>80</v>
      </c>
      <c r="K2" s="6"/>
      <c r="L2" s="6"/>
      <c r="M2" s="6"/>
      <c r="N2" s="6"/>
      <c r="O2" s="6"/>
      <c r="P2" s="6"/>
      <c r="Q2" s="6"/>
    </row>
    <row r="3" spans="1:17" ht="38.25" x14ac:dyDescent="0.25">
      <c r="A3" s="6"/>
      <c r="B3" s="6"/>
      <c r="C3" s="21" t="s">
        <v>121</v>
      </c>
      <c r="D3" s="24"/>
      <c r="E3" s="24"/>
      <c r="F3" s="25" t="s">
        <v>26</v>
      </c>
      <c r="G3" s="26" t="s">
        <v>18</v>
      </c>
      <c r="H3" s="24"/>
      <c r="I3" s="24"/>
      <c r="J3" s="26" t="s">
        <v>20</v>
      </c>
      <c r="K3" s="6"/>
      <c r="L3" s="6"/>
      <c r="M3" s="6"/>
      <c r="N3" s="6"/>
      <c r="O3" s="6"/>
      <c r="P3" s="6"/>
      <c r="Q3" s="6"/>
    </row>
    <row r="4" spans="1:17" ht="38.25" x14ac:dyDescent="0.25">
      <c r="A4" s="6"/>
      <c r="B4" s="6"/>
      <c r="C4" s="21" t="s">
        <v>121</v>
      </c>
      <c r="D4" s="24"/>
      <c r="E4" s="24"/>
      <c r="F4" s="25" t="s">
        <v>28</v>
      </c>
      <c r="G4" s="26" t="s">
        <v>21</v>
      </c>
      <c r="H4" s="24"/>
      <c r="I4" s="24"/>
      <c r="J4" s="26" t="s">
        <v>22</v>
      </c>
      <c r="K4" s="6"/>
      <c r="L4" s="6"/>
      <c r="M4" s="6"/>
      <c r="N4" s="6"/>
      <c r="O4" s="6"/>
      <c r="P4" s="6"/>
      <c r="Q4" s="6"/>
    </row>
    <row r="5" spans="1:17" ht="51" x14ac:dyDescent="0.25">
      <c r="A5" s="6"/>
      <c r="B5" s="6"/>
      <c r="C5" s="21" t="s">
        <v>121</v>
      </c>
      <c r="D5" s="24"/>
      <c r="E5" s="24"/>
      <c r="F5" s="25" t="s">
        <v>29</v>
      </c>
      <c r="G5" s="26" t="s">
        <v>23</v>
      </c>
      <c r="H5" s="24"/>
      <c r="I5" s="24"/>
      <c r="J5" s="26" t="s">
        <v>41</v>
      </c>
      <c r="K5" s="6"/>
      <c r="L5" s="6"/>
      <c r="M5" s="6"/>
      <c r="N5" s="6"/>
      <c r="O5" s="6"/>
      <c r="P5" s="6"/>
      <c r="Q5" s="6"/>
    </row>
    <row r="6" spans="1:17" ht="38.25" x14ac:dyDescent="0.25">
      <c r="A6" s="6"/>
      <c r="B6" s="6"/>
      <c r="C6" s="21" t="s">
        <v>121</v>
      </c>
      <c r="D6" s="24"/>
      <c r="E6" s="24"/>
      <c r="F6" s="27" t="s">
        <v>30</v>
      </c>
      <c r="G6" s="27" t="s">
        <v>43</v>
      </c>
      <c r="H6" s="27"/>
      <c r="I6" s="27"/>
      <c r="J6" s="21" t="s">
        <v>44</v>
      </c>
      <c r="K6" s="6"/>
      <c r="L6" s="6"/>
      <c r="M6" s="6"/>
      <c r="N6" s="6"/>
      <c r="O6" s="6"/>
      <c r="P6" s="6"/>
      <c r="Q6" s="6"/>
    </row>
    <row r="7" spans="1:17" ht="38.25" x14ac:dyDescent="0.25">
      <c r="A7" s="6"/>
      <c r="B7" s="6"/>
      <c r="C7" s="21" t="s">
        <v>121</v>
      </c>
      <c r="D7" s="24"/>
      <c r="E7" s="24"/>
      <c r="F7" s="27" t="s">
        <v>31</v>
      </c>
      <c r="G7" s="25" t="s">
        <v>25</v>
      </c>
      <c r="H7" s="25"/>
      <c r="I7" s="25"/>
      <c r="J7" s="25" t="s">
        <v>27</v>
      </c>
      <c r="K7" s="6"/>
      <c r="L7" s="6"/>
      <c r="M7" s="6"/>
      <c r="N7" s="6"/>
      <c r="O7" s="6"/>
      <c r="P7" s="6"/>
      <c r="Q7" s="6"/>
    </row>
    <row r="8" spans="1:17" ht="38.25" x14ac:dyDescent="0.25">
      <c r="A8" s="6"/>
      <c r="B8" s="6"/>
      <c r="C8" s="21" t="s">
        <v>121</v>
      </c>
      <c r="D8" s="24"/>
      <c r="E8" s="24"/>
      <c r="F8" s="27" t="s">
        <v>32</v>
      </c>
      <c r="G8" s="25" t="s">
        <v>521</v>
      </c>
      <c r="H8" s="25"/>
      <c r="I8" s="25"/>
      <c r="J8" s="25" t="s">
        <v>522</v>
      </c>
      <c r="K8" s="6"/>
      <c r="L8" s="6"/>
      <c r="M8" s="6"/>
      <c r="N8" s="6"/>
      <c r="O8" s="6"/>
      <c r="P8" s="6"/>
      <c r="Q8" s="6"/>
    </row>
    <row r="9" spans="1:17" ht="38.25" x14ac:dyDescent="0.25">
      <c r="A9" s="6"/>
      <c r="B9" s="6"/>
      <c r="C9" s="21" t="s">
        <v>121</v>
      </c>
      <c r="D9" s="23"/>
      <c r="E9" s="23"/>
      <c r="F9" s="27" t="s">
        <v>33</v>
      </c>
      <c r="G9" s="21" t="s">
        <v>50</v>
      </c>
      <c r="H9" s="27"/>
      <c r="I9" s="21"/>
      <c r="J9" s="21" t="s">
        <v>51</v>
      </c>
      <c r="K9" s="6"/>
      <c r="L9" s="6"/>
      <c r="M9" s="6"/>
      <c r="N9" s="6"/>
      <c r="O9" s="6"/>
      <c r="P9" s="6"/>
      <c r="Q9" s="6"/>
    </row>
    <row r="10" spans="1:17" ht="102" x14ac:dyDescent="0.25">
      <c r="A10" s="6"/>
      <c r="B10" s="6"/>
      <c r="C10" s="21" t="s">
        <v>121</v>
      </c>
      <c r="D10" s="23"/>
      <c r="E10" s="23"/>
      <c r="F10" s="27" t="s">
        <v>49</v>
      </c>
      <c r="G10" s="22" t="s">
        <v>566</v>
      </c>
      <c r="H10" s="23"/>
      <c r="I10" s="22" t="s">
        <v>119</v>
      </c>
      <c r="J10" s="22" t="s">
        <v>120</v>
      </c>
      <c r="K10" s="6"/>
      <c r="L10" s="6"/>
      <c r="M10" s="6"/>
      <c r="N10" s="6"/>
      <c r="O10" s="6"/>
      <c r="P10" s="6"/>
      <c r="Q10" s="6"/>
    </row>
    <row r="11" spans="1:17" ht="153" x14ac:dyDescent="0.25">
      <c r="A11" s="6"/>
      <c r="B11" s="6"/>
      <c r="C11" s="21" t="s">
        <v>124</v>
      </c>
      <c r="D11" s="22" t="s">
        <v>55</v>
      </c>
      <c r="E11" s="22" t="s">
        <v>125</v>
      </c>
      <c r="F11" s="34" t="s">
        <v>17</v>
      </c>
      <c r="G11" s="22" t="s">
        <v>586</v>
      </c>
      <c r="H11" s="23"/>
      <c r="I11" s="22" t="s">
        <v>517</v>
      </c>
      <c r="J11" s="24" t="s">
        <v>80</v>
      </c>
      <c r="K11" s="6"/>
      <c r="L11" s="6"/>
      <c r="M11" s="6"/>
      <c r="N11" s="6"/>
      <c r="O11" s="6"/>
      <c r="P11" s="6"/>
      <c r="Q11" s="6"/>
    </row>
    <row r="12" spans="1:17" ht="63.75" x14ac:dyDescent="0.25">
      <c r="A12" s="6"/>
      <c r="B12" s="6"/>
      <c r="C12" s="21" t="s">
        <v>124</v>
      </c>
      <c r="D12" s="24"/>
      <c r="E12" s="24"/>
      <c r="F12" s="25" t="s">
        <v>26</v>
      </c>
      <c r="G12" s="26" t="s">
        <v>18</v>
      </c>
      <c r="H12" s="24"/>
      <c r="I12" s="24"/>
      <c r="J12" s="26" t="s">
        <v>20</v>
      </c>
      <c r="K12" s="6"/>
      <c r="L12" s="6"/>
      <c r="M12" s="6"/>
      <c r="N12" s="6"/>
      <c r="O12" s="6"/>
      <c r="P12" s="6"/>
      <c r="Q12" s="6"/>
    </row>
    <row r="13" spans="1:17" ht="63.75" x14ac:dyDescent="0.25">
      <c r="A13" s="6"/>
      <c r="B13" s="6"/>
      <c r="C13" s="21" t="s">
        <v>124</v>
      </c>
      <c r="D13" s="24"/>
      <c r="E13" s="24"/>
      <c r="F13" s="25" t="s">
        <v>28</v>
      </c>
      <c r="G13" s="26" t="s">
        <v>21</v>
      </c>
      <c r="H13" s="24"/>
      <c r="I13" s="24"/>
      <c r="J13" s="26" t="s">
        <v>22</v>
      </c>
      <c r="K13" s="6"/>
      <c r="L13" s="6"/>
      <c r="M13" s="6"/>
      <c r="N13" s="6"/>
      <c r="O13" s="6"/>
      <c r="P13" s="6"/>
      <c r="Q13" s="6"/>
    </row>
    <row r="14" spans="1:17" ht="63.75" x14ac:dyDescent="0.25">
      <c r="A14" s="6"/>
      <c r="B14" s="6"/>
      <c r="C14" s="21" t="s">
        <v>124</v>
      </c>
      <c r="D14" s="24"/>
      <c r="E14" s="24"/>
      <c r="F14" s="25" t="s">
        <v>29</v>
      </c>
      <c r="G14" s="26" t="s">
        <v>23</v>
      </c>
      <c r="H14" s="24"/>
      <c r="I14" s="24"/>
      <c r="J14" s="26" t="s">
        <v>41</v>
      </c>
      <c r="K14" s="6"/>
      <c r="L14" s="6"/>
      <c r="M14" s="6"/>
      <c r="N14" s="6"/>
      <c r="O14" s="6"/>
      <c r="P14" s="6"/>
      <c r="Q14" s="6"/>
    </row>
    <row r="15" spans="1:17" ht="63.75" x14ac:dyDescent="0.25">
      <c r="A15" s="6"/>
      <c r="B15" s="6"/>
      <c r="C15" s="21" t="s">
        <v>124</v>
      </c>
      <c r="D15" s="24"/>
      <c r="E15" s="24"/>
      <c r="F15" s="27" t="s">
        <v>30</v>
      </c>
      <c r="G15" s="27" t="s">
        <v>43</v>
      </c>
      <c r="H15" s="27"/>
      <c r="I15" s="27"/>
      <c r="J15" s="21" t="s">
        <v>44</v>
      </c>
      <c r="K15" s="6"/>
      <c r="L15" s="6"/>
      <c r="M15" s="6"/>
      <c r="N15" s="6"/>
      <c r="O15" s="6"/>
      <c r="P15" s="6"/>
      <c r="Q15" s="6"/>
    </row>
    <row r="16" spans="1:17" ht="63.75" x14ac:dyDescent="0.25">
      <c r="A16" s="6"/>
      <c r="B16" s="6"/>
      <c r="C16" s="21" t="s">
        <v>124</v>
      </c>
      <c r="D16" s="24"/>
      <c r="E16" s="24"/>
      <c r="F16" s="27" t="s">
        <v>31</v>
      </c>
      <c r="G16" s="25" t="s">
        <v>25</v>
      </c>
      <c r="H16" s="25"/>
      <c r="I16" s="25"/>
      <c r="J16" s="25" t="s">
        <v>27</v>
      </c>
      <c r="K16" s="6"/>
      <c r="L16" s="6"/>
      <c r="M16" s="6"/>
      <c r="N16" s="6"/>
      <c r="O16" s="6"/>
      <c r="P16" s="6"/>
      <c r="Q16" s="6"/>
    </row>
    <row r="17" spans="1:17" ht="63.75" x14ac:dyDescent="0.25">
      <c r="A17" s="6"/>
      <c r="B17" s="6"/>
      <c r="C17" s="21" t="s">
        <v>124</v>
      </c>
      <c r="D17" s="24"/>
      <c r="E17" s="24"/>
      <c r="F17" s="27" t="s">
        <v>32</v>
      </c>
      <c r="G17" s="25" t="s">
        <v>521</v>
      </c>
      <c r="H17" s="25"/>
      <c r="I17" s="25"/>
      <c r="J17" s="25" t="s">
        <v>522</v>
      </c>
      <c r="K17" s="6"/>
      <c r="L17" s="6"/>
      <c r="M17" s="6"/>
      <c r="N17" s="6"/>
      <c r="O17" s="6"/>
      <c r="P17" s="6"/>
      <c r="Q17" s="6"/>
    </row>
    <row r="18" spans="1:17" ht="63.75" x14ac:dyDescent="0.25">
      <c r="A18" s="6"/>
      <c r="B18" s="6"/>
      <c r="C18" s="21" t="s">
        <v>124</v>
      </c>
      <c r="D18" s="23"/>
      <c r="E18" s="23"/>
      <c r="F18" s="27" t="s">
        <v>33</v>
      </c>
      <c r="G18" s="21" t="s">
        <v>50</v>
      </c>
      <c r="H18" s="27"/>
      <c r="I18" s="21"/>
      <c r="J18" s="21" t="s">
        <v>51</v>
      </c>
      <c r="K18" s="6"/>
      <c r="L18" s="6"/>
      <c r="M18" s="6"/>
      <c r="N18" s="6"/>
      <c r="O18" s="6"/>
      <c r="P18" s="6"/>
      <c r="Q18" s="6"/>
    </row>
    <row r="19" spans="1:17" ht="102" x14ac:dyDescent="0.25">
      <c r="A19" s="6"/>
      <c r="B19" s="6"/>
      <c r="C19" s="21" t="s">
        <v>124</v>
      </c>
      <c r="D19" s="23"/>
      <c r="E19" s="23"/>
      <c r="F19" s="27" t="s">
        <v>49</v>
      </c>
      <c r="G19" s="22" t="s">
        <v>566</v>
      </c>
      <c r="H19" s="23"/>
      <c r="I19" s="22" t="s">
        <v>119</v>
      </c>
      <c r="J19" s="22" t="s">
        <v>120</v>
      </c>
      <c r="K19" s="6"/>
      <c r="L19" s="6"/>
      <c r="M19" s="6"/>
      <c r="N19" s="6"/>
      <c r="O19" s="6"/>
      <c r="P19" s="6"/>
      <c r="Q19" s="6"/>
    </row>
    <row r="20" spans="1:17" ht="178.5" x14ac:dyDescent="0.25">
      <c r="A20" s="6"/>
      <c r="B20" s="6"/>
      <c r="C20" s="21" t="s">
        <v>127</v>
      </c>
      <c r="D20" s="22" t="s">
        <v>55</v>
      </c>
      <c r="E20" s="22" t="s">
        <v>128</v>
      </c>
      <c r="F20" s="34" t="s">
        <v>17</v>
      </c>
      <c r="G20" s="22" t="s">
        <v>587</v>
      </c>
      <c r="H20" s="23"/>
      <c r="I20" s="22" t="s">
        <v>517</v>
      </c>
      <c r="J20" s="24" t="s">
        <v>80</v>
      </c>
      <c r="K20" s="6"/>
      <c r="L20" s="6"/>
      <c r="M20" s="6"/>
      <c r="N20" s="6"/>
      <c r="O20" s="6"/>
      <c r="P20" s="6"/>
      <c r="Q20" s="6"/>
    </row>
    <row r="21" spans="1:17" ht="63.75" x14ac:dyDescent="0.25">
      <c r="A21" s="6"/>
      <c r="B21" s="6"/>
      <c r="C21" s="21" t="s">
        <v>127</v>
      </c>
      <c r="D21" s="24"/>
      <c r="E21" s="24"/>
      <c r="F21" s="25" t="s">
        <v>26</v>
      </c>
      <c r="G21" s="26" t="s">
        <v>18</v>
      </c>
      <c r="H21" s="24"/>
      <c r="I21" s="24"/>
      <c r="J21" s="26" t="s">
        <v>20</v>
      </c>
      <c r="K21" s="6"/>
      <c r="L21" s="6"/>
      <c r="M21" s="6"/>
      <c r="N21" s="6"/>
      <c r="O21" s="6"/>
      <c r="P21" s="6"/>
      <c r="Q21" s="6"/>
    </row>
    <row r="22" spans="1:17" ht="63.75" x14ac:dyDescent="0.25">
      <c r="A22" s="6"/>
      <c r="B22" s="6"/>
      <c r="C22" s="21" t="s">
        <v>127</v>
      </c>
      <c r="D22" s="24"/>
      <c r="E22" s="24"/>
      <c r="F22" s="25" t="s">
        <v>28</v>
      </c>
      <c r="G22" s="26" t="s">
        <v>21</v>
      </c>
      <c r="H22" s="24"/>
      <c r="I22" s="24"/>
      <c r="J22" s="26" t="s">
        <v>22</v>
      </c>
      <c r="K22" s="6"/>
      <c r="L22" s="6"/>
      <c r="M22" s="6"/>
      <c r="N22" s="6"/>
      <c r="O22" s="6"/>
      <c r="P22" s="6"/>
      <c r="Q22" s="6"/>
    </row>
    <row r="23" spans="1:17" ht="63.75" x14ac:dyDescent="0.25">
      <c r="A23" s="6"/>
      <c r="B23" s="6"/>
      <c r="C23" s="21" t="s">
        <v>127</v>
      </c>
      <c r="D23" s="24"/>
      <c r="E23" s="24"/>
      <c r="F23" s="25" t="s">
        <v>29</v>
      </c>
      <c r="G23" s="26" t="s">
        <v>23</v>
      </c>
      <c r="H23" s="24"/>
      <c r="I23" s="24"/>
      <c r="J23" s="26" t="s">
        <v>41</v>
      </c>
      <c r="K23" s="6"/>
      <c r="L23" s="6"/>
      <c r="M23" s="6"/>
      <c r="N23" s="6"/>
      <c r="O23" s="6"/>
      <c r="P23" s="6"/>
      <c r="Q23" s="6"/>
    </row>
    <row r="24" spans="1:17" ht="63.75" x14ac:dyDescent="0.25">
      <c r="A24" s="6"/>
      <c r="B24" s="6"/>
      <c r="C24" s="21" t="s">
        <v>127</v>
      </c>
      <c r="D24" s="24"/>
      <c r="E24" s="24"/>
      <c r="F24" s="27" t="s">
        <v>30</v>
      </c>
      <c r="G24" s="27" t="s">
        <v>43</v>
      </c>
      <c r="H24" s="27"/>
      <c r="I24" s="27"/>
      <c r="J24" s="21" t="s">
        <v>44</v>
      </c>
      <c r="K24" s="6"/>
      <c r="L24" s="6"/>
      <c r="M24" s="6"/>
      <c r="N24" s="6"/>
      <c r="O24" s="6"/>
      <c r="P24" s="6"/>
      <c r="Q24" s="6"/>
    </row>
    <row r="25" spans="1:17" ht="63.75" x14ac:dyDescent="0.25">
      <c r="A25" s="6"/>
      <c r="B25" s="6"/>
      <c r="C25" s="21" t="s">
        <v>127</v>
      </c>
      <c r="D25" s="24"/>
      <c r="E25" s="24"/>
      <c r="F25" s="27" t="s">
        <v>31</v>
      </c>
      <c r="G25" s="25" t="s">
        <v>25</v>
      </c>
      <c r="H25" s="25"/>
      <c r="I25" s="25"/>
      <c r="J25" s="25" t="s">
        <v>27</v>
      </c>
      <c r="K25" s="6"/>
      <c r="L25" s="6"/>
      <c r="M25" s="6"/>
      <c r="N25" s="6"/>
      <c r="O25" s="6"/>
      <c r="P25" s="6"/>
      <c r="Q25" s="6"/>
    </row>
    <row r="26" spans="1:17" ht="63.75" x14ac:dyDescent="0.25">
      <c r="A26" s="6"/>
      <c r="B26" s="6"/>
      <c r="C26" s="21" t="s">
        <v>127</v>
      </c>
      <c r="D26" s="24"/>
      <c r="E26" s="24"/>
      <c r="F26" s="27" t="s">
        <v>32</v>
      </c>
      <c r="G26" s="25" t="s">
        <v>521</v>
      </c>
      <c r="H26" s="25"/>
      <c r="I26" s="25"/>
      <c r="J26" s="25" t="s">
        <v>522</v>
      </c>
      <c r="K26" s="6"/>
      <c r="L26" s="6"/>
      <c r="M26" s="6"/>
      <c r="N26" s="6"/>
      <c r="O26" s="6"/>
      <c r="P26" s="6"/>
      <c r="Q26" s="6"/>
    </row>
    <row r="27" spans="1:17" ht="63.75" x14ac:dyDescent="0.25">
      <c r="A27" s="6"/>
      <c r="B27" s="6"/>
      <c r="C27" s="21" t="s">
        <v>127</v>
      </c>
      <c r="D27" s="23"/>
      <c r="E27" s="23"/>
      <c r="F27" s="27" t="s">
        <v>33</v>
      </c>
      <c r="G27" s="21" t="s">
        <v>50</v>
      </c>
      <c r="H27" s="27"/>
      <c r="I27" s="21"/>
      <c r="J27" s="21" t="s">
        <v>51</v>
      </c>
      <c r="K27" s="6"/>
      <c r="L27" s="6"/>
      <c r="M27" s="6"/>
      <c r="N27" s="6"/>
      <c r="O27" s="6"/>
      <c r="P27" s="6"/>
      <c r="Q27" s="6"/>
    </row>
    <row r="28" spans="1:17" ht="102" x14ac:dyDescent="0.25">
      <c r="A28" s="6"/>
      <c r="B28" s="6"/>
      <c r="C28" s="21" t="s">
        <v>127</v>
      </c>
      <c r="D28" s="23"/>
      <c r="E28" s="23"/>
      <c r="F28" s="27" t="s">
        <v>49</v>
      </c>
      <c r="G28" s="22" t="s">
        <v>566</v>
      </c>
      <c r="H28" s="23"/>
      <c r="I28" s="22" t="s">
        <v>119</v>
      </c>
      <c r="J28" s="22" t="s">
        <v>120</v>
      </c>
      <c r="K28" s="6"/>
      <c r="L28" s="6"/>
      <c r="M28" s="6"/>
      <c r="N28" s="6"/>
      <c r="O28" s="6"/>
      <c r="P28" s="6"/>
      <c r="Q28" s="6"/>
    </row>
    <row r="29" spans="1:17" ht="140.25" x14ac:dyDescent="0.25">
      <c r="A29" s="6"/>
      <c r="B29" s="6"/>
      <c r="C29" s="21" t="s">
        <v>132</v>
      </c>
      <c r="D29" s="22" t="s">
        <v>55</v>
      </c>
      <c r="E29" s="22" t="s">
        <v>131</v>
      </c>
      <c r="F29" s="34" t="s">
        <v>17</v>
      </c>
      <c r="G29" s="22" t="s">
        <v>588</v>
      </c>
      <c r="H29" s="23"/>
      <c r="I29" s="22" t="s">
        <v>517</v>
      </c>
      <c r="J29" s="24" t="s">
        <v>80</v>
      </c>
      <c r="K29" s="6"/>
      <c r="L29" s="6"/>
      <c r="M29" s="6"/>
      <c r="N29" s="6"/>
      <c r="O29" s="6"/>
      <c r="P29" s="6"/>
      <c r="Q29" s="6"/>
    </row>
    <row r="30" spans="1:17" ht="89.25" x14ac:dyDescent="0.25">
      <c r="A30" s="6"/>
      <c r="B30" s="6"/>
      <c r="C30" s="21" t="s">
        <v>132</v>
      </c>
      <c r="D30" s="24"/>
      <c r="E30" s="24"/>
      <c r="F30" s="25" t="s">
        <v>26</v>
      </c>
      <c r="G30" s="26" t="s">
        <v>18</v>
      </c>
      <c r="H30" s="24"/>
      <c r="I30" s="24"/>
      <c r="J30" s="26" t="s">
        <v>20</v>
      </c>
      <c r="K30" s="6"/>
      <c r="L30" s="6"/>
      <c r="M30" s="6"/>
      <c r="N30" s="6"/>
      <c r="O30" s="6"/>
      <c r="P30" s="6"/>
      <c r="Q30" s="6"/>
    </row>
    <row r="31" spans="1:17" ht="89.25" x14ac:dyDescent="0.25">
      <c r="A31" s="6"/>
      <c r="B31" s="6"/>
      <c r="C31" s="21" t="s">
        <v>132</v>
      </c>
      <c r="D31" s="24"/>
      <c r="E31" s="24"/>
      <c r="F31" s="25" t="s">
        <v>28</v>
      </c>
      <c r="G31" s="26" t="s">
        <v>21</v>
      </c>
      <c r="H31" s="24"/>
      <c r="I31" s="24"/>
      <c r="J31" s="26" t="s">
        <v>22</v>
      </c>
      <c r="K31" s="6"/>
      <c r="L31" s="6"/>
      <c r="M31" s="6"/>
      <c r="N31" s="6"/>
      <c r="O31" s="6"/>
      <c r="P31" s="6"/>
      <c r="Q31" s="6"/>
    </row>
    <row r="32" spans="1:17" ht="89.25" x14ac:dyDescent="0.25">
      <c r="A32" s="6"/>
      <c r="B32" s="6"/>
      <c r="C32" s="21" t="s">
        <v>132</v>
      </c>
      <c r="D32" s="24"/>
      <c r="E32" s="24"/>
      <c r="F32" s="25" t="s">
        <v>29</v>
      </c>
      <c r="G32" s="26" t="s">
        <v>23</v>
      </c>
      <c r="H32" s="24"/>
      <c r="I32" s="24"/>
      <c r="J32" s="26" t="s">
        <v>41</v>
      </c>
      <c r="K32" s="6"/>
      <c r="L32" s="6"/>
      <c r="M32" s="6"/>
      <c r="N32" s="6"/>
      <c r="O32" s="6"/>
      <c r="P32" s="6"/>
      <c r="Q32" s="6"/>
    </row>
    <row r="33" spans="1:17" ht="89.25" x14ac:dyDescent="0.25">
      <c r="A33" s="6"/>
      <c r="B33" s="6"/>
      <c r="C33" s="21" t="s">
        <v>132</v>
      </c>
      <c r="D33" s="24"/>
      <c r="E33" s="24"/>
      <c r="F33" s="27" t="s">
        <v>30</v>
      </c>
      <c r="G33" s="27" t="s">
        <v>43</v>
      </c>
      <c r="H33" s="27"/>
      <c r="I33" s="27"/>
      <c r="J33" s="21" t="s">
        <v>44</v>
      </c>
      <c r="K33" s="6"/>
      <c r="L33" s="6"/>
      <c r="M33" s="6"/>
      <c r="N33" s="6"/>
      <c r="O33" s="6"/>
      <c r="P33" s="6"/>
      <c r="Q33" s="6"/>
    </row>
    <row r="34" spans="1:17" ht="89.25" x14ac:dyDescent="0.25">
      <c r="A34" s="6"/>
      <c r="B34" s="6"/>
      <c r="C34" s="21" t="s">
        <v>132</v>
      </c>
      <c r="D34" s="24"/>
      <c r="E34" s="24"/>
      <c r="F34" s="27" t="s">
        <v>31</v>
      </c>
      <c r="G34" s="25" t="s">
        <v>25</v>
      </c>
      <c r="H34" s="25"/>
      <c r="I34" s="25"/>
      <c r="J34" s="25" t="s">
        <v>27</v>
      </c>
      <c r="K34" s="6"/>
      <c r="L34" s="6"/>
      <c r="M34" s="6"/>
      <c r="N34" s="6"/>
      <c r="O34" s="6"/>
      <c r="P34" s="6"/>
      <c r="Q34" s="6"/>
    </row>
    <row r="35" spans="1:17" ht="89.25" x14ac:dyDescent="0.25">
      <c r="A35" s="6"/>
      <c r="B35" s="6"/>
      <c r="C35" s="21" t="s">
        <v>132</v>
      </c>
      <c r="D35" s="24"/>
      <c r="E35" s="24"/>
      <c r="F35" s="27" t="s">
        <v>32</v>
      </c>
      <c r="G35" s="25" t="s">
        <v>521</v>
      </c>
      <c r="H35" s="25"/>
      <c r="I35" s="25"/>
      <c r="J35" s="25" t="s">
        <v>522</v>
      </c>
      <c r="K35" s="6"/>
      <c r="L35" s="6"/>
      <c r="M35" s="6"/>
      <c r="N35" s="6"/>
      <c r="O35" s="6"/>
      <c r="P35" s="6"/>
      <c r="Q35" s="6"/>
    </row>
    <row r="36" spans="1:17" ht="89.25" x14ac:dyDescent="0.25">
      <c r="A36" s="6"/>
      <c r="B36" s="6"/>
      <c r="C36" s="21" t="s">
        <v>132</v>
      </c>
      <c r="D36" s="23"/>
      <c r="E36" s="23"/>
      <c r="F36" s="27" t="s">
        <v>33</v>
      </c>
      <c r="G36" s="21" t="s">
        <v>50</v>
      </c>
      <c r="H36" s="27"/>
      <c r="I36" s="21"/>
      <c r="J36" s="21" t="s">
        <v>51</v>
      </c>
      <c r="K36" s="6"/>
      <c r="L36" s="6"/>
      <c r="M36" s="6"/>
      <c r="N36" s="6"/>
      <c r="O36" s="6"/>
      <c r="P36" s="6"/>
      <c r="Q36" s="6"/>
    </row>
    <row r="37" spans="1:17" ht="102" x14ac:dyDescent="0.25">
      <c r="A37" s="6"/>
      <c r="B37" s="6"/>
      <c r="C37" s="21" t="s">
        <v>132</v>
      </c>
      <c r="D37" s="23"/>
      <c r="E37" s="23"/>
      <c r="F37" s="27" t="s">
        <v>49</v>
      </c>
      <c r="G37" s="22" t="s">
        <v>566</v>
      </c>
      <c r="H37" s="23"/>
      <c r="I37" s="22" t="s">
        <v>119</v>
      </c>
      <c r="J37" s="22" t="s">
        <v>120</v>
      </c>
      <c r="K37" s="6"/>
      <c r="L37" s="6"/>
      <c r="M37" s="6"/>
      <c r="N37" s="6"/>
      <c r="O37" s="6"/>
      <c r="P37" s="6"/>
      <c r="Q37" s="6"/>
    </row>
    <row r="38" spans="1:17" ht="191.25" x14ac:dyDescent="0.25">
      <c r="A38" s="6"/>
      <c r="B38" s="6"/>
      <c r="C38" s="21" t="s">
        <v>133</v>
      </c>
      <c r="D38" s="22" t="s">
        <v>55</v>
      </c>
      <c r="E38" s="22" t="s">
        <v>134</v>
      </c>
      <c r="F38" s="34" t="s">
        <v>17</v>
      </c>
      <c r="G38" s="22" t="s">
        <v>589</v>
      </c>
      <c r="H38" s="23"/>
      <c r="I38" s="22" t="s">
        <v>517</v>
      </c>
      <c r="J38" s="24" t="s">
        <v>80</v>
      </c>
      <c r="K38" s="6"/>
      <c r="L38" s="6"/>
      <c r="M38" s="6"/>
      <c r="N38" s="6"/>
      <c r="O38" s="6"/>
      <c r="P38" s="6"/>
      <c r="Q38" s="6"/>
    </row>
    <row r="39" spans="1:17" ht="63.75" x14ac:dyDescent="0.25">
      <c r="A39" s="6"/>
      <c r="B39" s="6"/>
      <c r="C39" s="21" t="s">
        <v>133</v>
      </c>
      <c r="D39" s="24"/>
      <c r="E39" s="24"/>
      <c r="F39" s="25" t="s">
        <v>26</v>
      </c>
      <c r="G39" s="26" t="s">
        <v>18</v>
      </c>
      <c r="H39" s="24"/>
      <c r="I39" s="24"/>
      <c r="J39" s="26" t="s">
        <v>20</v>
      </c>
      <c r="K39" s="6"/>
      <c r="L39" s="6"/>
      <c r="M39" s="6"/>
      <c r="N39" s="6"/>
      <c r="O39" s="6"/>
      <c r="P39" s="6"/>
      <c r="Q39" s="6"/>
    </row>
    <row r="40" spans="1:17" ht="63.75" x14ac:dyDescent="0.25">
      <c r="A40" s="6"/>
      <c r="B40" s="6"/>
      <c r="C40" s="21" t="s">
        <v>133</v>
      </c>
      <c r="D40" s="24"/>
      <c r="E40" s="24"/>
      <c r="F40" s="25" t="s">
        <v>28</v>
      </c>
      <c r="G40" s="26" t="s">
        <v>21</v>
      </c>
      <c r="H40" s="24"/>
      <c r="I40" s="24"/>
      <c r="J40" s="26" t="s">
        <v>22</v>
      </c>
      <c r="K40" s="6"/>
      <c r="L40" s="6"/>
      <c r="M40" s="6"/>
      <c r="N40" s="6"/>
      <c r="O40" s="6"/>
      <c r="P40" s="6"/>
      <c r="Q40" s="6"/>
    </row>
    <row r="41" spans="1:17" ht="63.75" x14ac:dyDescent="0.25">
      <c r="A41" s="6"/>
      <c r="B41" s="6"/>
      <c r="C41" s="21" t="s">
        <v>133</v>
      </c>
      <c r="D41" s="24"/>
      <c r="E41" s="24"/>
      <c r="F41" s="25" t="s">
        <v>29</v>
      </c>
      <c r="G41" s="26" t="s">
        <v>23</v>
      </c>
      <c r="H41" s="24"/>
      <c r="I41" s="24"/>
      <c r="J41" s="26" t="s">
        <v>41</v>
      </c>
      <c r="K41" s="6"/>
      <c r="L41" s="6"/>
      <c r="M41" s="6"/>
      <c r="N41" s="6"/>
      <c r="O41" s="6"/>
      <c r="P41" s="6"/>
      <c r="Q41" s="6"/>
    </row>
    <row r="42" spans="1:17" ht="63.75" x14ac:dyDescent="0.25">
      <c r="A42" s="6"/>
      <c r="B42" s="6"/>
      <c r="C42" s="21" t="s">
        <v>133</v>
      </c>
      <c r="D42" s="24"/>
      <c r="E42" s="24"/>
      <c r="F42" s="27" t="s">
        <v>30</v>
      </c>
      <c r="G42" s="27" t="s">
        <v>43</v>
      </c>
      <c r="H42" s="27"/>
      <c r="I42" s="27"/>
      <c r="J42" s="21" t="s">
        <v>44</v>
      </c>
      <c r="K42" s="6"/>
      <c r="L42" s="6"/>
      <c r="M42" s="6"/>
      <c r="N42" s="6"/>
      <c r="O42" s="6"/>
      <c r="P42" s="6"/>
      <c r="Q42" s="6"/>
    </row>
    <row r="43" spans="1:17" ht="63.75" x14ac:dyDescent="0.25">
      <c r="A43" s="6"/>
      <c r="B43" s="6"/>
      <c r="C43" s="21" t="s">
        <v>133</v>
      </c>
      <c r="D43" s="24"/>
      <c r="E43" s="24"/>
      <c r="F43" s="27" t="s">
        <v>31</v>
      </c>
      <c r="G43" s="25" t="s">
        <v>25</v>
      </c>
      <c r="H43" s="25"/>
      <c r="I43" s="25"/>
      <c r="J43" s="25" t="s">
        <v>27</v>
      </c>
      <c r="K43" s="6"/>
      <c r="L43" s="6"/>
      <c r="M43" s="6"/>
      <c r="N43" s="6"/>
      <c r="O43" s="6"/>
      <c r="P43" s="6"/>
      <c r="Q43" s="6"/>
    </row>
    <row r="44" spans="1:17" ht="63.75" x14ac:dyDescent="0.25">
      <c r="A44" s="6"/>
      <c r="B44" s="6"/>
      <c r="C44" s="21" t="s">
        <v>133</v>
      </c>
      <c r="D44" s="24"/>
      <c r="E44" s="24"/>
      <c r="F44" s="27" t="s">
        <v>32</v>
      </c>
      <c r="G44" s="25" t="s">
        <v>521</v>
      </c>
      <c r="H44" s="25"/>
      <c r="I44" s="25"/>
      <c r="J44" s="25" t="s">
        <v>522</v>
      </c>
      <c r="K44" s="6"/>
      <c r="L44" s="6"/>
      <c r="M44" s="6"/>
      <c r="N44" s="6"/>
      <c r="O44" s="6"/>
      <c r="P44" s="6"/>
      <c r="Q44" s="6"/>
    </row>
    <row r="45" spans="1:17" ht="63.75" x14ac:dyDescent="0.25">
      <c r="A45" s="6"/>
      <c r="B45" s="6"/>
      <c r="C45" s="21" t="s">
        <v>133</v>
      </c>
      <c r="D45" s="23"/>
      <c r="E45" s="23"/>
      <c r="F45" s="27" t="s">
        <v>33</v>
      </c>
      <c r="G45" s="21" t="s">
        <v>50</v>
      </c>
      <c r="H45" s="27"/>
      <c r="I45" s="21"/>
      <c r="J45" s="21" t="s">
        <v>51</v>
      </c>
      <c r="K45" s="6"/>
      <c r="L45" s="6"/>
      <c r="M45" s="6"/>
      <c r="N45" s="6"/>
      <c r="O45" s="6"/>
      <c r="P45" s="6"/>
      <c r="Q45" s="6"/>
    </row>
    <row r="46" spans="1:17" ht="102" x14ac:dyDescent="0.25">
      <c r="A46" s="6"/>
      <c r="B46" s="6"/>
      <c r="C46" s="21" t="s">
        <v>133</v>
      </c>
      <c r="D46" s="23"/>
      <c r="E46" s="23"/>
      <c r="F46" s="27" t="s">
        <v>49</v>
      </c>
      <c r="G46" s="22" t="s">
        <v>566</v>
      </c>
      <c r="H46" s="23"/>
      <c r="I46" s="22" t="s">
        <v>119</v>
      </c>
      <c r="J46" s="22" t="s">
        <v>120</v>
      </c>
      <c r="K46" s="6"/>
      <c r="L46" s="6"/>
      <c r="M46" s="6"/>
      <c r="N46" s="6"/>
      <c r="O46" s="6"/>
      <c r="P46" s="6"/>
      <c r="Q46" s="6"/>
    </row>
    <row r="47" spans="1:17" ht="242.25" x14ac:dyDescent="0.25">
      <c r="A47" s="6"/>
      <c r="B47" s="6"/>
      <c r="C47" s="21" t="s">
        <v>135</v>
      </c>
      <c r="D47" s="22" t="s">
        <v>55</v>
      </c>
      <c r="E47" s="22" t="s">
        <v>547</v>
      </c>
      <c r="F47" s="34" t="s">
        <v>17</v>
      </c>
      <c r="G47" s="22" t="s">
        <v>590</v>
      </c>
      <c r="H47" s="23"/>
      <c r="I47" s="22" t="s">
        <v>517</v>
      </c>
      <c r="J47" s="24" t="s">
        <v>80</v>
      </c>
      <c r="K47" s="6"/>
      <c r="L47" s="6"/>
      <c r="M47" s="6"/>
      <c r="N47" s="6"/>
      <c r="O47" s="6"/>
      <c r="P47" s="6"/>
      <c r="Q47" s="6"/>
    </row>
    <row r="48" spans="1:17" ht="51" x14ac:dyDescent="0.25">
      <c r="A48" s="6"/>
      <c r="B48" s="6"/>
      <c r="C48" s="21" t="s">
        <v>135</v>
      </c>
      <c r="D48" s="24"/>
      <c r="E48" s="24"/>
      <c r="F48" s="25" t="s">
        <v>26</v>
      </c>
      <c r="G48" s="26" t="s">
        <v>18</v>
      </c>
      <c r="H48" s="24"/>
      <c r="I48" s="24"/>
      <c r="J48" s="26" t="s">
        <v>20</v>
      </c>
      <c r="K48" s="6"/>
      <c r="L48" s="6"/>
      <c r="M48" s="6"/>
      <c r="N48" s="6"/>
      <c r="O48" s="6"/>
      <c r="P48" s="6"/>
      <c r="Q48" s="6"/>
    </row>
    <row r="49" spans="1:17" ht="51" x14ac:dyDescent="0.25">
      <c r="A49" s="6"/>
      <c r="B49" s="6"/>
      <c r="C49" s="21" t="s">
        <v>135</v>
      </c>
      <c r="D49" s="24"/>
      <c r="E49" s="24"/>
      <c r="F49" s="25" t="s">
        <v>28</v>
      </c>
      <c r="G49" s="26" t="s">
        <v>21</v>
      </c>
      <c r="H49" s="24"/>
      <c r="I49" s="24"/>
      <c r="J49" s="26" t="s">
        <v>22</v>
      </c>
      <c r="K49" s="6"/>
      <c r="L49" s="6"/>
      <c r="M49" s="6"/>
      <c r="N49" s="6"/>
      <c r="O49" s="6"/>
      <c r="P49" s="6"/>
      <c r="Q49" s="6"/>
    </row>
    <row r="50" spans="1:17" ht="51" x14ac:dyDescent="0.25">
      <c r="A50" s="6"/>
      <c r="B50" s="6"/>
      <c r="C50" s="21" t="s">
        <v>135</v>
      </c>
      <c r="D50" s="24"/>
      <c r="E50" s="24"/>
      <c r="F50" s="25" t="s">
        <v>29</v>
      </c>
      <c r="G50" s="26" t="s">
        <v>23</v>
      </c>
      <c r="H50" s="24"/>
      <c r="I50" s="24"/>
      <c r="J50" s="26" t="s">
        <v>41</v>
      </c>
      <c r="K50" s="6"/>
      <c r="L50" s="6"/>
      <c r="M50" s="6"/>
      <c r="N50" s="6"/>
      <c r="O50" s="6"/>
      <c r="P50" s="6"/>
      <c r="Q50" s="6"/>
    </row>
    <row r="51" spans="1:17" ht="51" x14ac:dyDescent="0.25">
      <c r="A51" s="6"/>
      <c r="B51" s="6"/>
      <c r="C51" s="21" t="s">
        <v>135</v>
      </c>
      <c r="D51" s="24"/>
      <c r="E51" s="24"/>
      <c r="F51" s="27" t="s">
        <v>30</v>
      </c>
      <c r="G51" s="27" t="s">
        <v>43</v>
      </c>
      <c r="H51" s="27"/>
      <c r="I51" s="27"/>
      <c r="J51" s="21" t="s">
        <v>44</v>
      </c>
      <c r="K51" s="6"/>
      <c r="L51" s="6"/>
      <c r="M51" s="6"/>
      <c r="N51" s="6"/>
      <c r="O51" s="6"/>
      <c r="P51" s="31"/>
      <c r="Q51" s="6"/>
    </row>
    <row r="52" spans="1:17" ht="51" x14ac:dyDescent="0.25">
      <c r="A52" s="6"/>
      <c r="B52" s="6"/>
      <c r="C52" s="21" t="s">
        <v>135</v>
      </c>
      <c r="D52" s="24"/>
      <c r="E52" s="24"/>
      <c r="F52" s="27" t="s">
        <v>31</v>
      </c>
      <c r="G52" s="25" t="s">
        <v>25</v>
      </c>
      <c r="H52" s="25"/>
      <c r="I52" s="25"/>
      <c r="J52" s="25" t="s">
        <v>27</v>
      </c>
      <c r="K52" s="6"/>
      <c r="L52" s="6"/>
      <c r="M52" s="6"/>
      <c r="N52" s="6"/>
      <c r="O52" s="6"/>
    </row>
    <row r="53" spans="1:17" ht="51" x14ac:dyDescent="0.25">
      <c r="A53" s="6"/>
      <c r="B53" s="6"/>
      <c r="C53" s="21" t="s">
        <v>135</v>
      </c>
      <c r="D53" s="24"/>
      <c r="E53" s="24"/>
      <c r="F53" s="27" t="s">
        <v>32</v>
      </c>
      <c r="G53" s="25" t="s">
        <v>521</v>
      </c>
      <c r="H53" s="25"/>
      <c r="I53" s="25"/>
      <c r="J53" s="25" t="s">
        <v>522</v>
      </c>
      <c r="K53" s="6"/>
      <c r="L53" s="6"/>
      <c r="M53" s="6"/>
      <c r="N53" s="6"/>
      <c r="O53" s="6"/>
    </row>
    <row r="54" spans="1:17" ht="51" x14ac:dyDescent="0.25">
      <c r="A54" s="6"/>
      <c r="B54" s="6"/>
      <c r="C54" s="21" t="s">
        <v>135</v>
      </c>
      <c r="D54" s="23"/>
      <c r="E54" s="23"/>
      <c r="F54" s="27" t="s">
        <v>33</v>
      </c>
      <c r="G54" s="21" t="s">
        <v>50</v>
      </c>
      <c r="H54" s="27"/>
      <c r="I54" s="21"/>
      <c r="J54" s="21" t="s">
        <v>51</v>
      </c>
      <c r="K54" s="6"/>
      <c r="L54" s="6"/>
      <c r="M54" s="6"/>
      <c r="N54" s="6"/>
      <c r="O54" s="6"/>
    </row>
    <row r="55" spans="1:17" ht="102" x14ac:dyDescent="0.25">
      <c r="A55" s="6"/>
      <c r="B55" s="6"/>
      <c r="C55" s="21" t="s">
        <v>135</v>
      </c>
      <c r="D55" s="23"/>
      <c r="E55" s="23"/>
      <c r="F55" s="27" t="s">
        <v>49</v>
      </c>
      <c r="G55" s="22" t="s">
        <v>566</v>
      </c>
      <c r="H55" s="23"/>
      <c r="I55" s="22" t="s">
        <v>119</v>
      </c>
      <c r="J55" s="22" t="s">
        <v>136</v>
      </c>
      <c r="K55" s="6"/>
      <c r="L55" s="6"/>
      <c r="M55" s="6"/>
      <c r="N55" s="6"/>
      <c r="O55" s="6"/>
    </row>
    <row r="56" spans="1:17" ht="140.25" x14ac:dyDescent="0.25">
      <c r="A56" s="6"/>
      <c r="B56" s="6"/>
      <c r="C56" s="21" t="s">
        <v>255</v>
      </c>
      <c r="D56" s="22" t="s">
        <v>55</v>
      </c>
      <c r="E56" s="22" t="s">
        <v>139</v>
      </c>
      <c r="F56" s="34" t="s">
        <v>17</v>
      </c>
      <c r="G56" s="22" t="s">
        <v>591</v>
      </c>
      <c r="H56" s="23"/>
      <c r="I56" s="22" t="s">
        <v>517</v>
      </c>
      <c r="J56" s="24" t="s">
        <v>80</v>
      </c>
      <c r="K56" s="6"/>
      <c r="L56" s="6"/>
      <c r="M56" s="6"/>
      <c r="N56" s="6"/>
      <c r="O56" s="6"/>
    </row>
    <row r="57" spans="1:17" ht="140.25" x14ac:dyDescent="0.25">
      <c r="A57" s="6"/>
      <c r="B57" s="6"/>
      <c r="C57" s="21" t="s">
        <v>255</v>
      </c>
      <c r="D57" s="22"/>
      <c r="E57" s="22"/>
      <c r="F57" s="25" t="s">
        <v>19</v>
      </c>
      <c r="G57" s="22" t="s">
        <v>592</v>
      </c>
      <c r="H57" s="23"/>
      <c r="I57" s="22" t="s">
        <v>517</v>
      </c>
      <c r="J57" s="24"/>
      <c r="K57" s="6"/>
      <c r="L57" s="6"/>
      <c r="M57" s="6"/>
      <c r="N57" s="6"/>
      <c r="O57" s="6"/>
    </row>
    <row r="58" spans="1:17" ht="63.75" x14ac:dyDescent="0.25">
      <c r="A58" s="6"/>
      <c r="B58" s="6"/>
      <c r="C58" s="21" t="s">
        <v>255</v>
      </c>
      <c r="D58" s="24"/>
      <c r="E58" s="24"/>
      <c r="F58" s="25" t="s">
        <v>26</v>
      </c>
      <c r="G58" s="26" t="s">
        <v>18</v>
      </c>
      <c r="H58" s="24"/>
      <c r="I58" s="24"/>
      <c r="J58" s="26" t="s">
        <v>20</v>
      </c>
      <c r="K58" s="6"/>
      <c r="L58" s="6"/>
      <c r="M58" s="6"/>
      <c r="N58" s="6"/>
      <c r="O58" s="6"/>
    </row>
    <row r="59" spans="1:17" ht="63.75" x14ac:dyDescent="0.25">
      <c r="A59" s="6"/>
      <c r="B59" s="6"/>
      <c r="C59" s="21" t="s">
        <v>255</v>
      </c>
      <c r="D59" s="24"/>
      <c r="E59" s="24"/>
      <c r="F59" s="25" t="s">
        <v>28</v>
      </c>
      <c r="G59" s="26" t="s">
        <v>21</v>
      </c>
      <c r="H59" s="24"/>
      <c r="I59" s="24"/>
      <c r="J59" s="26" t="s">
        <v>22</v>
      </c>
      <c r="K59" s="6"/>
      <c r="L59" s="6"/>
      <c r="M59" s="6"/>
      <c r="N59" s="6"/>
      <c r="O59" s="6"/>
    </row>
    <row r="60" spans="1:17" ht="63.75" x14ac:dyDescent="0.25">
      <c r="A60" s="6"/>
      <c r="B60" s="6"/>
      <c r="C60" s="21" t="s">
        <v>255</v>
      </c>
      <c r="D60" s="24"/>
      <c r="E60" s="24"/>
      <c r="F60" s="25" t="s">
        <v>29</v>
      </c>
      <c r="G60" s="26" t="s">
        <v>23</v>
      </c>
      <c r="H60" s="24"/>
      <c r="I60" s="24"/>
      <c r="J60" s="26" t="s">
        <v>41</v>
      </c>
      <c r="K60" s="6"/>
      <c r="L60" s="6"/>
      <c r="M60" s="6"/>
      <c r="N60" s="6"/>
      <c r="O60" s="6"/>
    </row>
    <row r="61" spans="1:17" ht="63.75" x14ac:dyDescent="0.25">
      <c r="A61" s="6"/>
      <c r="B61" s="6"/>
      <c r="C61" s="21" t="s">
        <v>255</v>
      </c>
      <c r="D61" s="24"/>
      <c r="E61" s="24"/>
      <c r="F61" s="25" t="s">
        <v>30</v>
      </c>
      <c r="G61" s="27" t="s">
        <v>43</v>
      </c>
      <c r="H61" s="27"/>
      <c r="I61" s="27"/>
      <c r="J61" s="21" t="s">
        <v>44</v>
      </c>
      <c r="K61" s="6"/>
      <c r="L61" s="6"/>
      <c r="M61" s="6"/>
      <c r="N61" s="6"/>
      <c r="O61" s="6"/>
    </row>
    <row r="62" spans="1:17" ht="63.75" x14ac:dyDescent="0.25">
      <c r="A62" s="6"/>
      <c r="B62" s="6"/>
      <c r="C62" s="21" t="s">
        <v>255</v>
      </c>
      <c r="D62" s="24"/>
      <c r="E62" s="24"/>
      <c r="F62" s="25" t="s">
        <v>31</v>
      </c>
      <c r="G62" s="25" t="s">
        <v>25</v>
      </c>
      <c r="H62" s="25"/>
      <c r="I62" s="25"/>
      <c r="J62" s="25" t="s">
        <v>27</v>
      </c>
      <c r="K62" s="6"/>
      <c r="L62" s="6"/>
      <c r="M62" s="6"/>
      <c r="N62" s="6"/>
      <c r="O62" s="6"/>
    </row>
    <row r="63" spans="1:17" ht="63.75" x14ac:dyDescent="0.25">
      <c r="A63" s="6"/>
      <c r="B63" s="6"/>
      <c r="C63" s="21" t="s">
        <v>255</v>
      </c>
      <c r="D63" s="24"/>
      <c r="E63" s="24"/>
      <c r="F63" s="25" t="s">
        <v>32</v>
      </c>
      <c r="G63" s="25" t="s">
        <v>521</v>
      </c>
      <c r="H63" s="25"/>
      <c r="I63" s="25"/>
      <c r="J63" s="25" t="s">
        <v>522</v>
      </c>
      <c r="K63" s="6"/>
      <c r="L63" s="6"/>
      <c r="M63" s="6"/>
      <c r="N63" s="6"/>
      <c r="O63" s="6"/>
    </row>
    <row r="64" spans="1:17" ht="63.75" x14ac:dyDescent="0.25">
      <c r="A64" s="6"/>
      <c r="B64" s="6"/>
      <c r="C64" s="21" t="s">
        <v>255</v>
      </c>
      <c r="D64" s="23"/>
      <c r="E64" s="23"/>
      <c r="F64" s="25" t="s">
        <v>33</v>
      </c>
      <c r="G64" s="21" t="s">
        <v>50</v>
      </c>
      <c r="H64" s="27"/>
      <c r="I64" s="21"/>
      <c r="J64" s="21" t="s">
        <v>51</v>
      </c>
      <c r="K64" s="6"/>
      <c r="L64" s="6"/>
      <c r="M64" s="6"/>
      <c r="N64" s="6"/>
      <c r="O64" s="6"/>
    </row>
    <row r="65" spans="1:15" ht="114.75" x14ac:dyDescent="0.25">
      <c r="A65" s="6"/>
      <c r="B65" s="6"/>
      <c r="C65" s="21" t="s">
        <v>255</v>
      </c>
      <c r="D65" s="23"/>
      <c r="E65" s="23"/>
      <c r="F65" s="25" t="s">
        <v>49</v>
      </c>
      <c r="G65" s="22" t="s">
        <v>593</v>
      </c>
      <c r="H65" s="23"/>
      <c r="I65" s="22" t="s">
        <v>119</v>
      </c>
      <c r="J65" s="22" t="s">
        <v>140</v>
      </c>
      <c r="K65" s="6"/>
      <c r="L65" s="6"/>
      <c r="M65" s="6"/>
      <c r="N65" s="6"/>
      <c r="O65" s="6"/>
    </row>
    <row r="66" spans="1:15" ht="114.75" x14ac:dyDescent="0.25">
      <c r="A66" s="6"/>
      <c r="B66" s="6"/>
      <c r="C66" s="21" t="s">
        <v>142</v>
      </c>
      <c r="D66" s="22" t="s">
        <v>55</v>
      </c>
      <c r="E66" s="22" t="s">
        <v>143</v>
      </c>
      <c r="F66" s="34" t="s">
        <v>17</v>
      </c>
      <c r="G66" s="22" t="s">
        <v>594</v>
      </c>
      <c r="H66" s="23"/>
      <c r="I66" s="22" t="s">
        <v>517</v>
      </c>
      <c r="J66" s="24" t="s">
        <v>80</v>
      </c>
      <c r="K66" s="6"/>
      <c r="L66" s="6"/>
      <c r="M66" s="6"/>
      <c r="N66" s="6"/>
      <c r="O66" s="6"/>
    </row>
    <row r="67" spans="1:15" ht="114.75" x14ac:dyDescent="0.25">
      <c r="A67" s="6"/>
      <c r="B67" s="6"/>
      <c r="C67" s="21" t="s">
        <v>142</v>
      </c>
      <c r="D67" s="22"/>
      <c r="E67" s="22"/>
      <c r="F67" s="25" t="s">
        <v>19</v>
      </c>
      <c r="G67" s="22" t="s">
        <v>595</v>
      </c>
      <c r="H67" s="23"/>
      <c r="I67" s="22" t="s">
        <v>517</v>
      </c>
      <c r="J67" s="24"/>
      <c r="K67" s="6"/>
      <c r="L67" s="6"/>
      <c r="M67" s="6"/>
      <c r="N67" s="6"/>
      <c r="O67" s="6"/>
    </row>
    <row r="68" spans="1:15" ht="89.25" x14ac:dyDescent="0.25">
      <c r="A68" s="6"/>
      <c r="B68" s="6"/>
      <c r="C68" s="21" t="s">
        <v>142</v>
      </c>
      <c r="D68" s="24"/>
      <c r="E68" s="24"/>
      <c r="F68" s="25" t="s">
        <v>26</v>
      </c>
      <c r="G68" s="26" t="s">
        <v>18</v>
      </c>
      <c r="H68" s="24"/>
      <c r="I68" s="24"/>
      <c r="J68" s="26" t="s">
        <v>20</v>
      </c>
      <c r="K68" s="6"/>
      <c r="L68" s="6"/>
      <c r="M68" s="6"/>
      <c r="N68" s="6"/>
      <c r="O68" s="6"/>
    </row>
    <row r="69" spans="1:15" ht="89.25" x14ac:dyDescent="0.25">
      <c r="A69" s="6"/>
      <c r="B69" s="6"/>
      <c r="C69" s="21" t="s">
        <v>142</v>
      </c>
      <c r="D69" s="24"/>
      <c r="E69" s="24"/>
      <c r="F69" s="25" t="s">
        <v>28</v>
      </c>
      <c r="G69" s="26" t="s">
        <v>21</v>
      </c>
      <c r="H69" s="24"/>
      <c r="I69" s="24"/>
      <c r="J69" s="26" t="s">
        <v>22</v>
      </c>
      <c r="K69" s="6"/>
      <c r="L69" s="6"/>
      <c r="M69" s="6"/>
      <c r="N69" s="6"/>
      <c r="O69" s="6"/>
    </row>
    <row r="70" spans="1:15" ht="89.25" x14ac:dyDescent="0.25">
      <c r="A70" s="6"/>
      <c r="B70" s="6"/>
      <c r="C70" s="21" t="s">
        <v>142</v>
      </c>
      <c r="D70" s="24"/>
      <c r="E70" s="24"/>
      <c r="F70" s="25" t="s">
        <v>29</v>
      </c>
      <c r="G70" s="26" t="s">
        <v>23</v>
      </c>
      <c r="H70" s="24"/>
      <c r="I70" s="24"/>
      <c r="J70" s="26" t="s">
        <v>41</v>
      </c>
      <c r="K70" s="6"/>
      <c r="L70" s="6"/>
      <c r="M70" s="6"/>
      <c r="N70" s="6"/>
      <c r="O70" s="6"/>
    </row>
    <row r="71" spans="1:15" ht="89.25" x14ac:dyDescent="0.25">
      <c r="A71" s="6"/>
      <c r="B71" s="6"/>
      <c r="C71" s="21" t="s">
        <v>142</v>
      </c>
      <c r="D71" s="24"/>
      <c r="E71" s="24"/>
      <c r="F71" s="25" t="s">
        <v>30</v>
      </c>
      <c r="G71" s="27" t="s">
        <v>43</v>
      </c>
      <c r="H71" s="27"/>
      <c r="I71" s="27"/>
      <c r="J71" s="21" t="s">
        <v>44</v>
      </c>
      <c r="K71" s="6"/>
      <c r="L71" s="6"/>
      <c r="M71" s="6"/>
      <c r="N71" s="6"/>
      <c r="O71" s="6"/>
    </row>
    <row r="72" spans="1:15" ht="89.25" x14ac:dyDescent="0.25">
      <c r="A72" s="6"/>
      <c r="B72" s="6"/>
      <c r="C72" s="21" t="s">
        <v>142</v>
      </c>
      <c r="D72" s="24"/>
      <c r="E72" s="24"/>
      <c r="F72" s="25" t="s">
        <v>31</v>
      </c>
      <c r="G72" s="25" t="s">
        <v>25</v>
      </c>
      <c r="H72" s="25"/>
      <c r="I72" s="25"/>
      <c r="J72" s="25" t="s">
        <v>27</v>
      </c>
      <c r="K72" s="6"/>
      <c r="L72" s="6"/>
      <c r="M72" s="6"/>
      <c r="N72" s="6"/>
      <c r="O72" s="6"/>
    </row>
    <row r="73" spans="1:15" ht="89.25" x14ac:dyDescent="0.25">
      <c r="A73" s="6"/>
      <c r="B73" s="6"/>
      <c r="C73" s="21" t="s">
        <v>142</v>
      </c>
      <c r="D73" s="24"/>
      <c r="E73" s="24"/>
      <c r="F73" s="25" t="s">
        <v>32</v>
      </c>
      <c r="G73" s="25" t="s">
        <v>521</v>
      </c>
      <c r="H73" s="25"/>
      <c r="I73" s="25"/>
      <c r="J73" s="25" t="s">
        <v>522</v>
      </c>
      <c r="K73" s="6"/>
      <c r="L73" s="6"/>
      <c r="M73" s="6"/>
      <c r="N73" s="6"/>
      <c r="O73" s="6"/>
    </row>
    <row r="74" spans="1:15" ht="89.25" x14ac:dyDescent="0.25">
      <c r="A74" s="6"/>
      <c r="B74" s="6"/>
      <c r="C74" s="21" t="s">
        <v>142</v>
      </c>
      <c r="D74" s="23"/>
      <c r="E74" s="23"/>
      <c r="F74" s="25" t="s">
        <v>33</v>
      </c>
      <c r="G74" s="21" t="s">
        <v>50</v>
      </c>
      <c r="H74" s="27"/>
      <c r="I74" s="21"/>
      <c r="J74" s="21" t="s">
        <v>51</v>
      </c>
      <c r="K74" s="6"/>
      <c r="L74" s="6"/>
      <c r="M74" s="6"/>
      <c r="N74" s="6"/>
      <c r="O74" s="6"/>
    </row>
    <row r="75" spans="1:15" ht="127.5" x14ac:dyDescent="0.25">
      <c r="A75" s="6"/>
      <c r="B75" s="6"/>
      <c r="C75" s="21" t="s">
        <v>142</v>
      </c>
      <c r="D75" s="23"/>
      <c r="E75" s="23"/>
      <c r="F75" s="25" t="s">
        <v>49</v>
      </c>
      <c r="G75" s="22" t="s">
        <v>576</v>
      </c>
      <c r="H75" s="23"/>
      <c r="I75" s="22" t="s">
        <v>119</v>
      </c>
      <c r="J75" s="22" t="s">
        <v>140</v>
      </c>
      <c r="K75" s="6"/>
      <c r="L75" s="6"/>
      <c r="M75" s="6"/>
      <c r="N75" s="6"/>
      <c r="O75" s="6"/>
    </row>
    <row r="76" spans="1:15" ht="127.5" x14ac:dyDescent="0.25">
      <c r="A76" s="6"/>
      <c r="B76" s="6"/>
      <c r="C76" s="21" t="s">
        <v>224</v>
      </c>
      <c r="D76" s="22" t="s">
        <v>55</v>
      </c>
      <c r="E76" s="22" t="s">
        <v>225</v>
      </c>
      <c r="F76" s="34" t="s">
        <v>17</v>
      </c>
      <c r="G76" s="22" t="s">
        <v>596</v>
      </c>
      <c r="H76" s="23"/>
      <c r="I76" s="22" t="s">
        <v>517</v>
      </c>
      <c r="J76" s="24" t="s">
        <v>80</v>
      </c>
      <c r="K76" s="6"/>
      <c r="L76" s="6"/>
      <c r="M76" s="6"/>
      <c r="N76" s="6"/>
      <c r="O76" s="6"/>
    </row>
    <row r="77" spans="1:15" ht="63.75" x14ac:dyDescent="0.25">
      <c r="A77" s="6"/>
      <c r="B77" s="6"/>
      <c r="C77" s="21" t="s">
        <v>224</v>
      </c>
      <c r="D77" s="24"/>
      <c r="E77" s="24"/>
      <c r="F77" s="25" t="s">
        <v>26</v>
      </c>
      <c r="G77" s="26" t="s">
        <v>18</v>
      </c>
      <c r="H77" s="24"/>
      <c r="I77" s="24"/>
      <c r="J77" s="26" t="s">
        <v>20</v>
      </c>
      <c r="K77" s="6"/>
      <c r="L77" s="6"/>
      <c r="M77" s="6"/>
      <c r="N77" s="6"/>
      <c r="O77" s="6"/>
    </row>
    <row r="78" spans="1:15" ht="63.75" x14ac:dyDescent="0.25">
      <c r="A78" s="6"/>
      <c r="B78" s="6"/>
      <c r="C78" s="21" t="s">
        <v>224</v>
      </c>
      <c r="D78" s="24"/>
      <c r="E78" s="24"/>
      <c r="F78" s="25" t="s">
        <v>28</v>
      </c>
      <c r="G78" s="26" t="s">
        <v>21</v>
      </c>
      <c r="H78" s="24"/>
      <c r="I78" s="24"/>
      <c r="J78" s="26" t="s">
        <v>22</v>
      </c>
      <c r="K78" s="6"/>
      <c r="L78" s="6"/>
      <c r="M78" s="6"/>
      <c r="N78" s="6"/>
      <c r="O78" s="6"/>
    </row>
    <row r="79" spans="1:15" ht="63.75" x14ac:dyDescent="0.25">
      <c r="A79" s="6"/>
      <c r="B79" s="6"/>
      <c r="C79" s="21" t="s">
        <v>224</v>
      </c>
      <c r="D79" s="24"/>
      <c r="E79" s="24"/>
      <c r="F79" s="25" t="s">
        <v>29</v>
      </c>
      <c r="G79" s="26" t="s">
        <v>23</v>
      </c>
      <c r="H79" s="24"/>
      <c r="I79" s="24"/>
      <c r="J79" s="26" t="s">
        <v>41</v>
      </c>
      <c r="K79" s="6"/>
      <c r="L79" s="6"/>
      <c r="M79" s="6"/>
      <c r="N79" s="6"/>
      <c r="O79" s="6"/>
    </row>
    <row r="80" spans="1:15" ht="63.75" x14ac:dyDescent="0.25">
      <c r="A80" s="6"/>
      <c r="B80" s="6"/>
      <c r="C80" s="21" t="s">
        <v>224</v>
      </c>
      <c r="D80" s="24"/>
      <c r="E80" s="24"/>
      <c r="F80" s="25" t="s">
        <v>30</v>
      </c>
      <c r="G80" s="27" t="s">
        <v>43</v>
      </c>
      <c r="H80" s="27"/>
      <c r="I80" s="27"/>
      <c r="J80" s="21" t="s">
        <v>44</v>
      </c>
      <c r="K80" s="6"/>
      <c r="L80" s="6"/>
      <c r="M80" s="6"/>
      <c r="N80" s="6"/>
      <c r="O80" s="6"/>
    </row>
    <row r="81" spans="1:15" ht="63.75" x14ac:dyDescent="0.25">
      <c r="A81" s="6"/>
      <c r="B81" s="6"/>
      <c r="C81" s="21" t="s">
        <v>224</v>
      </c>
      <c r="D81" s="24"/>
      <c r="E81" s="24"/>
      <c r="F81" s="25" t="s">
        <v>31</v>
      </c>
      <c r="G81" s="25" t="s">
        <v>25</v>
      </c>
      <c r="H81" s="25"/>
      <c r="I81" s="25"/>
      <c r="J81" s="25" t="s">
        <v>27</v>
      </c>
      <c r="K81" s="6"/>
      <c r="L81" s="6"/>
      <c r="M81" s="6"/>
      <c r="N81" s="6"/>
      <c r="O81" s="6"/>
    </row>
    <row r="82" spans="1:15" ht="63.75" x14ac:dyDescent="0.25">
      <c r="A82" s="6"/>
      <c r="B82" s="6"/>
      <c r="C82" s="21" t="s">
        <v>224</v>
      </c>
      <c r="D82" s="23"/>
      <c r="E82" s="23"/>
      <c r="F82" s="25" t="s">
        <v>32</v>
      </c>
      <c r="G82" s="21" t="s">
        <v>50</v>
      </c>
      <c r="H82" s="27"/>
      <c r="I82" s="21"/>
      <c r="J82" s="21" t="s">
        <v>226</v>
      </c>
      <c r="K82" s="6"/>
      <c r="L82" s="6"/>
      <c r="M82" s="6"/>
      <c r="N82" s="6"/>
      <c r="O82" s="6"/>
    </row>
    <row r="83" spans="1:15" ht="89.25" x14ac:dyDescent="0.25">
      <c r="A83" s="6"/>
      <c r="B83" s="6"/>
      <c r="C83" s="21" t="s">
        <v>224</v>
      </c>
      <c r="D83" s="23"/>
      <c r="E83" s="23"/>
      <c r="F83" s="25" t="s">
        <v>33</v>
      </c>
      <c r="G83" s="22" t="s">
        <v>578</v>
      </c>
      <c r="H83" s="23"/>
      <c r="I83" s="22" t="s">
        <v>147</v>
      </c>
      <c r="J83" s="22" t="s">
        <v>227</v>
      </c>
      <c r="K83" s="6"/>
      <c r="L83" s="6"/>
      <c r="M83" s="6"/>
      <c r="N83" s="6"/>
      <c r="O83" s="6"/>
    </row>
    <row r="84" spans="1:15" ht="114.75" x14ac:dyDescent="0.25">
      <c r="A84" s="6"/>
      <c r="B84" s="6"/>
      <c r="C84" s="21" t="s">
        <v>235</v>
      </c>
      <c r="D84" s="22" t="s">
        <v>55</v>
      </c>
      <c r="E84" s="22" t="s">
        <v>234</v>
      </c>
      <c r="F84" s="34" t="s">
        <v>17</v>
      </c>
      <c r="G84" s="22" t="s">
        <v>597</v>
      </c>
      <c r="H84" s="23"/>
      <c r="I84" s="22" t="s">
        <v>517</v>
      </c>
      <c r="J84" s="24" t="s">
        <v>80</v>
      </c>
      <c r="K84" s="6"/>
      <c r="L84" s="6"/>
      <c r="M84" s="6"/>
      <c r="N84" s="6"/>
      <c r="O84" s="6"/>
    </row>
    <row r="85" spans="1:15" ht="63.75" x14ac:dyDescent="0.25">
      <c r="A85" s="6"/>
      <c r="B85" s="6"/>
      <c r="C85" s="21" t="s">
        <v>235</v>
      </c>
      <c r="D85" s="24"/>
      <c r="E85" s="24"/>
      <c r="F85" s="25" t="s">
        <v>26</v>
      </c>
      <c r="G85" s="26" t="s">
        <v>18</v>
      </c>
      <c r="H85" s="24"/>
      <c r="I85" s="24"/>
      <c r="J85" s="26" t="s">
        <v>20</v>
      </c>
      <c r="K85" s="6"/>
      <c r="L85" s="6"/>
      <c r="M85" s="6"/>
      <c r="N85" s="6"/>
      <c r="O85" s="6"/>
    </row>
    <row r="86" spans="1:15" ht="63.75" x14ac:dyDescent="0.25">
      <c r="A86" s="6"/>
      <c r="B86" s="6"/>
      <c r="C86" s="21" t="s">
        <v>235</v>
      </c>
      <c r="D86" s="24"/>
      <c r="E86" s="24"/>
      <c r="F86" s="25" t="s">
        <v>28</v>
      </c>
      <c r="G86" s="26" t="s">
        <v>21</v>
      </c>
      <c r="H86" s="24"/>
      <c r="I86" s="24"/>
      <c r="J86" s="26" t="s">
        <v>22</v>
      </c>
      <c r="K86" s="6"/>
      <c r="L86" s="6"/>
      <c r="M86" s="6"/>
      <c r="N86" s="6"/>
      <c r="O86" s="6"/>
    </row>
    <row r="87" spans="1:15" ht="63.75" x14ac:dyDescent="0.25">
      <c r="A87" s="6"/>
      <c r="B87" s="6"/>
      <c r="C87" s="21" t="s">
        <v>235</v>
      </c>
      <c r="D87" s="24"/>
      <c r="E87" s="24"/>
      <c r="F87" s="25" t="s">
        <v>29</v>
      </c>
      <c r="G87" s="26" t="s">
        <v>23</v>
      </c>
      <c r="H87" s="24"/>
      <c r="I87" s="24"/>
      <c r="J87" s="26" t="s">
        <v>41</v>
      </c>
      <c r="K87" s="6"/>
      <c r="L87" s="6"/>
      <c r="M87" s="6"/>
      <c r="N87" s="6"/>
      <c r="O87" s="6"/>
    </row>
    <row r="88" spans="1:15" ht="63.75" x14ac:dyDescent="0.25">
      <c r="A88" s="6"/>
      <c r="B88" s="6"/>
      <c r="C88" s="21" t="s">
        <v>235</v>
      </c>
      <c r="D88" s="24"/>
      <c r="E88" s="24"/>
      <c r="F88" s="25" t="s">
        <v>30</v>
      </c>
      <c r="G88" s="27" t="s">
        <v>43</v>
      </c>
      <c r="H88" s="27"/>
      <c r="I88" s="27"/>
      <c r="J88" s="21" t="s">
        <v>44</v>
      </c>
      <c r="K88" s="6"/>
      <c r="L88" s="6"/>
      <c r="M88" s="6"/>
      <c r="N88" s="6"/>
      <c r="O88" s="6"/>
    </row>
    <row r="89" spans="1:15" ht="63.75" x14ac:dyDescent="0.25">
      <c r="A89" s="6"/>
      <c r="B89" s="6"/>
      <c r="C89" s="21" t="s">
        <v>235</v>
      </c>
      <c r="D89" s="24"/>
      <c r="E89" s="24"/>
      <c r="F89" s="25" t="s">
        <v>31</v>
      </c>
      <c r="G89" s="25" t="s">
        <v>25</v>
      </c>
      <c r="H89" s="25"/>
      <c r="I89" s="25"/>
      <c r="J89" s="25" t="s">
        <v>27</v>
      </c>
      <c r="K89" s="6"/>
      <c r="L89" s="6"/>
      <c r="M89" s="6"/>
      <c r="N89" s="6"/>
      <c r="O89" s="6"/>
    </row>
    <row r="90" spans="1:15" ht="63.75" x14ac:dyDescent="0.25">
      <c r="A90" s="6"/>
      <c r="B90" s="6"/>
      <c r="C90" s="21" t="s">
        <v>235</v>
      </c>
      <c r="D90" s="23"/>
      <c r="E90" s="23"/>
      <c r="F90" s="25" t="s">
        <v>32</v>
      </c>
      <c r="G90" s="21" t="s">
        <v>50</v>
      </c>
      <c r="H90" s="27"/>
      <c r="I90" s="21"/>
      <c r="J90" s="21" t="s">
        <v>226</v>
      </c>
      <c r="K90" s="6"/>
      <c r="L90" s="6"/>
      <c r="M90" s="6"/>
      <c r="N90" s="6"/>
      <c r="O90" s="6"/>
    </row>
    <row r="91" spans="1:15" ht="89.25" x14ac:dyDescent="0.25">
      <c r="A91" s="6"/>
      <c r="B91" s="6"/>
      <c r="C91" s="21" t="s">
        <v>235</v>
      </c>
      <c r="D91" s="23"/>
      <c r="E91" s="23"/>
      <c r="F91" s="25" t="s">
        <v>33</v>
      </c>
      <c r="G91" s="22" t="s">
        <v>578</v>
      </c>
      <c r="H91" s="23"/>
      <c r="I91" s="22" t="s">
        <v>147</v>
      </c>
      <c r="J91" s="22" t="s">
        <v>227</v>
      </c>
      <c r="K91" s="6"/>
      <c r="L91" s="6"/>
      <c r="M91" s="6"/>
      <c r="N91" s="6"/>
      <c r="O91" s="6"/>
    </row>
    <row r="92" spans="1:15" ht="178.5" x14ac:dyDescent="0.25">
      <c r="A92" s="6"/>
      <c r="B92" s="6"/>
      <c r="C92" s="21" t="s">
        <v>250</v>
      </c>
      <c r="D92" s="22" t="s">
        <v>55</v>
      </c>
      <c r="E92" s="22" t="s">
        <v>548</v>
      </c>
      <c r="F92" s="34" t="s">
        <v>17</v>
      </c>
      <c r="G92" s="22" t="s">
        <v>598</v>
      </c>
      <c r="H92" s="23"/>
      <c r="I92" s="22" t="s">
        <v>517</v>
      </c>
      <c r="J92" s="24" t="s">
        <v>80</v>
      </c>
      <c r="K92" s="6"/>
      <c r="L92" s="6"/>
      <c r="M92" s="6"/>
      <c r="N92" s="6"/>
      <c r="O92" s="6"/>
    </row>
    <row r="93" spans="1:15" ht="63.75" x14ac:dyDescent="0.25">
      <c r="A93" s="6"/>
      <c r="B93" s="6"/>
      <c r="C93" s="21" t="s">
        <v>250</v>
      </c>
      <c r="D93" s="24"/>
      <c r="E93" s="24"/>
      <c r="F93" s="25" t="s">
        <v>26</v>
      </c>
      <c r="G93" s="26" t="s">
        <v>18</v>
      </c>
      <c r="H93" s="24"/>
      <c r="I93" s="24"/>
      <c r="J93" s="26" t="s">
        <v>20</v>
      </c>
      <c r="K93" s="6"/>
      <c r="L93" s="6"/>
      <c r="M93" s="6"/>
      <c r="N93" s="6"/>
      <c r="O93" s="6"/>
    </row>
    <row r="94" spans="1:15" ht="63.75" x14ac:dyDescent="0.25">
      <c r="A94" s="6"/>
      <c r="B94" s="6"/>
      <c r="C94" s="21" t="s">
        <v>250</v>
      </c>
      <c r="D94" s="24"/>
      <c r="E94" s="24"/>
      <c r="F94" s="25" t="s">
        <v>28</v>
      </c>
      <c r="G94" s="26" t="s">
        <v>21</v>
      </c>
      <c r="H94" s="24"/>
      <c r="I94" s="24"/>
      <c r="J94" s="26" t="s">
        <v>22</v>
      </c>
      <c r="K94" s="6"/>
      <c r="L94" s="6"/>
      <c r="M94" s="6"/>
      <c r="N94" s="6"/>
      <c r="O94" s="6"/>
    </row>
    <row r="95" spans="1:15" ht="63.75" x14ac:dyDescent="0.25">
      <c r="A95" s="6"/>
      <c r="B95" s="6"/>
      <c r="C95" s="21" t="s">
        <v>250</v>
      </c>
      <c r="D95" s="24"/>
      <c r="E95" s="24"/>
      <c r="F95" s="25" t="s">
        <v>29</v>
      </c>
      <c r="G95" s="26" t="s">
        <v>23</v>
      </c>
      <c r="H95" s="24"/>
      <c r="I95" s="24"/>
      <c r="J95" s="26" t="s">
        <v>41</v>
      </c>
      <c r="K95" s="6"/>
      <c r="L95" s="6"/>
      <c r="M95" s="6"/>
      <c r="N95" s="6"/>
      <c r="O95" s="6"/>
    </row>
    <row r="96" spans="1:15" ht="63.75" x14ac:dyDescent="0.25">
      <c r="A96" s="6"/>
      <c r="B96" s="6"/>
      <c r="C96" s="21" t="s">
        <v>250</v>
      </c>
      <c r="D96" s="24"/>
      <c r="E96" s="24"/>
      <c r="F96" s="25" t="s">
        <v>30</v>
      </c>
      <c r="G96" s="27" t="s">
        <v>43</v>
      </c>
      <c r="H96" s="27"/>
      <c r="I96" s="27"/>
      <c r="J96" s="21" t="s">
        <v>44</v>
      </c>
      <c r="K96" s="6"/>
      <c r="L96" s="6"/>
      <c r="M96" s="6"/>
      <c r="N96" s="6"/>
      <c r="O96" s="6"/>
    </row>
    <row r="97" spans="1:15" ht="63.75" x14ac:dyDescent="0.25">
      <c r="A97" s="6"/>
      <c r="B97" s="6"/>
      <c r="C97" s="21" t="s">
        <v>250</v>
      </c>
      <c r="D97" s="24"/>
      <c r="E97" s="24"/>
      <c r="F97" s="25" t="s">
        <v>31</v>
      </c>
      <c r="G97" s="25" t="s">
        <v>25</v>
      </c>
      <c r="H97" s="25"/>
      <c r="I97" s="25"/>
      <c r="J97" s="25" t="s">
        <v>27</v>
      </c>
      <c r="K97" s="6"/>
      <c r="L97" s="6"/>
      <c r="M97" s="6"/>
      <c r="N97" s="6"/>
      <c r="O97" s="6"/>
    </row>
    <row r="98" spans="1:15" ht="63.75" x14ac:dyDescent="0.25">
      <c r="A98" s="6"/>
      <c r="B98" s="6"/>
      <c r="C98" s="21" t="s">
        <v>250</v>
      </c>
      <c r="D98" s="23"/>
      <c r="E98" s="23"/>
      <c r="F98" s="25" t="s">
        <v>32</v>
      </c>
      <c r="G98" s="21" t="s">
        <v>50</v>
      </c>
      <c r="H98" s="27"/>
      <c r="I98" s="21"/>
      <c r="J98" s="21" t="s">
        <v>226</v>
      </c>
      <c r="K98" s="6"/>
      <c r="L98" s="6"/>
      <c r="M98" s="6"/>
      <c r="N98" s="6"/>
      <c r="O98" s="6"/>
    </row>
    <row r="99" spans="1:15" ht="63.75" x14ac:dyDescent="0.25">
      <c r="A99" s="6"/>
      <c r="B99" s="6"/>
      <c r="C99" s="21" t="s">
        <v>250</v>
      </c>
      <c r="D99" s="23"/>
      <c r="E99" s="23"/>
      <c r="F99" s="25" t="s">
        <v>33</v>
      </c>
      <c r="G99" s="22" t="s">
        <v>248</v>
      </c>
      <c r="H99" s="23"/>
      <c r="I99" s="22" t="s">
        <v>249</v>
      </c>
      <c r="J99" s="22" t="s">
        <v>251</v>
      </c>
      <c r="K99" s="6"/>
      <c r="L99" s="6"/>
      <c r="M99" s="6"/>
      <c r="N99" s="6"/>
      <c r="O99" s="6"/>
    </row>
    <row r="100" spans="1:15" ht="48.75" x14ac:dyDescent="0.25">
      <c r="A100" s="6"/>
      <c r="B100" s="6"/>
      <c r="C100" s="43" t="s">
        <v>544</v>
      </c>
      <c r="D100" s="43" t="s">
        <v>351</v>
      </c>
      <c r="E100" s="43" t="s">
        <v>264</v>
      </c>
      <c r="F100" s="44" t="s">
        <v>17</v>
      </c>
      <c r="G100" s="43" t="s">
        <v>265</v>
      </c>
      <c r="H100" s="14"/>
      <c r="I100" s="14"/>
      <c r="J100" s="43" t="s">
        <v>266</v>
      </c>
      <c r="K100" s="6"/>
      <c r="L100" s="6"/>
      <c r="M100" s="6"/>
      <c r="N100" s="6"/>
      <c r="O100" s="6"/>
    </row>
    <row r="101" spans="1:15" ht="36.75" x14ac:dyDescent="0.25">
      <c r="A101" s="6"/>
      <c r="B101" s="6"/>
      <c r="C101" s="43" t="s">
        <v>544</v>
      </c>
      <c r="D101" s="14"/>
      <c r="E101" s="14"/>
      <c r="F101" s="45" t="s">
        <v>19</v>
      </c>
      <c r="G101" s="43" t="s">
        <v>267</v>
      </c>
      <c r="H101" s="14"/>
      <c r="I101" s="14"/>
      <c r="J101" s="43" t="s">
        <v>27</v>
      </c>
      <c r="K101" s="6"/>
      <c r="L101" s="6"/>
      <c r="M101" s="6"/>
      <c r="N101" s="6"/>
      <c r="O101" s="6"/>
    </row>
    <row r="102" spans="1:15" ht="48.75" x14ac:dyDescent="0.25">
      <c r="A102" s="6"/>
      <c r="B102" s="6"/>
      <c r="C102" s="43" t="s">
        <v>544</v>
      </c>
      <c r="D102" s="14"/>
      <c r="E102" s="14"/>
      <c r="F102" s="45" t="s">
        <v>26</v>
      </c>
      <c r="G102" s="45" t="s">
        <v>268</v>
      </c>
      <c r="H102" s="14"/>
      <c r="I102" s="43" t="s">
        <v>269</v>
      </c>
      <c r="J102" s="45" t="s">
        <v>270</v>
      </c>
      <c r="K102" s="6"/>
      <c r="L102" s="6"/>
      <c r="M102" s="6"/>
      <c r="N102" s="6"/>
      <c r="O102" s="6"/>
    </row>
    <row r="103" spans="1:15" ht="60.75" x14ac:dyDescent="0.25">
      <c r="A103" s="6"/>
      <c r="B103" s="6"/>
      <c r="C103" s="43" t="s">
        <v>544</v>
      </c>
      <c r="D103" s="14"/>
      <c r="E103" s="14"/>
      <c r="F103" s="45" t="s">
        <v>28</v>
      </c>
      <c r="G103" s="45" t="s">
        <v>352</v>
      </c>
      <c r="H103" s="14"/>
      <c r="I103" s="43" t="s">
        <v>272</v>
      </c>
      <c r="J103" s="45" t="s">
        <v>51</v>
      </c>
      <c r="K103" s="6"/>
      <c r="L103" s="6"/>
      <c r="M103" s="6"/>
      <c r="N103" s="6"/>
      <c r="O103" s="6"/>
    </row>
    <row r="104" spans="1:15" ht="108.75" x14ac:dyDescent="0.25">
      <c r="A104" s="6"/>
      <c r="B104" s="6"/>
      <c r="C104" s="43" t="s">
        <v>544</v>
      </c>
      <c r="D104" s="14"/>
      <c r="E104" s="14"/>
      <c r="F104" s="45" t="s">
        <v>29</v>
      </c>
      <c r="G104" s="45" t="s">
        <v>353</v>
      </c>
      <c r="H104" s="14"/>
      <c r="I104" s="43" t="s">
        <v>274</v>
      </c>
      <c r="J104" s="45" t="s">
        <v>354</v>
      </c>
      <c r="K104" s="6"/>
      <c r="L104" s="6"/>
      <c r="M104" s="6"/>
      <c r="N104" s="6"/>
      <c r="O104" s="6"/>
    </row>
    <row r="105" spans="1:15" ht="48.75" x14ac:dyDescent="0.25">
      <c r="A105" s="6"/>
      <c r="B105" s="6"/>
      <c r="C105" s="43" t="s">
        <v>545</v>
      </c>
      <c r="D105" s="43" t="s">
        <v>351</v>
      </c>
      <c r="E105" s="43" t="s">
        <v>356</v>
      </c>
      <c r="F105" s="44" t="s">
        <v>281</v>
      </c>
      <c r="G105" s="43" t="s">
        <v>265</v>
      </c>
      <c r="H105" s="14"/>
      <c r="I105" s="14"/>
      <c r="J105" s="43" t="s">
        <v>266</v>
      </c>
      <c r="K105" s="6"/>
      <c r="L105" s="6"/>
      <c r="M105" s="6"/>
      <c r="N105" s="6"/>
      <c r="O105" s="6"/>
    </row>
    <row r="106" spans="1:15" ht="36.75" x14ac:dyDescent="0.25">
      <c r="A106" s="6"/>
      <c r="B106" s="6"/>
      <c r="C106" s="43" t="s">
        <v>545</v>
      </c>
      <c r="D106" s="14"/>
      <c r="E106" s="14"/>
      <c r="F106" s="45" t="s">
        <v>282</v>
      </c>
      <c r="G106" s="43" t="s">
        <v>267</v>
      </c>
      <c r="H106" s="14"/>
      <c r="I106" s="14"/>
      <c r="J106" s="43" t="s">
        <v>27</v>
      </c>
      <c r="K106" s="6"/>
      <c r="L106" s="6"/>
      <c r="M106" s="6"/>
      <c r="N106" s="6"/>
      <c r="O106" s="6"/>
    </row>
    <row r="107" spans="1:15" ht="48.75" x14ac:dyDescent="0.25">
      <c r="A107" s="6"/>
      <c r="B107" s="6"/>
      <c r="C107" s="43" t="s">
        <v>545</v>
      </c>
      <c r="D107" s="14"/>
      <c r="E107" s="14"/>
      <c r="F107" s="45" t="s">
        <v>283</v>
      </c>
      <c r="G107" s="45" t="s">
        <v>268</v>
      </c>
      <c r="H107" s="14"/>
      <c r="I107" s="43" t="s">
        <v>269</v>
      </c>
      <c r="J107" s="45" t="s">
        <v>270</v>
      </c>
      <c r="K107" s="6"/>
      <c r="L107" s="6"/>
      <c r="M107" s="6"/>
      <c r="N107" s="6"/>
      <c r="O107" s="6"/>
    </row>
    <row r="108" spans="1:15" ht="60.75" x14ac:dyDescent="0.25">
      <c r="A108" s="6"/>
      <c r="B108" s="6"/>
      <c r="C108" s="43" t="s">
        <v>545</v>
      </c>
      <c r="D108" s="14"/>
      <c r="E108" s="14"/>
      <c r="F108" s="45" t="s">
        <v>285</v>
      </c>
      <c r="G108" s="45" t="s">
        <v>352</v>
      </c>
      <c r="H108" s="14"/>
      <c r="I108" s="43" t="s">
        <v>272</v>
      </c>
      <c r="J108" s="45" t="s">
        <v>51</v>
      </c>
      <c r="K108" s="6"/>
      <c r="L108" s="6"/>
      <c r="M108" s="6"/>
      <c r="N108" s="6"/>
      <c r="O108" s="6"/>
    </row>
    <row r="109" spans="1:15" ht="204.75" x14ac:dyDescent="0.25">
      <c r="A109" s="6"/>
      <c r="B109" s="6"/>
      <c r="C109" s="43" t="s">
        <v>545</v>
      </c>
      <c r="D109" s="14"/>
      <c r="E109" s="14"/>
      <c r="F109" s="45" t="s">
        <v>289</v>
      </c>
      <c r="G109" s="45" t="s">
        <v>357</v>
      </c>
      <c r="H109" s="14"/>
      <c r="I109" s="45" t="s">
        <v>314</v>
      </c>
      <c r="J109" s="43" t="s">
        <v>358</v>
      </c>
      <c r="K109" s="6"/>
      <c r="L109" s="6"/>
      <c r="M109" s="6"/>
      <c r="N109" s="6"/>
      <c r="O109" s="6"/>
    </row>
    <row r="110" spans="1:15" ht="60.75" x14ac:dyDescent="0.25">
      <c r="A110" s="6"/>
      <c r="B110" s="6"/>
      <c r="C110" s="43" t="s">
        <v>546</v>
      </c>
      <c r="D110" s="43" t="s">
        <v>359</v>
      </c>
      <c r="E110" s="43" t="s">
        <v>360</v>
      </c>
      <c r="F110" s="47" t="s">
        <v>281</v>
      </c>
      <c r="G110" s="43" t="s">
        <v>265</v>
      </c>
      <c r="H110" s="14"/>
      <c r="I110" s="14"/>
      <c r="J110" s="43" t="s">
        <v>266</v>
      </c>
      <c r="K110" s="6"/>
      <c r="L110" s="6"/>
      <c r="M110" s="6"/>
      <c r="N110" s="6"/>
      <c r="O110" s="6"/>
    </row>
    <row r="111" spans="1:15" ht="48.75" x14ac:dyDescent="0.25">
      <c r="A111" s="6"/>
      <c r="B111" s="6"/>
      <c r="C111" s="43" t="s">
        <v>546</v>
      </c>
      <c r="D111" s="14"/>
      <c r="E111" s="14"/>
      <c r="F111" s="14" t="s">
        <v>282</v>
      </c>
      <c r="G111" s="48" t="s">
        <v>25</v>
      </c>
      <c r="H111" s="14"/>
      <c r="I111" s="14"/>
      <c r="J111" s="43" t="s">
        <v>27</v>
      </c>
      <c r="K111" s="6"/>
      <c r="L111" s="6"/>
      <c r="M111" s="6"/>
      <c r="N111" s="6"/>
      <c r="O111" s="6"/>
    </row>
    <row r="112" spans="1:15" ht="48.75" x14ac:dyDescent="0.25">
      <c r="A112" s="6"/>
      <c r="B112" s="6"/>
      <c r="C112" s="43" t="s">
        <v>546</v>
      </c>
      <c r="D112" s="14"/>
      <c r="E112" s="14"/>
      <c r="F112" s="14" t="s">
        <v>283</v>
      </c>
      <c r="G112" s="48" t="s">
        <v>45</v>
      </c>
      <c r="H112" s="14"/>
      <c r="I112" s="14"/>
      <c r="J112" s="45" t="s">
        <v>284</v>
      </c>
      <c r="K112" s="6"/>
      <c r="L112" s="6"/>
      <c r="M112" s="6"/>
      <c r="N112" s="6"/>
      <c r="O112" s="6"/>
    </row>
    <row r="113" spans="1:15" ht="60.75" x14ac:dyDescent="0.25">
      <c r="A113" s="6"/>
      <c r="B113" s="6"/>
      <c r="C113" s="43" t="s">
        <v>546</v>
      </c>
      <c r="D113" s="14"/>
      <c r="E113" s="14"/>
      <c r="F113" s="14" t="s">
        <v>285</v>
      </c>
      <c r="G113" s="48" t="s">
        <v>361</v>
      </c>
      <c r="H113" s="14"/>
      <c r="I113" s="43" t="s">
        <v>287</v>
      </c>
      <c r="J113" s="45" t="s">
        <v>362</v>
      </c>
      <c r="K113" s="6"/>
      <c r="L113" s="6"/>
      <c r="M113" s="6"/>
      <c r="N113" s="6"/>
      <c r="O113" s="6"/>
    </row>
    <row r="114" spans="1:15" ht="72.75" x14ac:dyDescent="0.25">
      <c r="A114" s="6"/>
      <c r="B114" s="6"/>
      <c r="C114" s="43" t="s">
        <v>546</v>
      </c>
      <c r="D114" s="14"/>
      <c r="E114" s="14"/>
      <c r="F114" s="14" t="s">
        <v>289</v>
      </c>
      <c r="G114" s="86" t="s">
        <v>290</v>
      </c>
      <c r="H114" s="14"/>
      <c r="I114" s="43" t="s">
        <v>291</v>
      </c>
      <c r="J114" s="45" t="s">
        <v>543</v>
      </c>
      <c r="K114" s="6"/>
      <c r="L114" s="6"/>
      <c r="M114" s="6"/>
      <c r="N114" s="6"/>
      <c r="O114" s="6"/>
    </row>
    <row r="115" spans="1:15" ht="48.75" x14ac:dyDescent="0.25">
      <c r="A115" s="6"/>
      <c r="B115" s="6"/>
      <c r="C115" s="43" t="s">
        <v>546</v>
      </c>
      <c r="D115" s="14"/>
      <c r="E115" s="14"/>
      <c r="F115" s="14" t="s">
        <v>293</v>
      </c>
      <c r="G115" s="48" t="s">
        <v>294</v>
      </c>
      <c r="H115" s="14"/>
      <c r="I115" s="43"/>
      <c r="J115" s="45" t="s">
        <v>295</v>
      </c>
      <c r="K115" s="6"/>
      <c r="L115" s="6"/>
      <c r="M115" s="6"/>
      <c r="N115" s="6"/>
      <c r="O115" s="6"/>
    </row>
    <row r="116" spans="1:15" ht="108.75" x14ac:dyDescent="0.25">
      <c r="A116" s="6"/>
      <c r="B116" s="6"/>
      <c r="C116" s="43" t="s">
        <v>546</v>
      </c>
      <c r="D116" s="14"/>
      <c r="E116" s="14"/>
      <c r="F116" s="14" t="s">
        <v>296</v>
      </c>
      <c r="G116" s="48" t="s">
        <v>584</v>
      </c>
      <c r="H116" s="14"/>
      <c r="I116" s="43" t="s">
        <v>363</v>
      </c>
      <c r="J116" s="45" t="s">
        <v>298</v>
      </c>
      <c r="K116" s="6"/>
      <c r="L116" s="6"/>
      <c r="M116" s="6"/>
      <c r="N116" s="6"/>
      <c r="O116" s="6"/>
    </row>
    <row r="117" spans="1:15" x14ac:dyDescent="0.25">
      <c r="A117" s="6"/>
      <c r="B117" s="6"/>
      <c r="C117" s="6"/>
      <c r="D117" s="6"/>
      <c r="E117" s="6"/>
      <c r="F117" s="6"/>
      <c r="G117" s="6"/>
      <c r="H117" s="6"/>
      <c r="I117" s="6"/>
      <c r="J117" s="6"/>
      <c r="K117" s="6"/>
      <c r="L117" s="6"/>
      <c r="M117" s="6"/>
      <c r="N117" s="6"/>
      <c r="O117" s="6"/>
    </row>
    <row r="118" spans="1:15" x14ac:dyDescent="0.25">
      <c r="A118" s="6"/>
      <c r="B118" s="6"/>
      <c r="C118" s="6"/>
      <c r="D118" s="6"/>
      <c r="E118" s="6"/>
      <c r="F118" s="6"/>
      <c r="G118" s="6"/>
      <c r="H118" s="6"/>
      <c r="I118" s="6"/>
      <c r="J118" s="6"/>
      <c r="K118" s="6"/>
      <c r="L118" s="6"/>
      <c r="M118" s="6"/>
      <c r="N118" s="6"/>
      <c r="O118" s="6"/>
    </row>
    <row r="119" spans="1:15" x14ac:dyDescent="0.25">
      <c r="A119" s="6"/>
      <c r="B119" s="6"/>
      <c r="C119" s="6"/>
      <c r="D119" s="6"/>
      <c r="E119" s="6"/>
      <c r="F119" s="6"/>
      <c r="G119" s="6"/>
      <c r="H119" s="6"/>
      <c r="I119" s="6"/>
      <c r="J119" s="6"/>
      <c r="K119" s="6"/>
      <c r="L119" s="6"/>
      <c r="M119" s="6"/>
      <c r="N119" s="6"/>
      <c r="O119" s="6"/>
    </row>
    <row r="120" spans="1:15" x14ac:dyDescent="0.25">
      <c r="A120" s="6"/>
      <c r="B120" s="6"/>
      <c r="C120" s="6"/>
      <c r="D120" s="6"/>
      <c r="E120" s="6"/>
      <c r="F120" s="6"/>
      <c r="G120" s="6"/>
      <c r="H120" s="6"/>
      <c r="I120" s="6"/>
      <c r="J120" s="6"/>
      <c r="K120" s="6"/>
      <c r="L120" s="6"/>
      <c r="M120" s="6"/>
      <c r="N120" s="6"/>
      <c r="O120" s="6"/>
    </row>
    <row r="121" spans="1:15" x14ac:dyDescent="0.25">
      <c r="A121" s="6"/>
      <c r="B121" s="6"/>
      <c r="C121" s="6"/>
      <c r="D121" s="6"/>
      <c r="E121" s="6"/>
      <c r="F121" s="6"/>
      <c r="G121" s="6"/>
      <c r="H121" s="6"/>
      <c r="I121" s="6"/>
      <c r="J121" s="6"/>
      <c r="K121" s="6"/>
      <c r="L121" s="6"/>
      <c r="M121" s="6"/>
      <c r="N121" s="6"/>
      <c r="O121" s="6"/>
    </row>
    <row r="122" spans="1:15" x14ac:dyDescent="0.25">
      <c r="A122" s="6"/>
      <c r="B122" s="6"/>
      <c r="C122" s="6"/>
      <c r="D122" s="6"/>
      <c r="E122" s="6"/>
      <c r="F122" s="6"/>
      <c r="G122" s="6"/>
      <c r="H122" s="6"/>
      <c r="I122" s="6"/>
      <c r="J122" s="6"/>
      <c r="K122" s="6"/>
      <c r="L122" s="6"/>
      <c r="M122" s="6"/>
      <c r="N122" s="6"/>
      <c r="O122" s="6"/>
    </row>
    <row r="123" spans="1:15" x14ac:dyDescent="0.25">
      <c r="A123" s="6"/>
      <c r="B123" s="6"/>
      <c r="C123" s="6"/>
      <c r="D123" s="6"/>
      <c r="E123" s="6"/>
      <c r="F123" s="6"/>
      <c r="G123" s="6"/>
      <c r="H123" s="6"/>
      <c r="I123" s="6"/>
      <c r="J123" s="6"/>
      <c r="K123" s="6"/>
      <c r="L123" s="6"/>
      <c r="M123" s="6"/>
      <c r="N123" s="6"/>
      <c r="O123" s="6"/>
    </row>
    <row r="124" spans="1:15" x14ac:dyDescent="0.25">
      <c r="A124" s="6"/>
      <c r="B124" s="6"/>
      <c r="C124" s="6"/>
      <c r="D124" s="6"/>
      <c r="E124" s="6"/>
      <c r="F124" s="6"/>
      <c r="G124" s="6"/>
      <c r="H124" s="6"/>
      <c r="I124" s="6"/>
      <c r="J124" s="6"/>
      <c r="K124" s="6"/>
      <c r="L124" s="6"/>
      <c r="M124" s="6"/>
      <c r="N124" s="6"/>
      <c r="O124" s="6"/>
    </row>
    <row r="125" spans="1:15" x14ac:dyDescent="0.25">
      <c r="A125" s="6"/>
      <c r="B125" s="6"/>
      <c r="C125" s="6"/>
      <c r="D125" s="6"/>
      <c r="E125" s="6"/>
      <c r="F125" s="6"/>
      <c r="G125" s="6"/>
      <c r="H125" s="6"/>
      <c r="I125" s="6"/>
      <c r="J125" s="6"/>
      <c r="K125" s="6"/>
      <c r="L125" s="6"/>
      <c r="M125" s="6"/>
      <c r="N125" s="6"/>
      <c r="O125" s="6"/>
    </row>
    <row r="126" spans="1:15" x14ac:dyDescent="0.25">
      <c r="A126" s="6"/>
      <c r="B126" s="6"/>
      <c r="C126" s="6"/>
      <c r="D126" s="6"/>
      <c r="E126" s="6"/>
      <c r="F126" s="6"/>
      <c r="G126" s="6"/>
      <c r="H126" s="6"/>
      <c r="I126" s="6"/>
      <c r="J126" s="6"/>
      <c r="K126" s="6"/>
      <c r="L126" s="6"/>
      <c r="M126" s="6"/>
      <c r="N126" s="6"/>
      <c r="O126" s="6"/>
    </row>
    <row r="127" spans="1:15" x14ac:dyDescent="0.25">
      <c r="A127" s="6"/>
      <c r="B127" s="6"/>
      <c r="C127" s="6"/>
      <c r="D127" s="6"/>
      <c r="E127" s="6"/>
      <c r="F127" s="6"/>
      <c r="G127" s="6"/>
      <c r="H127" s="6"/>
      <c r="I127" s="6"/>
      <c r="J127" s="6"/>
      <c r="K127" s="6"/>
      <c r="L127" s="6"/>
      <c r="M127" s="6"/>
      <c r="N127" s="6"/>
      <c r="O127" s="6"/>
    </row>
    <row r="128" spans="1:15" x14ac:dyDescent="0.25">
      <c r="A128" s="6"/>
      <c r="B128" s="6"/>
      <c r="C128" s="6"/>
      <c r="D128" s="6"/>
      <c r="E128" s="6"/>
      <c r="F128" s="6"/>
      <c r="G128" s="6"/>
      <c r="H128" s="6"/>
      <c r="I128" s="6"/>
      <c r="J128" s="6"/>
      <c r="K128" s="6"/>
      <c r="L128" s="6"/>
      <c r="M128" s="6"/>
      <c r="N128" s="6"/>
      <c r="O128" s="6"/>
    </row>
    <row r="129" spans="1:15" x14ac:dyDescent="0.25">
      <c r="A129" s="6"/>
      <c r="B129" s="6"/>
      <c r="C129" s="6"/>
      <c r="D129" s="6"/>
      <c r="E129" s="6"/>
      <c r="F129" s="6"/>
      <c r="G129" s="6"/>
      <c r="H129" s="6"/>
      <c r="I129" s="6"/>
      <c r="J129" s="6"/>
      <c r="K129" s="6"/>
      <c r="L129" s="6"/>
      <c r="M129" s="6"/>
      <c r="N129" s="6"/>
      <c r="O129" s="6"/>
    </row>
    <row r="130" spans="1:15" x14ac:dyDescent="0.25">
      <c r="A130" s="6"/>
      <c r="B130" s="6"/>
      <c r="C130" s="6"/>
      <c r="D130" s="6"/>
      <c r="E130" s="6"/>
      <c r="F130" s="6"/>
      <c r="G130" s="6"/>
      <c r="H130" s="6"/>
      <c r="I130" s="6"/>
      <c r="J130" s="6"/>
      <c r="K130" s="6"/>
      <c r="L130" s="6"/>
      <c r="M130" s="6"/>
      <c r="N130" s="6"/>
      <c r="O130" s="6"/>
    </row>
    <row r="131" spans="1:15" x14ac:dyDescent="0.25">
      <c r="A131" s="6"/>
      <c r="B131" s="6"/>
      <c r="C131" s="6"/>
      <c r="D131" s="6"/>
      <c r="E131" s="6"/>
      <c r="F131" s="6"/>
      <c r="G131" s="6"/>
      <c r="H131" s="6"/>
      <c r="I131" s="6"/>
      <c r="J131" s="6"/>
      <c r="K131" s="6"/>
      <c r="L131" s="6"/>
      <c r="M131" s="6"/>
      <c r="N131" s="6"/>
      <c r="O131" s="6"/>
    </row>
    <row r="132" spans="1:15" x14ac:dyDescent="0.25">
      <c r="A132" s="6"/>
      <c r="B132" s="6"/>
      <c r="C132" s="6"/>
      <c r="D132" s="6"/>
      <c r="E132" s="6"/>
      <c r="F132" s="6"/>
      <c r="G132" s="6"/>
      <c r="H132" s="6"/>
      <c r="I132" s="6"/>
      <c r="J132" s="6"/>
      <c r="K132" s="6"/>
      <c r="L132" s="6"/>
      <c r="M132" s="6"/>
      <c r="N132" s="6"/>
      <c r="O132" s="6"/>
    </row>
    <row r="133" spans="1:15" x14ac:dyDescent="0.25">
      <c r="A133" s="6"/>
      <c r="B133" s="6"/>
      <c r="C133" s="6"/>
      <c r="D133" s="6"/>
      <c r="E133" s="6"/>
      <c r="F133" s="6"/>
      <c r="G133" s="6"/>
      <c r="H133" s="6"/>
      <c r="I133" s="6"/>
      <c r="J133" s="6"/>
      <c r="K133" s="6"/>
      <c r="L133" s="6"/>
      <c r="M133" s="6"/>
      <c r="N133" s="6"/>
      <c r="O133" s="6"/>
    </row>
    <row r="134" spans="1:15" x14ac:dyDescent="0.25">
      <c r="A134" s="6"/>
      <c r="B134" s="6"/>
      <c r="C134" s="6"/>
      <c r="D134" s="6"/>
      <c r="E134" s="6"/>
      <c r="F134" s="6"/>
      <c r="G134" s="6"/>
      <c r="H134" s="6"/>
      <c r="I134" s="6"/>
      <c r="J134" s="6"/>
      <c r="K134" s="6"/>
      <c r="L134" s="6"/>
      <c r="M134" s="6"/>
      <c r="N134" s="6"/>
      <c r="O134" s="6"/>
    </row>
    <row r="135" spans="1:15" x14ac:dyDescent="0.25">
      <c r="A135" s="6"/>
      <c r="B135" s="6"/>
      <c r="C135" s="6"/>
      <c r="D135" s="6"/>
      <c r="E135" s="6"/>
      <c r="F135" s="6"/>
      <c r="G135" s="6"/>
      <c r="H135" s="6"/>
      <c r="I135" s="6"/>
      <c r="J135" s="6"/>
      <c r="K135" s="6"/>
      <c r="L135" s="6"/>
      <c r="M135" s="6"/>
      <c r="N135" s="6"/>
      <c r="O135" s="6"/>
    </row>
    <row r="136" spans="1:15" x14ac:dyDescent="0.25">
      <c r="A136" s="6"/>
      <c r="B136" s="6"/>
      <c r="C136" s="6"/>
      <c r="D136" s="6"/>
      <c r="E136" s="6"/>
      <c r="F136" s="6"/>
      <c r="G136" s="6"/>
      <c r="H136" s="6"/>
      <c r="I136" s="6"/>
      <c r="J136" s="6"/>
      <c r="K136" s="6"/>
      <c r="L136" s="6"/>
      <c r="M136" s="6"/>
      <c r="N136" s="6"/>
      <c r="O136" s="6"/>
    </row>
    <row r="137" spans="1:15" x14ac:dyDescent="0.25">
      <c r="A137" s="6"/>
      <c r="B137" s="6"/>
      <c r="C137" s="6"/>
      <c r="D137" s="6"/>
      <c r="E137" s="6"/>
      <c r="F137" s="6"/>
      <c r="G137" s="6"/>
      <c r="H137" s="6"/>
      <c r="I137" s="6"/>
      <c r="J137" s="6"/>
      <c r="K137" s="6"/>
      <c r="L137" s="6"/>
      <c r="M137" s="6"/>
      <c r="N137" s="6"/>
      <c r="O137" s="6"/>
    </row>
    <row r="138" spans="1:15" x14ac:dyDescent="0.25">
      <c r="A138" s="6"/>
      <c r="B138" s="6"/>
      <c r="C138" s="6"/>
      <c r="D138" s="6"/>
      <c r="E138" s="6"/>
      <c r="F138" s="6"/>
      <c r="G138" s="6"/>
      <c r="H138" s="6"/>
      <c r="I138" s="6"/>
      <c r="J138" s="6"/>
      <c r="K138" s="6"/>
      <c r="L138" s="6"/>
      <c r="M138" s="6"/>
      <c r="N138" s="6"/>
      <c r="O138" s="6"/>
    </row>
    <row r="139" spans="1:15" x14ac:dyDescent="0.25">
      <c r="A139" s="6"/>
      <c r="B139" s="6"/>
      <c r="C139" s="6"/>
      <c r="D139" s="6"/>
      <c r="E139" s="6"/>
      <c r="F139" s="6"/>
      <c r="G139" s="6"/>
      <c r="H139" s="6"/>
      <c r="I139" s="6"/>
      <c r="J139" s="6"/>
      <c r="K139" s="6"/>
      <c r="L139" s="6"/>
      <c r="M139" s="6"/>
      <c r="N139" s="6"/>
      <c r="O139" s="6"/>
    </row>
    <row r="140" spans="1:15" x14ac:dyDescent="0.25">
      <c r="A140" s="6"/>
      <c r="B140" s="6"/>
      <c r="C140" s="6"/>
      <c r="D140" s="6"/>
      <c r="E140" s="6"/>
      <c r="F140" s="6"/>
      <c r="G140" s="6"/>
      <c r="H140" s="6"/>
      <c r="I140" s="6"/>
      <c r="J140" s="6"/>
      <c r="K140" s="6"/>
      <c r="L140" s="6"/>
      <c r="M140" s="6"/>
      <c r="N140" s="6"/>
      <c r="O140" s="6"/>
    </row>
    <row r="141" spans="1:15" x14ac:dyDescent="0.25">
      <c r="A141" s="6"/>
      <c r="B141" s="6"/>
      <c r="C141" s="6"/>
      <c r="D141" s="6"/>
      <c r="E141" s="6"/>
      <c r="F141" s="6"/>
      <c r="G141" s="6"/>
      <c r="H141" s="6"/>
      <c r="I141" s="6"/>
      <c r="J141" s="6"/>
      <c r="K141" s="6"/>
      <c r="L141" s="6"/>
      <c r="M141" s="6"/>
      <c r="N141" s="6"/>
      <c r="O141" s="6"/>
    </row>
    <row r="142" spans="1:15" x14ac:dyDescent="0.25">
      <c r="A142" s="6"/>
      <c r="B142" s="6"/>
      <c r="C142" s="6"/>
      <c r="D142" s="6"/>
      <c r="E142" s="6"/>
      <c r="F142" s="6"/>
      <c r="G142" s="6"/>
      <c r="H142" s="6"/>
      <c r="I142" s="6"/>
      <c r="J142" s="6"/>
      <c r="K142" s="6"/>
      <c r="L142" s="6"/>
      <c r="M142" s="6"/>
      <c r="N142" s="6"/>
      <c r="O142" s="6"/>
    </row>
    <row r="143" spans="1:15" x14ac:dyDescent="0.25">
      <c r="A143" s="6"/>
      <c r="B143" s="6"/>
      <c r="C143" s="6"/>
      <c r="D143" s="6"/>
      <c r="E143" s="6"/>
      <c r="F143" s="6"/>
      <c r="G143" s="6"/>
      <c r="H143" s="6"/>
      <c r="I143" s="6"/>
      <c r="J143" s="6"/>
      <c r="K143" s="6"/>
      <c r="L143" s="6"/>
      <c r="M143" s="6"/>
      <c r="N143" s="6"/>
      <c r="O143" s="6"/>
    </row>
    <row r="144" spans="1:15" x14ac:dyDescent="0.25">
      <c r="A144" s="6"/>
      <c r="B144" s="6"/>
      <c r="C144" s="6"/>
      <c r="D144" s="6"/>
      <c r="E144" s="6"/>
      <c r="F144" s="6"/>
      <c r="G144" s="6"/>
      <c r="H144" s="6"/>
      <c r="I144" s="6"/>
      <c r="J144" s="6"/>
      <c r="K144" s="6"/>
      <c r="L144" s="6"/>
      <c r="M144" s="6"/>
      <c r="N144" s="6"/>
      <c r="O144" s="6"/>
    </row>
    <row r="145" spans="1:15" x14ac:dyDescent="0.25">
      <c r="A145" s="6"/>
      <c r="B145" s="6"/>
      <c r="C145" s="6"/>
      <c r="D145" s="6"/>
      <c r="E145" s="6"/>
      <c r="F145" s="6"/>
      <c r="G145" s="6"/>
      <c r="H145" s="6"/>
      <c r="I145" s="6"/>
      <c r="J145" s="6"/>
      <c r="K145" s="6"/>
      <c r="L145" s="6"/>
      <c r="M145" s="6"/>
      <c r="N145" s="6"/>
      <c r="O145" s="6"/>
    </row>
    <row r="146" spans="1:15" x14ac:dyDescent="0.25">
      <c r="A146" s="6"/>
      <c r="B146" s="6"/>
      <c r="C146" s="6"/>
      <c r="D146" s="6"/>
      <c r="E146" s="6"/>
      <c r="F146" s="6"/>
      <c r="G146" s="6"/>
      <c r="H146" s="6"/>
      <c r="I146" s="6"/>
      <c r="J146" s="6"/>
      <c r="K146" s="6"/>
      <c r="L146" s="6"/>
      <c r="M146" s="6"/>
      <c r="N146" s="6"/>
      <c r="O146" s="6"/>
    </row>
    <row r="147" spans="1:15" x14ac:dyDescent="0.25">
      <c r="A147" s="6"/>
      <c r="B147" s="6"/>
      <c r="C147" s="6"/>
      <c r="D147" s="6"/>
      <c r="E147" s="6"/>
      <c r="F147" s="6"/>
      <c r="G147" s="6"/>
      <c r="H147" s="6"/>
      <c r="I147" s="6"/>
      <c r="J147" s="6"/>
      <c r="K147" s="6"/>
      <c r="L147" s="6"/>
      <c r="M147" s="6"/>
      <c r="N147" s="6"/>
      <c r="O147" s="6"/>
    </row>
    <row r="148" spans="1:15" x14ac:dyDescent="0.25">
      <c r="A148" s="6"/>
      <c r="B148" s="6"/>
      <c r="C148" s="6"/>
      <c r="D148" s="6"/>
      <c r="E148" s="6"/>
      <c r="F148" s="6"/>
      <c r="G148" s="6"/>
      <c r="H148" s="6"/>
      <c r="I148" s="6"/>
      <c r="J148" s="6"/>
      <c r="K148" s="6"/>
      <c r="L148" s="6"/>
      <c r="M148" s="6"/>
      <c r="N148" s="6"/>
      <c r="O148" s="6"/>
    </row>
    <row r="149" spans="1:15" x14ac:dyDescent="0.25">
      <c r="A149" s="6"/>
      <c r="B149" s="6"/>
      <c r="C149" s="6"/>
      <c r="D149" s="6"/>
      <c r="E149" s="6"/>
      <c r="F149" s="6"/>
      <c r="G149" s="6"/>
      <c r="H149" s="6"/>
      <c r="I149" s="6"/>
      <c r="J149" s="6"/>
      <c r="K149" s="6"/>
      <c r="L149" s="6"/>
      <c r="M149" s="6"/>
      <c r="N149" s="6"/>
      <c r="O149" s="6"/>
    </row>
    <row r="150" spans="1:15" x14ac:dyDescent="0.25">
      <c r="A150" s="6"/>
      <c r="B150" s="6"/>
      <c r="C150" s="6"/>
      <c r="D150" s="6"/>
      <c r="E150" s="6"/>
      <c r="F150" s="6"/>
      <c r="G150" s="6"/>
      <c r="H150" s="6"/>
      <c r="I150" s="6"/>
      <c r="J150" s="6"/>
      <c r="K150" s="6"/>
      <c r="L150" s="6"/>
      <c r="M150" s="6"/>
      <c r="N150" s="6"/>
      <c r="O150" s="6"/>
    </row>
    <row r="151" spans="1:15" x14ac:dyDescent="0.25">
      <c r="A151" s="6"/>
      <c r="B151" s="6"/>
      <c r="C151" s="6"/>
      <c r="D151" s="6"/>
      <c r="E151" s="6"/>
      <c r="F151" s="6"/>
      <c r="G151" s="6"/>
      <c r="H151" s="6"/>
      <c r="I151" s="6"/>
      <c r="J151" s="6"/>
      <c r="K151" s="6"/>
      <c r="L151" s="6"/>
      <c r="M151" s="6"/>
      <c r="N151" s="6"/>
      <c r="O151" s="6"/>
    </row>
    <row r="152" spans="1:15" x14ac:dyDescent="0.25">
      <c r="A152" s="6"/>
      <c r="B152" s="6"/>
      <c r="C152" s="6"/>
      <c r="D152" s="6"/>
      <c r="E152" s="6"/>
      <c r="F152" s="6"/>
      <c r="G152" s="6"/>
      <c r="H152" s="6"/>
      <c r="I152" s="6"/>
      <c r="J152" s="6"/>
      <c r="K152" s="6"/>
      <c r="L152" s="6"/>
      <c r="M152" s="6"/>
      <c r="N152" s="6"/>
      <c r="O152" s="6"/>
    </row>
    <row r="153" spans="1:15" x14ac:dyDescent="0.25">
      <c r="A153" s="6"/>
      <c r="B153" s="6"/>
      <c r="C153" s="6"/>
      <c r="D153" s="6"/>
      <c r="E153" s="6"/>
      <c r="F153" s="6"/>
      <c r="G153" s="6"/>
      <c r="H153" s="6"/>
      <c r="I153" s="6"/>
      <c r="J153" s="6"/>
      <c r="K153" s="6"/>
      <c r="L153" s="6"/>
      <c r="M153" s="6"/>
      <c r="N153" s="6"/>
      <c r="O153" s="6"/>
    </row>
    <row r="154" spans="1:15" x14ac:dyDescent="0.25">
      <c r="A154" s="6"/>
      <c r="B154" s="6"/>
      <c r="C154" s="6"/>
      <c r="D154" s="6"/>
      <c r="E154" s="6"/>
      <c r="F154" s="6"/>
      <c r="G154" s="6"/>
      <c r="H154" s="6"/>
      <c r="I154" s="6"/>
      <c r="J154" s="6"/>
      <c r="K154" s="6"/>
      <c r="L154" s="6"/>
      <c r="M154" s="6"/>
      <c r="N154" s="6"/>
      <c r="O154" s="6"/>
    </row>
    <row r="155" spans="1:15" x14ac:dyDescent="0.25">
      <c r="A155" s="6"/>
      <c r="B155" s="6"/>
      <c r="C155" s="6"/>
      <c r="D155" s="6"/>
      <c r="E155" s="6"/>
      <c r="F155" s="6"/>
      <c r="G155" s="6"/>
      <c r="H155" s="6"/>
      <c r="I155" s="6"/>
      <c r="J155" s="6"/>
      <c r="K155" s="6"/>
      <c r="L155" s="6"/>
      <c r="M155" s="6"/>
      <c r="N155" s="6"/>
      <c r="O155" s="6"/>
    </row>
    <row r="156" spans="1:15" x14ac:dyDescent="0.25">
      <c r="A156" s="6"/>
      <c r="B156" s="6"/>
      <c r="C156" s="6"/>
      <c r="D156" s="6"/>
      <c r="E156" s="6"/>
      <c r="F156" s="6"/>
      <c r="G156" s="6"/>
      <c r="H156" s="6"/>
      <c r="I156" s="6"/>
      <c r="J156" s="6"/>
      <c r="K156" s="6"/>
      <c r="L156" s="6"/>
      <c r="M156" s="6"/>
      <c r="N156" s="6"/>
      <c r="O156" s="6"/>
    </row>
    <row r="157" spans="1:15" x14ac:dyDescent="0.25">
      <c r="A157" s="6"/>
      <c r="B157" s="6"/>
      <c r="C157" s="6"/>
      <c r="D157" s="6"/>
      <c r="E157" s="6"/>
      <c r="F157" s="6"/>
      <c r="G157" s="6"/>
      <c r="H157" s="6"/>
      <c r="I157" s="6"/>
      <c r="J157" s="6"/>
      <c r="K157" s="6"/>
      <c r="L157" s="6"/>
      <c r="M157" s="6"/>
      <c r="N157" s="6"/>
      <c r="O157" s="6"/>
    </row>
    <row r="158" spans="1:15" x14ac:dyDescent="0.25">
      <c r="A158" s="6"/>
      <c r="B158" s="6"/>
      <c r="C158" s="6"/>
      <c r="D158" s="6"/>
      <c r="E158" s="6"/>
      <c r="F158" s="6"/>
      <c r="G158" s="6"/>
      <c r="H158" s="6"/>
      <c r="I158" s="6"/>
      <c r="J158" s="6"/>
      <c r="K158" s="6"/>
      <c r="L158" s="6"/>
      <c r="M158" s="6"/>
      <c r="N158" s="6"/>
      <c r="O158" s="6"/>
    </row>
    <row r="159" spans="1:15" x14ac:dyDescent="0.25">
      <c r="A159" s="6"/>
      <c r="B159" s="6"/>
      <c r="C159" s="6"/>
      <c r="D159" s="6"/>
      <c r="E159" s="6"/>
      <c r="F159" s="6"/>
      <c r="G159" s="6"/>
      <c r="H159" s="6"/>
      <c r="I159" s="6"/>
      <c r="J159" s="6"/>
      <c r="K159" s="6"/>
      <c r="L159" s="6"/>
      <c r="M159" s="6"/>
      <c r="N159" s="6"/>
      <c r="O159" s="6"/>
    </row>
    <row r="160" spans="1:15" x14ac:dyDescent="0.25">
      <c r="A160" s="6"/>
      <c r="B160" s="6"/>
      <c r="C160" s="6"/>
      <c r="D160" s="6"/>
      <c r="E160" s="6"/>
      <c r="F160" s="6"/>
      <c r="G160" s="6"/>
      <c r="H160" s="6"/>
      <c r="I160" s="6"/>
      <c r="J160" s="6"/>
      <c r="K160" s="6"/>
      <c r="L160" s="6"/>
      <c r="M160" s="6"/>
      <c r="N160" s="6"/>
      <c r="O160" s="6"/>
    </row>
    <row r="161" spans="1:15" x14ac:dyDescent="0.25">
      <c r="A161" s="6"/>
      <c r="B161" s="6"/>
      <c r="C161" s="6"/>
      <c r="D161" s="6"/>
      <c r="E161" s="6"/>
      <c r="F161" s="6"/>
      <c r="G161" s="6"/>
      <c r="H161" s="6"/>
      <c r="I161" s="6"/>
      <c r="J161" s="6"/>
      <c r="K161" s="6"/>
      <c r="L161" s="6"/>
      <c r="M161" s="6"/>
      <c r="N161" s="6"/>
      <c r="O161" s="6"/>
    </row>
    <row r="162" spans="1:15" x14ac:dyDescent="0.25">
      <c r="A162" s="6"/>
      <c r="B162" s="6"/>
      <c r="C162" s="6"/>
      <c r="D162" s="6"/>
      <c r="E162" s="6"/>
      <c r="F162" s="6"/>
      <c r="G162" s="6"/>
      <c r="H162" s="6"/>
      <c r="I162" s="6"/>
      <c r="J162" s="6"/>
      <c r="K162" s="6"/>
      <c r="L162" s="6"/>
      <c r="M162" s="6"/>
      <c r="N162" s="6"/>
      <c r="O162" s="6"/>
    </row>
    <row r="163" spans="1:15" x14ac:dyDescent="0.25">
      <c r="A163" s="6"/>
      <c r="B163" s="6"/>
      <c r="C163" s="6"/>
      <c r="D163" s="6"/>
      <c r="E163" s="6"/>
      <c r="F163" s="6"/>
      <c r="G163" s="6"/>
      <c r="H163" s="6"/>
      <c r="I163" s="6"/>
      <c r="J163" s="6"/>
      <c r="K163" s="6"/>
      <c r="L163" s="6"/>
      <c r="M163" s="6"/>
      <c r="N163" s="6"/>
      <c r="O163" s="6"/>
    </row>
    <row r="164" spans="1:15" x14ac:dyDescent="0.25">
      <c r="A164" s="6"/>
      <c r="B164" s="6"/>
      <c r="C164" s="6"/>
      <c r="D164" s="6"/>
      <c r="E164" s="6"/>
      <c r="F164" s="6"/>
      <c r="G164" s="6"/>
      <c r="H164" s="6"/>
      <c r="I164" s="6"/>
      <c r="J164" s="6"/>
      <c r="K164" s="6"/>
      <c r="L164" s="6"/>
      <c r="M164" s="6"/>
      <c r="N164" s="6"/>
      <c r="O164" s="6"/>
    </row>
    <row r="165" spans="1:15" x14ac:dyDescent="0.25">
      <c r="A165" s="6"/>
      <c r="B165" s="6"/>
      <c r="C165" s="6"/>
      <c r="D165" s="6"/>
      <c r="E165" s="6"/>
      <c r="F165" s="6"/>
      <c r="G165" s="6"/>
      <c r="H165" s="6"/>
      <c r="I165" s="6"/>
      <c r="J165" s="6"/>
      <c r="K165" s="6"/>
      <c r="L165" s="6"/>
      <c r="M165" s="6"/>
      <c r="N165" s="6"/>
      <c r="O165" s="6"/>
    </row>
    <row r="166" spans="1:15" x14ac:dyDescent="0.25">
      <c r="A166" s="6"/>
      <c r="B166" s="6"/>
      <c r="C166" s="6"/>
      <c r="D166" s="6"/>
      <c r="E166" s="6"/>
      <c r="F166" s="6"/>
      <c r="G166" s="6"/>
      <c r="H166" s="6"/>
      <c r="I166" s="6"/>
      <c r="J166" s="6"/>
      <c r="K166" s="6"/>
      <c r="L166" s="6"/>
      <c r="M166" s="6"/>
      <c r="N166" s="6"/>
      <c r="O166" s="6"/>
    </row>
    <row r="167" spans="1:15" x14ac:dyDescent="0.25">
      <c r="A167" s="6"/>
      <c r="B167" s="6"/>
      <c r="C167" s="6"/>
      <c r="D167" s="6"/>
      <c r="E167" s="6"/>
      <c r="F167" s="6"/>
      <c r="G167" s="6"/>
      <c r="H167" s="6"/>
      <c r="I167" s="6"/>
      <c r="J167" s="6"/>
      <c r="K167" s="6"/>
      <c r="L167" s="6"/>
      <c r="M167" s="6"/>
      <c r="N167" s="6"/>
      <c r="O167" s="6"/>
    </row>
    <row r="168" spans="1:15" x14ac:dyDescent="0.25">
      <c r="A168" s="6"/>
      <c r="B168" s="6"/>
      <c r="C168" s="6"/>
      <c r="D168" s="6"/>
      <c r="E168" s="6"/>
      <c r="F168" s="6"/>
      <c r="G168" s="6"/>
      <c r="H168" s="6"/>
      <c r="I168" s="6"/>
      <c r="J168" s="6"/>
      <c r="K168" s="6"/>
      <c r="L168" s="6"/>
      <c r="M168" s="6"/>
      <c r="N168" s="6"/>
      <c r="O168" s="6"/>
    </row>
    <row r="169" spans="1:15" x14ac:dyDescent="0.25">
      <c r="A169" s="6"/>
      <c r="B169" s="6"/>
      <c r="C169" s="6"/>
      <c r="D169" s="6"/>
      <c r="E169" s="6"/>
      <c r="F169" s="6"/>
      <c r="G169" s="6"/>
      <c r="H169" s="6"/>
      <c r="I169" s="6"/>
      <c r="J169" s="6"/>
      <c r="K169" s="6"/>
      <c r="L169" s="6"/>
      <c r="M169" s="6"/>
      <c r="N169" s="6"/>
      <c r="O169" s="6"/>
    </row>
    <row r="170" spans="1:15" x14ac:dyDescent="0.25">
      <c r="A170" s="6"/>
      <c r="B170" s="6"/>
      <c r="C170" s="6"/>
      <c r="D170" s="6"/>
      <c r="E170" s="6"/>
      <c r="F170" s="6"/>
      <c r="G170" s="6"/>
      <c r="H170" s="6"/>
      <c r="I170" s="6"/>
      <c r="J170" s="6"/>
      <c r="K170" s="6"/>
      <c r="L170" s="6"/>
      <c r="M170" s="6"/>
      <c r="N170" s="6"/>
      <c r="O170" s="6"/>
    </row>
    <row r="171" spans="1:15" x14ac:dyDescent="0.25">
      <c r="A171" s="6"/>
      <c r="B171" s="6"/>
      <c r="C171" s="6"/>
      <c r="D171" s="6"/>
      <c r="E171" s="6"/>
      <c r="F171" s="6"/>
      <c r="G171" s="6"/>
      <c r="H171" s="6"/>
      <c r="I171" s="6"/>
      <c r="J171" s="6"/>
      <c r="K171" s="6"/>
      <c r="L171" s="6"/>
      <c r="M171" s="6"/>
      <c r="N171" s="6"/>
      <c r="O171" s="6"/>
    </row>
    <row r="172" spans="1:15" x14ac:dyDescent="0.25">
      <c r="A172" s="6"/>
      <c r="B172" s="6"/>
      <c r="C172" s="6"/>
      <c r="D172" s="6"/>
      <c r="E172" s="6"/>
      <c r="F172" s="6"/>
      <c r="G172" s="6"/>
      <c r="H172" s="6"/>
      <c r="I172" s="6"/>
      <c r="J172" s="6"/>
      <c r="K172" s="6"/>
      <c r="L172" s="6"/>
      <c r="M172" s="6"/>
      <c r="N172" s="6"/>
      <c r="O172" s="6"/>
    </row>
    <row r="173" spans="1:15" x14ac:dyDescent="0.25">
      <c r="A173" s="6"/>
      <c r="B173" s="6"/>
      <c r="C173" s="6"/>
      <c r="D173" s="6"/>
      <c r="E173" s="6"/>
      <c r="F173" s="6"/>
      <c r="G173" s="6"/>
      <c r="H173" s="6"/>
      <c r="I173" s="6"/>
      <c r="J173" s="6"/>
      <c r="K173" s="6"/>
      <c r="L173" s="6"/>
      <c r="M173" s="6"/>
      <c r="N173" s="6"/>
      <c r="O173" s="6"/>
    </row>
    <row r="174" spans="1:15" x14ac:dyDescent="0.25">
      <c r="A174" s="6"/>
      <c r="B174" s="6"/>
      <c r="C174" s="6"/>
      <c r="D174" s="6"/>
      <c r="E174" s="6"/>
      <c r="F174" s="6"/>
      <c r="G174" s="6"/>
      <c r="H174" s="6"/>
      <c r="I174" s="6"/>
      <c r="J174" s="6"/>
      <c r="K174" s="6"/>
      <c r="L174" s="6"/>
      <c r="M174" s="6"/>
      <c r="N174" s="6"/>
      <c r="O174" s="6"/>
    </row>
    <row r="175" spans="1:15" x14ac:dyDescent="0.25">
      <c r="A175" s="6"/>
      <c r="B175" s="6"/>
      <c r="C175" s="6"/>
      <c r="D175" s="6"/>
      <c r="E175" s="6"/>
      <c r="F175" s="6"/>
      <c r="G175" s="6"/>
      <c r="H175" s="6"/>
      <c r="I175" s="6"/>
      <c r="J175" s="6"/>
      <c r="K175" s="6"/>
      <c r="L175" s="6"/>
      <c r="M175" s="6"/>
      <c r="N175" s="6"/>
      <c r="O175" s="6"/>
    </row>
    <row r="176" spans="1:15" x14ac:dyDescent="0.25">
      <c r="A176" s="6"/>
      <c r="B176" s="6"/>
      <c r="C176" s="6"/>
      <c r="D176" s="6"/>
      <c r="E176" s="6"/>
      <c r="F176" s="6"/>
      <c r="G176" s="6"/>
      <c r="H176" s="6"/>
      <c r="I176" s="6"/>
      <c r="J176" s="6"/>
      <c r="K176" s="6"/>
      <c r="L176" s="6"/>
      <c r="M176" s="6"/>
      <c r="N176" s="6"/>
      <c r="O176" s="6"/>
    </row>
    <row r="177" spans="1:15" x14ac:dyDescent="0.25">
      <c r="A177" s="6"/>
      <c r="B177" s="6"/>
      <c r="C177" s="6"/>
      <c r="D177" s="6"/>
      <c r="E177" s="6"/>
      <c r="F177" s="6"/>
      <c r="G177" s="6"/>
      <c r="H177" s="6"/>
      <c r="I177" s="6"/>
      <c r="J177" s="6"/>
      <c r="K177" s="6"/>
      <c r="L177" s="6"/>
      <c r="M177" s="6"/>
      <c r="N177" s="6"/>
      <c r="O177" s="6"/>
    </row>
    <row r="178" spans="1:15" x14ac:dyDescent="0.25">
      <c r="A178" s="6"/>
      <c r="B178" s="6"/>
      <c r="C178" s="6"/>
      <c r="D178" s="6"/>
      <c r="E178" s="6"/>
      <c r="F178" s="6"/>
      <c r="G178" s="6"/>
      <c r="H178" s="6"/>
      <c r="I178" s="6"/>
      <c r="J178" s="6"/>
      <c r="K178" s="6"/>
      <c r="L178" s="6"/>
      <c r="M178" s="6"/>
      <c r="N178" s="6"/>
      <c r="O178" s="6"/>
    </row>
    <row r="179" spans="1:15" x14ac:dyDescent="0.25">
      <c r="A179" s="6"/>
      <c r="B179" s="6"/>
      <c r="C179" s="6"/>
      <c r="D179" s="6"/>
      <c r="E179" s="6"/>
      <c r="F179" s="6"/>
      <c r="G179" s="6"/>
      <c r="H179" s="6"/>
      <c r="I179" s="6"/>
      <c r="J179" s="6"/>
      <c r="K179" s="6"/>
      <c r="L179" s="6"/>
      <c r="M179" s="6"/>
      <c r="N179" s="6"/>
      <c r="O179" s="6"/>
    </row>
    <row r="180" spans="1:15" x14ac:dyDescent="0.25">
      <c r="A180" s="6"/>
      <c r="B180" s="6"/>
      <c r="C180" s="6"/>
      <c r="D180" s="6"/>
      <c r="E180" s="6"/>
      <c r="F180" s="6"/>
      <c r="G180" s="6"/>
      <c r="H180" s="6"/>
      <c r="I180" s="6"/>
      <c r="J180" s="6"/>
      <c r="K180" s="6"/>
      <c r="L180" s="6"/>
      <c r="M180" s="6"/>
      <c r="N180" s="6"/>
      <c r="O180" s="6"/>
    </row>
    <row r="181" spans="1:15" x14ac:dyDescent="0.25">
      <c r="A181" s="6"/>
      <c r="B181" s="6"/>
      <c r="C181" s="6"/>
      <c r="D181" s="6"/>
      <c r="E181" s="6"/>
      <c r="F181" s="6"/>
      <c r="G181" s="6"/>
      <c r="H181" s="6"/>
      <c r="I181" s="6"/>
      <c r="J181" s="6"/>
      <c r="K181" s="6"/>
      <c r="L181" s="6"/>
      <c r="M181" s="6"/>
      <c r="N181" s="6"/>
      <c r="O181" s="6"/>
    </row>
    <row r="182" spans="1:15" x14ac:dyDescent="0.25">
      <c r="A182" s="6"/>
      <c r="B182" s="6"/>
      <c r="C182" s="6"/>
      <c r="D182" s="6"/>
      <c r="E182" s="6"/>
      <c r="F182" s="6"/>
      <c r="G182" s="6"/>
      <c r="H182" s="6"/>
      <c r="I182" s="6"/>
      <c r="J182" s="6"/>
      <c r="K182" s="6"/>
      <c r="L182" s="6"/>
      <c r="M182" s="6"/>
      <c r="N182" s="6"/>
      <c r="O182" s="6"/>
    </row>
    <row r="183" spans="1:15" x14ac:dyDescent="0.25">
      <c r="A183" s="6"/>
      <c r="B183" s="6"/>
      <c r="C183" s="6"/>
      <c r="D183" s="6"/>
      <c r="E183" s="6"/>
      <c r="F183" s="6"/>
      <c r="G183" s="6"/>
      <c r="H183" s="6"/>
      <c r="I183" s="6"/>
      <c r="J183" s="6"/>
      <c r="K183" s="6"/>
      <c r="L183" s="6"/>
      <c r="M183" s="6"/>
      <c r="N183" s="6"/>
      <c r="O183" s="6"/>
    </row>
    <row r="184" spans="1:15" x14ac:dyDescent="0.25">
      <c r="A184" s="6"/>
      <c r="B184" s="6"/>
      <c r="C184" s="6"/>
      <c r="D184" s="6"/>
      <c r="E184" s="6"/>
      <c r="F184" s="6"/>
      <c r="G184" s="6"/>
      <c r="H184" s="6"/>
      <c r="I184" s="6"/>
      <c r="J184" s="6"/>
      <c r="K184" s="6"/>
      <c r="L184" s="6"/>
      <c r="M184" s="6"/>
      <c r="N184" s="6"/>
      <c r="O184" s="6"/>
    </row>
    <row r="185" spans="1:15" x14ac:dyDescent="0.25">
      <c r="A185" s="6"/>
      <c r="B185" s="6"/>
      <c r="C185" s="6"/>
      <c r="D185" s="6"/>
      <c r="E185" s="6"/>
      <c r="F185" s="6"/>
      <c r="G185" s="6"/>
      <c r="H185" s="6"/>
      <c r="I185" s="6"/>
      <c r="J185" s="6"/>
      <c r="K185" s="6"/>
      <c r="L185" s="6"/>
      <c r="M185" s="6"/>
      <c r="N185" s="6"/>
      <c r="O185" s="6"/>
    </row>
    <row r="186" spans="1:15" x14ac:dyDescent="0.25">
      <c r="A186" s="6"/>
      <c r="B186" s="6"/>
      <c r="C186" s="6"/>
      <c r="D186" s="6"/>
      <c r="E186" s="6"/>
      <c r="F186" s="6"/>
      <c r="G186" s="6"/>
      <c r="H186" s="6"/>
      <c r="I186" s="6"/>
      <c r="J186" s="6"/>
      <c r="K186" s="6"/>
      <c r="L186" s="6"/>
      <c r="M186" s="6"/>
      <c r="N186" s="6"/>
      <c r="O186" s="6"/>
    </row>
    <row r="187" spans="1:15" x14ac:dyDescent="0.25">
      <c r="A187" s="6"/>
      <c r="B187" s="6"/>
      <c r="C187" s="6"/>
      <c r="D187" s="6"/>
      <c r="E187" s="6"/>
      <c r="F187" s="6"/>
      <c r="G187" s="6"/>
      <c r="H187" s="6"/>
      <c r="I187" s="6"/>
      <c r="J187" s="6"/>
      <c r="K187" s="6"/>
      <c r="L187" s="6"/>
      <c r="M187" s="6"/>
      <c r="N187" s="6"/>
      <c r="O187" s="6"/>
    </row>
    <row r="188" spans="1:15" x14ac:dyDescent="0.25">
      <c r="A188" s="6"/>
      <c r="B188" s="6"/>
      <c r="C188" s="6"/>
      <c r="D188" s="6"/>
      <c r="E188" s="6"/>
      <c r="F188" s="6"/>
      <c r="G188" s="6"/>
      <c r="H188" s="6"/>
      <c r="I188" s="6"/>
      <c r="J188" s="6"/>
      <c r="K188" s="6"/>
      <c r="L188" s="6"/>
      <c r="M188" s="6"/>
      <c r="N188" s="6"/>
      <c r="O188" s="6"/>
    </row>
    <row r="189" spans="1:15" x14ac:dyDescent="0.25">
      <c r="A189" s="6"/>
      <c r="B189" s="6"/>
      <c r="C189" s="6"/>
      <c r="D189" s="6"/>
      <c r="E189" s="6"/>
      <c r="F189" s="6"/>
      <c r="G189" s="6"/>
      <c r="H189" s="6"/>
      <c r="I189" s="6"/>
      <c r="J189" s="6"/>
      <c r="K189" s="6"/>
      <c r="L189" s="6"/>
      <c r="M189" s="6"/>
      <c r="N189" s="6"/>
      <c r="O189" s="6"/>
    </row>
    <row r="190" spans="1:15" x14ac:dyDescent="0.25">
      <c r="A190" s="6"/>
      <c r="B190" s="6"/>
      <c r="C190" s="6"/>
      <c r="D190" s="6"/>
      <c r="E190" s="6"/>
      <c r="F190" s="6"/>
      <c r="G190" s="6"/>
      <c r="H190" s="6"/>
      <c r="I190" s="6"/>
      <c r="J190" s="6"/>
      <c r="K190" s="6"/>
      <c r="L190" s="6"/>
      <c r="M190" s="6"/>
      <c r="N190" s="6"/>
      <c r="O190" s="6"/>
    </row>
    <row r="191" spans="1:15" x14ac:dyDescent="0.25">
      <c r="A191" s="6"/>
      <c r="B191" s="6"/>
      <c r="C191" s="6"/>
      <c r="D191" s="6"/>
      <c r="E191" s="6"/>
      <c r="F191" s="6"/>
      <c r="G191" s="6"/>
      <c r="H191" s="6"/>
      <c r="I191" s="6"/>
      <c r="J191" s="6"/>
      <c r="K191" s="6"/>
      <c r="L191" s="6"/>
      <c r="M191" s="6"/>
      <c r="N191" s="6"/>
      <c r="O191" s="6"/>
    </row>
    <row r="192" spans="1:15" x14ac:dyDescent="0.25">
      <c r="A192" s="6"/>
      <c r="B192" s="6"/>
      <c r="C192" s="6"/>
      <c r="D192" s="6"/>
      <c r="E192" s="6"/>
      <c r="F192" s="6"/>
      <c r="G192" s="6"/>
      <c r="H192" s="6"/>
      <c r="I192" s="6"/>
      <c r="J192" s="6"/>
      <c r="K192" s="6"/>
      <c r="L192" s="6"/>
      <c r="M192" s="6"/>
      <c r="N192" s="6"/>
      <c r="O192" s="6"/>
    </row>
    <row r="193" spans="1:15" x14ac:dyDescent="0.25">
      <c r="A193" s="6"/>
      <c r="B193" s="6"/>
      <c r="C193" s="6"/>
      <c r="D193" s="6"/>
      <c r="E193" s="6"/>
      <c r="F193" s="6"/>
      <c r="G193" s="6"/>
      <c r="H193" s="6"/>
      <c r="I193" s="6"/>
      <c r="J193" s="6"/>
      <c r="K193" s="6"/>
      <c r="L193" s="6"/>
      <c r="M193" s="6"/>
      <c r="N193" s="6"/>
      <c r="O193" s="6"/>
    </row>
    <row r="194" spans="1:15" x14ac:dyDescent="0.25">
      <c r="A194" s="6"/>
      <c r="B194" s="6"/>
      <c r="C194" s="6"/>
      <c r="D194" s="6"/>
      <c r="E194" s="6"/>
      <c r="F194" s="6"/>
      <c r="G194" s="6"/>
      <c r="H194" s="6"/>
      <c r="I194" s="6"/>
      <c r="J194" s="6"/>
      <c r="K194" s="6"/>
      <c r="L194" s="6"/>
      <c r="M194" s="6"/>
      <c r="N194" s="6"/>
      <c r="O194" s="6"/>
    </row>
    <row r="195" spans="1:15" x14ac:dyDescent="0.25">
      <c r="A195" s="6"/>
      <c r="B195" s="6"/>
      <c r="C195" s="6"/>
      <c r="D195" s="6"/>
      <c r="E195" s="6"/>
      <c r="F195" s="6"/>
      <c r="G195" s="6"/>
      <c r="H195" s="6"/>
      <c r="I195" s="6"/>
      <c r="J195" s="6"/>
      <c r="K195" s="6"/>
      <c r="L195" s="6"/>
      <c r="M195" s="6"/>
      <c r="N195" s="6"/>
      <c r="O195" s="6"/>
    </row>
    <row r="196" spans="1:15" x14ac:dyDescent="0.25">
      <c r="A196" s="6"/>
      <c r="B196" s="6"/>
      <c r="C196" s="6"/>
      <c r="D196" s="6"/>
      <c r="E196" s="6"/>
      <c r="F196" s="6"/>
      <c r="G196" s="6"/>
      <c r="H196" s="6"/>
      <c r="I196" s="6"/>
      <c r="J196" s="6"/>
      <c r="K196" s="6"/>
      <c r="L196" s="6"/>
      <c r="M196" s="6"/>
      <c r="N196" s="6"/>
      <c r="O196" s="6"/>
    </row>
    <row r="197" spans="1:15" x14ac:dyDescent="0.25">
      <c r="A197" s="6"/>
      <c r="B197" s="6"/>
      <c r="C197" s="6"/>
      <c r="D197" s="6"/>
      <c r="E197" s="6"/>
      <c r="F197" s="6"/>
      <c r="G197" s="6"/>
      <c r="H197" s="6"/>
      <c r="I197" s="6"/>
      <c r="J197" s="6"/>
      <c r="K197" s="6"/>
      <c r="L197" s="6"/>
      <c r="M197" s="6"/>
      <c r="N197" s="6"/>
      <c r="O197" s="6"/>
    </row>
    <row r="198" spans="1:15" x14ac:dyDescent="0.25">
      <c r="A198" s="6"/>
      <c r="B198" s="6"/>
      <c r="C198" s="6"/>
      <c r="D198" s="6"/>
      <c r="E198" s="6"/>
      <c r="F198" s="6"/>
      <c r="G198" s="6"/>
      <c r="H198" s="6"/>
      <c r="I198" s="6"/>
      <c r="J198" s="6"/>
      <c r="K198" s="6"/>
      <c r="L198" s="6"/>
      <c r="M198" s="6"/>
      <c r="N198" s="6"/>
      <c r="O198" s="6"/>
    </row>
    <row r="199" spans="1:15" x14ac:dyDescent="0.25">
      <c r="A199" s="6"/>
      <c r="B199" s="6"/>
      <c r="C199" s="6"/>
      <c r="D199" s="6"/>
      <c r="E199" s="6"/>
      <c r="F199" s="6"/>
      <c r="G199" s="6"/>
      <c r="H199" s="6"/>
      <c r="I199" s="6"/>
      <c r="J199" s="6"/>
      <c r="K199" s="6"/>
      <c r="L199" s="6"/>
      <c r="M199" s="6"/>
      <c r="N199" s="6"/>
      <c r="O199" s="6"/>
    </row>
    <row r="200" spans="1:15" x14ac:dyDescent="0.25">
      <c r="A200" s="6"/>
      <c r="B200" s="6"/>
      <c r="C200" s="6"/>
      <c r="D200" s="6"/>
      <c r="E200" s="6"/>
      <c r="F200" s="6"/>
      <c r="G200" s="6"/>
      <c r="H200" s="6"/>
      <c r="I200" s="6"/>
      <c r="J200" s="6"/>
      <c r="K200" s="6"/>
      <c r="L200" s="6"/>
      <c r="M200" s="6"/>
      <c r="N200" s="6"/>
      <c r="O200" s="6"/>
    </row>
    <row r="201" spans="1:15" x14ac:dyDescent="0.25">
      <c r="A201" s="6"/>
      <c r="B201" s="6"/>
      <c r="C201" s="6"/>
      <c r="D201" s="6"/>
      <c r="E201" s="6"/>
      <c r="F201" s="6"/>
      <c r="G201" s="6"/>
      <c r="H201" s="6"/>
      <c r="I201" s="6"/>
      <c r="J201" s="6"/>
      <c r="K201" s="6"/>
      <c r="L201" s="6"/>
      <c r="M201" s="6"/>
      <c r="N201" s="6"/>
      <c r="O201" s="6"/>
    </row>
    <row r="202" spans="1:15" x14ac:dyDescent="0.25">
      <c r="A202" s="6"/>
      <c r="B202" s="6"/>
      <c r="C202" s="6"/>
      <c r="D202" s="6"/>
      <c r="E202" s="6"/>
      <c r="F202" s="6"/>
      <c r="G202" s="6"/>
      <c r="H202" s="6"/>
      <c r="I202" s="6"/>
      <c r="J202" s="6"/>
      <c r="K202" s="6"/>
      <c r="L202" s="6"/>
      <c r="M202" s="6"/>
      <c r="N202" s="6"/>
      <c r="O202" s="6"/>
    </row>
    <row r="203" spans="1:15" x14ac:dyDescent="0.25">
      <c r="A203" s="6"/>
      <c r="B203" s="6"/>
      <c r="C203" s="6"/>
      <c r="D203" s="6"/>
      <c r="E203" s="6"/>
      <c r="F203" s="6"/>
      <c r="G203" s="6"/>
      <c r="H203" s="6"/>
      <c r="I203" s="6"/>
      <c r="J203" s="6"/>
      <c r="K203" s="6"/>
      <c r="L203" s="6"/>
      <c r="M203" s="6"/>
      <c r="N203" s="6"/>
      <c r="O203" s="6"/>
    </row>
    <row r="204" spans="1:15" x14ac:dyDescent="0.25">
      <c r="A204" s="6"/>
      <c r="B204" s="6"/>
      <c r="C204" s="6"/>
      <c r="D204" s="6"/>
      <c r="E204" s="6"/>
      <c r="F204" s="6"/>
      <c r="G204" s="6"/>
      <c r="H204" s="6"/>
      <c r="I204" s="6"/>
      <c r="J204" s="6"/>
      <c r="K204" s="6"/>
      <c r="L204" s="6"/>
      <c r="M204" s="6"/>
      <c r="N204" s="6"/>
      <c r="O204" s="6"/>
    </row>
    <row r="205" spans="1:15" x14ac:dyDescent="0.25">
      <c r="A205" s="6"/>
      <c r="B205" s="6"/>
      <c r="C205" s="6"/>
      <c r="D205" s="6"/>
      <c r="E205" s="6"/>
      <c r="F205" s="6"/>
      <c r="G205" s="6"/>
      <c r="H205" s="6"/>
      <c r="I205" s="6"/>
      <c r="J205" s="6"/>
      <c r="K205" s="6"/>
      <c r="L205" s="6"/>
      <c r="M205" s="6"/>
      <c r="N205" s="6"/>
      <c r="O205" s="6"/>
    </row>
    <row r="206" spans="1:15" x14ac:dyDescent="0.25">
      <c r="A206" s="6"/>
      <c r="B206" s="6"/>
      <c r="C206" s="6"/>
      <c r="D206" s="6"/>
      <c r="E206" s="6"/>
      <c r="F206" s="6"/>
      <c r="G206" s="6"/>
      <c r="H206" s="6"/>
      <c r="I206" s="6"/>
      <c r="J206" s="6"/>
      <c r="K206" s="6"/>
      <c r="L206" s="6"/>
      <c r="M206" s="6"/>
      <c r="N206" s="6"/>
      <c r="O206" s="6"/>
    </row>
    <row r="207" spans="1:15" x14ac:dyDescent="0.25">
      <c r="A207" s="6"/>
      <c r="B207" s="6"/>
      <c r="C207" s="6"/>
      <c r="D207" s="6"/>
      <c r="E207" s="6"/>
      <c r="F207" s="6"/>
      <c r="G207" s="6"/>
      <c r="H207" s="6"/>
      <c r="I207" s="6"/>
      <c r="J207" s="6"/>
      <c r="K207" s="6"/>
      <c r="L207" s="6"/>
      <c r="M207" s="6"/>
      <c r="N207" s="6"/>
      <c r="O207" s="6"/>
    </row>
    <row r="208" spans="1:15" x14ac:dyDescent="0.25">
      <c r="A208" s="6"/>
      <c r="B208" s="6"/>
      <c r="C208" s="6"/>
      <c r="D208" s="6"/>
      <c r="E208" s="6"/>
      <c r="F208" s="6"/>
      <c r="G208" s="6"/>
      <c r="H208" s="6"/>
      <c r="I208" s="6"/>
      <c r="J208" s="6"/>
      <c r="K208" s="6"/>
      <c r="L208" s="6"/>
      <c r="M208" s="6"/>
      <c r="N208" s="6"/>
      <c r="O208" s="6"/>
    </row>
    <row r="209" spans="1:15" x14ac:dyDescent="0.25">
      <c r="A209" s="6"/>
      <c r="B209" s="6"/>
      <c r="C209" s="6"/>
      <c r="D209" s="6"/>
      <c r="E209" s="6"/>
      <c r="F209" s="6"/>
      <c r="G209" s="6"/>
      <c r="H209" s="6"/>
      <c r="I209" s="6"/>
      <c r="J209" s="6"/>
      <c r="K209" s="6"/>
      <c r="L209" s="6"/>
      <c r="M209" s="6"/>
      <c r="N209" s="6"/>
      <c r="O209" s="6"/>
    </row>
    <row r="210" spans="1:15" x14ac:dyDescent="0.25">
      <c r="A210" s="6"/>
      <c r="B210" s="6"/>
      <c r="C210" s="6"/>
      <c r="D210" s="6"/>
      <c r="E210" s="6"/>
      <c r="F210" s="6"/>
      <c r="G210" s="6"/>
      <c r="H210" s="6"/>
      <c r="I210" s="6"/>
      <c r="J210" s="6"/>
      <c r="K210" s="6"/>
      <c r="L210" s="6"/>
      <c r="M210" s="6"/>
      <c r="N210" s="6"/>
      <c r="O210" s="6"/>
    </row>
    <row r="211" spans="1:15" x14ac:dyDescent="0.25">
      <c r="A211" s="6"/>
      <c r="B211" s="6"/>
      <c r="C211" s="6"/>
      <c r="D211" s="6"/>
      <c r="E211" s="6"/>
      <c r="F211" s="6"/>
      <c r="G211" s="6"/>
      <c r="H211" s="6"/>
      <c r="I211" s="6"/>
      <c r="J211" s="6"/>
      <c r="K211" s="6"/>
      <c r="L211" s="6"/>
      <c r="M211" s="6"/>
      <c r="N211" s="6"/>
      <c r="O211" s="6"/>
    </row>
    <row r="212" spans="1:15" x14ac:dyDescent="0.25">
      <c r="A212" s="6"/>
      <c r="B212" s="6"/>
      <c r="C212" s="6"/>
      <c r="D212" s="6"/>
      <c r="E212" s="6"/>
      <c r="F212" s="6"/>
      <c r="G212" s="6"/>
      <c r="H212" s="6"/>
      <c r="I212" s="6"/>
      <c r="J212" s="6"/>
      <c r="K212" s="6"/>
      <c r="L212" s="6"/>
      <c r="M212" s="6"/>
      <c r="N212" s="6"/>
      <c r="O212" s="6"/>
    </row>
    <row r="213" spans="1:15" x14ac:dyDescent="0.25">
      <c r="A213" s="6"/>
      <c r="B213" s="6"/>
      <c r="C213" s="6"/>
      <c r="D213" s="6"/>
      <c r="E213" s="6"/>
      <c r="F213" s="6"/>
      <c r="G213" s="6"/>
      <c r="H213" s="6"/>
      <c r="I213" s="6"/>
      <c r="J213" s="6"/>
      <c r="K213" s="6"/>
      <c r="L213" s="6"/>
      <c r="M213" s="6"/>
      <c r="N213" s="6"/>
      <c r="O213" s="6"/>
    </row>
    <row r="214" spans="1:15" x14ac:dyDescent="0.25">
      <c r="A214" s="6"/>
      <c r="B214" s="6"/>
      <c r="C214" s="6"/>
      <c r="D214" s="6"/>
      <c r="E214" s="6"/>
      <c r="F214" s="6"/>
      <c r="G214" s="6"/>
      <c r="H214" s="6"/>
      <c r="I214" s="6"/>
      <c r="J214" s="6"/>
      <c r="K214" s="6"/>
      <c r="L214" s="6"/>
      <c r="M214" s="6"/>
      <c r="N214" s="6"/>
      <c r="O214" s="6"/>
    </row>
    <row r="215" spans="1:15" x14ac:dyDescent="0.25">
      <c r="A215" s="6"/>
      <c r="B215" s="6"/>
      <c r="C215" s="6"/>
      <c r="D215" s="6"/>
      <c r="E215" s="6"/>
      <c r="F215" s="6"/>
      <c r="G215" s="6"/>
      <c r="H215" s="6"/>
      <c r="I215" s="6"/>
      <c r="J215" s="6"/>
      <c r="K215" s="6"/>
      <c r="L215" s="6"/>
      <c r="M215" s="6"/>
      <c r="N215" s="6"/>
      <c r="O215" s="6"/>
    </row>
    <row r="216" spans="1:15" x14ac:dyDescent="0.25">
      <c r="A216" s="6"/>
      <c r="B216" s="6"/>
      <c r="C216" s="6"/>
      <c r="D216" s="6"/>
      <c r="E216" s="6"/>
      <c r="F216" s="6"/>
      <c r="G216" s="6"/>
      <c r="H216" s="6"/>
      <c r="I216" s="6"/>
      <c r="J216" s="6"/>
      <c r="K216" s="6"/>
      <c r="L216" s="6"/>
      <c r="M216" s="6"/>
      <c r="N216" s="6"/>
      <c r="O216" s="6"/>
    </row>
    <row r="217" spans="1:15" x14ac:dyDescent="0.25">
      <c r="A217" s="6"/>
      <c r="B217" s="6"/>
      <c r="C217" s="6"/>
      <c r="D217" s="6"/>
      <c r="E217" s="6"/>
      <c r="F217" s="6"/>
      <c r="G217" s="6"/>
      <c r="H217" s="6"/>
      <c r="I217" s="6"/>
      <c r="J217" s="6"/>
      <c r="K217" s="6"/>
      <c r="L217" s="6"/>
      <c r="M217" s="6"/>
      <c r="N217" s="6"/>
      <c r="O217" s="6"/>
    </row>
    <row r="218" spans="1:15" x14ac:dyDescent="0.25">
      <c r="A218" s="6"/>
      <c r="B218" s="6"/>
      <c r="C218" s="6"/>
      <c r="D218" s="6"/>
      <c r="E218" s="6"/>
      <c r="F218" s="6"/>
      <c r="G218" s="6"/>
      <c r="H218" s="6"/>
      <c r="I218" s="6"/>
      <c r="J218" s="6"/>
      <c r="K218" s="6"/>
      <c r="L218" s="6"/>
      <c r="M218" s="6"/>
      <c r="N218" s="6"/>
      <c r="O218" s="6"/>
    </row>
    <row r="219" spans="1:15" x14ac:dyDescent="0.25">
      <c r="A219" s="6"/>
      <c r="B219" s="6"/>
      <c r="C219" s="6"/>
      <c r="D219" s="6"/>
      <c r="E219" s="6"/>
      <c r="F219" s="6"/>
      <c r="G219" s="6"/>
      <c r="H219" s="6"/>
      <c r="I219" s="6"/>
      <c r="J219" s="6"/>
      <c r="K219" s="6"/>
      <c r="L219" s="6"/>
      <c r="M219" s="6"/>
      <c r="N219" s="6"/>
      <c r="O219" s="6"/>
    </row>
    <row r="220" spans="1:15" x14ac:dyDescent="0.25">
      <c r="A220" s="6"/>
      <c r="B220" s="6"/>
      <c r="C220" s="6"/>
      <c r="D220" s="6"/>
      <c r="E220" s="6"/>
      <c r="F220" s="6"/>
      <c r="G220" s="6"/>
      <c r="H220" s="6"/>
      <c r="I220" s="6"/>
      <c r="J220" s="6"/>
      <c r="K220" s="6"/>
      <c r="L220" s="6"/>
      <c r="M220" s="6"/>
      <c r="N220" s="6"/>
      <c r="O220" s="6"/>
    </row>
    <row r="221" spans="1:15" x14ac:dyDescent="0.25">
      <c r="A221" s="6"/>
      <c r="B221" s="6"/>
      <c r="C221" s="6"/>
      <c r="D221" s="6"/>
      <c r="E221" s="6"/>
      <c r="F221" s="6"/>
      <c r="G221" s="6"/>
      <c r="H221" s="6"/>
      <c r="I221" s="6"/>
      <c r="J221" s="6"/>
      <c r="K221" s="6"/>
      <c r="L221" s="6"/>
      <c r="M221" s="6"/>
      <c r="N221" s="6"/>
      <c r="O221" s="6"/>
    </row>
    <row r="222" spans="1:15" x14ac:dyDescent="0.25">
      <c r="A222" s="6"/>
      <c r="B222" s="6"/>
      <c r="C222" s="6"/>
      <c r="D222" s="6"/>
      <c r="E222" s="6"/>
      <c r="F222" s="6"/>
      <c r="G222" s="6"/>
      <c r="H222" s="6"/>
      <c r="I222" s="6"/>
      <c r="J222" s="6"/>
      <c r="K222" s="6"/>
      <c r="L222" s="6"/>
      <c r="M222" s="6"/>
      <c r="N222" s="6"/>
      <c r="O222" s="6"/>
    </row>
    <row r="223" spans="1:15" x14ac:dyDescent="0.25">
      <c r="A223" s="6"/>
      <c r="B223" s="6"/>
      <c r="C223" s="6"/>
      <c r="D223" s="6"/>
      <c r="E223" s="6"/>
      <c r="F223" s="6"/>
      <c r="G223" s="6"/>
      <c r="H223" s="6"/>
      <c r="I223" s="6"/>
      <c r="J223" s="6"/>
      <c r="K223" s="6"/>
      <c r="L223" s="6"/>
      <c r="M223" s="6"/>
      <c r="N223" s="6"/>
      <c r="O223" s="6"/>
    </row>
    <row r="224" spans="1:15" x14ac:dyDescent="0.25">
      <c r="A224" s="6"/>
      <c r="B224" s="6"/>
      <c r="C224" s="6"/>
      <c r="D224" s="6"/>
      <c r="E224" s="6"/>
      <c r="F224" s="6"/>
      <c r="G224" s="6"/>
      <c r="H224" s="6"/>
      <c r="I224" s="6"/>
      <c r="J224" s="6"/>
      <c r="K224" s="6"/>
      <c r="L224" s="6"/>
      <c r="M224" s="6"/>
      <c r="N224" s="6"/>
      <c r="O224" s="6"/>
    </row>
    <row r="225" spans="1:15" x14ac:dyDescent="0.25">
      <c r="A225" s="6"/>
      <c r="B225" s="6"/>
      <c r="C225" s="6"/>
      <c r="D225" s="6"/>
      <c r="E225" s="6"/>
      <c r="F225" s="6"/>
      <c r="G225" s="6"/>
      <c r="H225" s="6"/>
      <c r="I225" s="6"/>
      <c r="J225" s="6"/>
      <c r="K225" s="6"/>
      <c r="L225" s="6"/>
      <c r="M225" s="6"/>
      <c r="N225" s="6"/>
      <c r="O225" s="6"/>
    </row>
    <row r="226" spans="1:15" x14ac:dyDescent="0.25">
      <c r="A226" s="6"/>
      <c r="B226" s="6"/>
      <c r="C226" s="6"/>
      <c r="D226" s="6"/>
      <c r="E226" s="6"/>
      <c r="F226" s="6"/>
      <c r="G226" s="6"/>
      <c r="H226" s="6"/>
      <c r="I226" s="6"/>
      <c r="J226" s="6"/>
      <c r="K226" s="6"/>
      <c r="L226" s="6"/>
      <c r="M226" s="6"/>
      <c r="N226" s="6"/>
      <c r="O226" s="6"/>
    </row>
    <row r="227" spans="1:15" x14ac:dyDescent="0.25">
      <c r="A227" s="6"/>
      <c r="B227" s="6"/>
      <c r="C227" s="6"/>
      <c r="D227" s="6"/>
      <c r="E227" s="6"/>
      <c r="F227" s="6"/>
      <c r="G227" s="6"/>
      <c r="H227" s="6"/>
      <c r="I227" s="6"/>
      <c r="J227" s="6"/>
      <c r="K227" s="6"/>
      <c r="L227" s="6"/>
      <c r="M227" s="6"/>
      <c r="N227" s="6"/>
      <c r="O227" s="6"/>
    </row>
    <row r="228" spans="1:15" x14ac:dyDescent="0.25">
      <c r="A228" s="6"/>
      <c r="B228" s="6"/>
      <c r="C228" s="6"/>
      <c r="D228" s="6"/>
      <c r="E228" s="6"/>
      <c r="F228" s="6"/>
      <c r="G228" s="6"/>
      <c r="H228" s="6"/>
      <c r="I228" s="6"/>
      <c r="J228" s="6"/>
      <c r="K228" s="6"/>
      <c r="L228" s="6"/>
      <c r="M228" s="6"/>
      <c r="N228" s="6"/>
      <c r="O228" s="6"/>
    </row>
    <row r="229" spans="1:15" x14ac:dyDescent="0.25">
      <c r="A229" s="6"/>
      <c r="B229" s="6"/>
      <c r="C229" s="6"/>
      <c r="D229" s="6"/>
      <c r="E229" s="6"/>
      <c r="F229" s="6"/>
      <c r="G229" s="6"/>
      <c r="H229" s="6"/>
      <c r="I229" s="6"/>
      <c r="J229" s="6"/>
      <c r="K229" s="6"/>
      <c r="L229" s="6"/>
      <c r="M229" s="6"/>
      <c r="N229" s="6"/>
      <c r="O229" s="6"/>
    </row>
    <row r="230" spans="1:15" x14ac:dyDescent="0.25">
      <c r="A230" s="6"/>
      <c r="B230" s="6"/>
      <c r="C230" s="6"/>
      <c r="D230" s="6"/>
      <c r="E230" s="6"/>
      <c r="F230" s="6"/>
      <c r="G230" s="6"/>
      <c r="H230" s="6"/>
      <c r="I230" s="6"/>
      <c r="J230" s="6"/>
      <c r="K230" s="6"/>
      <c r="L230" s="6"/>
      <c r="M230" s="6"/>
      <c r="N230" s="6"/>
      <c r="O230" s="6"/>
    </row>
    <row r="231" spans="1:15" x14ac:dyDescent="0.25">
      <c r="A231" s="6"/>
      <c r="B231" s="6"/>
      <c r="C231" s="6"/>
      <c r="D231" s="6"/>
      <c r="E231" s="6"/>
      <c r="F231" s="6"/>
      <c r="G231" s="6"/>
      <c r="H231" s="6"/>
      <c r="I231" s="6"/>
      <c r="J231" s="6"/>
      <c r="K231" s="6"/>
      <c r="L231" s="6"/>
      <c r="M231" s="6"/>
      <c r="N231" s="6"/>
      <c r="O231" s="6"/>
    </row>
    <row r="232" spans="1:15" x14ac:dyDescent="0.25">
      <c r="A232" s="6"/>
      <c r="B232" s="6"/>
      <c r="C232" s="6"/>
      <c r="D232" s="6"/>
      <c r="E232" s="6"/>
      <c r="F232" s="6"/>
      <c r="G232" s="6"/>
      <c r="H232" s="6"/>
      <c r="I232" s="6"/>
      <c r="J232" s="6"/>
      <c r="K232" s="6"/>
      <c r="L232" s="6"/>
      <c r="M232" s="6"/>
      <c r="N232" s="6"/>
      <c r="O232" s="6"/>
    </row>
    <row r="233" spans="1:15" x14ac:dyDescent="0.25">
      <c r="A233" s="6"/>
      <c r="B233" s="6"/>
      <c r="C233" s="6"/>
      <c r="D233" s="6"/>
      <c r="E233" s="6"/>
      <c r="F233" s="6"/>
      <c r="G233" s="6"/>
      <c r="H233" s="6"/>
      <c r="I233" s="6"/>
      <c r="J233" s="6"/>
      <c r="K233" s="6"/>
      <c r="L233" s="6"/>
      <c r="M233" s="6"/>
      <c r="N233" s="6"/>
      <c r="O233" s="6"/>
    </row>
    <row r="234" spans="1:15" x14ac:dyDescent="0.25">
      <c r="A234" s="6"/>
      <c r="B234" s="6"/>
      <c r="C234" s="6"/>
      <c r="D234" s="6"/>
      <c r="E234" s="6"/>
      <c r="F234" s="6"/>
      <c r="G234" s="6"/>
      <c r="H234" s="6"/>
      <c r="I234" s="6"/>
      <c r="J234" s="6"/>
      <c r="K234" s="6"/>
      <c r="L234" s="6"/>
      <c r="M234" s="6"/>
      <c r="N234" s="6"/>
      <c r="O234" s="6"/>
    </row>
    <row r="235" spans="1:15" x14ac:dyDescent="0.25">
      <c r="A235" s="6"/>
      <c r="B235" s="6"/>
      <c r="C235" s="6"/>
      <c r="D235" s="6"/>
      <c r="E235" s="6"/>
      <c r="F235" s="6"/>
      <c r="G235" s="6"/>
      <c r="H235" s="6"/>
      <c r="I235" s="6"/>
      <c r="J235" s="6"/>
      <c r="K235" s="6"/>
      <c r="L235" s="6"/>
      <c r="M235" s="6"/>
      <c r="N235" s="6"/>
      <c r="O235" s="6"/>
    </row>
    <row r="236" spans="1:15" x14ac:dyDescent="0.25">
      <c r="A236" s="6"/>
      <c r="B236" s="6"/>
      <c r="C236" s="6"/>
      <c r="D236" s="6"/>
      <c r="E236" s="6"/>
      <c r="F236" s="6"/>
      <c r="G236" s="6"/>
      <c r="H236" s="6"/>
      <c r="I236" s="6"/>
      <c r="J236" s="6"/>
      <c r="K236" s="6"/>
      <c r="L236" s="6"/>
      <c r="M236" s="6"/>
      <c r="N236" s="6"/>
      <c r="O236" s="6"/>
    </row>
    <row r="237" spans="1:15" x14ac:dyDescent="0.25">
      <c r="A237" s="6"/>
      <c r="B237" s="6"/>
      <c r="C237" s="6"/>
      <c r="D237" s="6"/>
      <c r="E237" s="6"/>
      <c r="F237" s="6"/>
      <c r="G237" s="6"/>
      <c r="H237" s="6"/>
      <c r="I237" s="6"/>
      <c r="J237" s="6"/>
      <c r="K237" s="6"/>
      <c r="L237" s="6"/>
      <c r="M237" s="6"/>
      <c r="N237" s="6"/>
      <c r="O237" s="6"/>
    </row>
    <row r="238" spans="1:15" x14ac:dyDescent="0.25">
      <c r="A238" s="6"/>
      <c r="B238" s="6"/>
      <c r="C238" s="6"/>
      <c r="D238" s="6"/>
      <c r="E238" s="6"/>
      <c r="F238" s="6"/>
      <c r="G238" s="6"/>
      <c r="H238" s="6"/>
      <c r="I238" s="6"/>
      <c r="J238" s="6"/>
      <c r="K238" s="6"/>
      <c r="L238" s="6"/>
      <c r="M238" s="6"/>
      <c r="N238" s="6"/>
      <c r="O238" s="6"/>
    </row>
    <row r="239" spans="1:15" x14ac:dyDescent="0.25">
      <c r="A239" s="6"/>
      <c r="B239" s="6"/>
      <c r="C239" s="6"/>
      <c r="D239" s="6"/>
      <c r="E239" s="6"/>
      <c r="F239" s="6"/>
      <c r="G239" s="6"/>
      <c r="H239" s="6"/>
      <c r="I239" s="6"/>
      <c r="J239" s="6"/>
      <c r="K239" s="6"/>
      <c r="L239" s="6"/>
      <c r="M239" s="6"/>
      <c r="N239" s="6"/>
      <c r="O239" s="6"/>
    </row>
    <row r="240" spans="1:15" x14ac:dyDescent="0.25">
      <c r="A240" s="6"/>
      <c r="B240" s="6"/>
      <c r="C240" s="6"/>
      <c r="D240" s="6"/>
      <c r="E240" s="6"/>
      <c r="F240" s="6"/>
      <c r="G240" s="6"/>
      <c r="H240" s="6"/>
      <c r="I240" s="6"/>
      <c r="J240" s="6"/>
      <c r="K240" s="6"/>
      <c r="L240" s="6"/>
      <c r="M240" s="6"/>
      <c r="N240" s="6"/>
      <c r="O240" s="6"/>
    </row>
    <row r="241" spans="1:15" x14ac:dyDescent="0.25">
      <c r="A241" s="6"/>
      <c r="B241" s="6"/>
      <c r="C241" s="6"/>
      <c r="D241" s="6"/>
      <c r="E241" s="6"/>
      <c r="F241" s="6"/>
      <c r="G241" s="6"/>
      <c r="H241" s="6"/>
      <c r="I241" s="6"/>
      <c r="J241" s="6"/>
      <c r="K241" s="6"/>
      <c r="L241" s="6"/>
      <c r="M241" s="6"/>
      <c r="N241" s="6"/>
      <c r="O241" s="6"/>
    </row>
    <row r="242" spans="1:15" x14ac:dyDescent="0.25">
      <c r="A242" s="6"/>
      <c r="B242" s="6"/>
      <c r="C242" s="6"/>
      <c r="D242" s="6"/>
      <c r="E242" s="6"/>
      <c r="F242" s="6"/>
      <c r="G242" s="6"/>
      <c r="H242" s="6"/>
      <c r="I242" s="6"/>
      <c r="J242" s="6"/>
      <c r="K242" s="6"/>
      <c r="L242" s="6"/>
      <c r="M242" s="6"/>
      <c r="N242" s="6"/>
      <c r="O242" s="6"/>
    </row>
    <row r="243" spans="1:15" x14ac:dyDescent="0.25">
      <c r="A243" s="6"/>
      <c r="B243" s="6"/>
      <c r="C243" s="6"/>
      <c r="D243" s="6"/>
      <c r="E243" s="6"/>
      <c r="F243" s="6"/>
      <c r="G243" s="6"/>
      <c r="H243" s="6"/>
      <c r="I243" s="6"/>
      <c r="J243" s="6"/>
      <c r="K243" s="6"/>
      <c r="L243" s="6"/>
      <c r="M243" s="6"/>
      <c r="N243" s="6"/>
      <c r="O243" s="6"/>
    </row>
    <row r="244" spans="1:15" x14ac:dyDescent="0.25">
      <c r="A244" s="6"/>
      <c r="B244" s="6"/>
      <c r="C244" s="6"/>
      <c r="D244" s="6"/>
      <c r="E244" s="6"/>
      <c r="F244" s="6"/>
      <c r="G244" s="6"/>
      <c r="H244" s="6"/>
      <c r="I244" s="6"/>
      <c r="J244" s="6"/>
      <c r="K244" s="6"/>
      <c r="L244" s="6"/>
      <c r="M244" s="6"/>
      <c r="N244" s="6"/>
      <c r="O244" s="6"/>
    </row>
    <row r="245" spans="1:15" x14ac:dyDescent="0.25">
      <c r="A245" s="6"/>
      <c r="B245" s="6"/>
      <c r="C245" s="6"/>
      <c r="D245" s="6"/>
      <c r="E245" s="6"/>
      <c r="F245" s="6"/>
      <c r="G245" s="6"/>
      <c r="H245" s="6"/>
      <c r="I245" s="6"/>
      <c r="J245" s="6"/>
      <c r="K245" s="6"/>
      <c r="L245" s="6"/>
      <c r="M245" s="6"/>
      <c r="N245" s="6"/>
      <c r="O245" s="6"/>
    </row>
    <row r="246" spans="1:15" x14ac:dyDescent="0.25">
      <c r="A246" s="6"/>
      <c r="B246" s="6"/>
      <c r="C246" s="6"/>
      <c r="D246" s="6"/>
      <c r="E246" s="6"/>
      <c r="F246" s="6"/>
      <c r="G246" s="6"/>
      <c r="H246" s="6"/>
      <c r="I246" s="6"/>
      <c r="J246" s="6"/>
      <c r="K246" s="6"/>
      <c r="L246" s="6"/>
      <c r="M246" s="6"/>
      <c r="N246" s="6"/>
      <c r="O246" s="6"/>
    </row>
    <row r="247" spans="1:15" x14ac:dyDescent="0.25">
      <c r="A247" s="6"/>
      <c r="B247" s="6"/>
      <c r="C247" s="6"/>
      <c r="D247" s="6"/>
      <c r="E247" s="6"/>
      <c r="F247" s="6"/>
      <c r="G247" s="6"/>
      <c r="H247" s="6"/>
      <c r="I247" s="6"/>
      <c r="J247" s="6"/>
      <c r="K247" s="6"/>
      <c r="L247" s="6"/>
      <c r="M247" s="6"/>
      <c r="N247" s="6"/>
      <c r="O247" s="6"/>
    </row>
    <row r="248" spans="1:15" x14ac:dyDescent="0.25">
      <c r="A248" s="6"/>
      <c r="B248" s="6"/>
      <c r="C248" s="6"/>
      <c r="D248" s="6"/>
      <c r="E248" s="6"/>
      <c r="F248" s="6"/>
      <c r="G248" s="6"/>
      <c r="H248" s="6"/>
      <c r="I248" s="6"/>
      <c r="J248" s="6"/>
      <c r="K248" s="6"/>
      <c r="L248" s="6"/>
      <c r="M248" s="6"/>
      <c r="N248" s="6"/>
      <c r="O248" s="6"/>
    </row>
    <row r="249" spans="1:15" x14ac:dyDescent="0.25">
      <c r="A249" s="6"/>
      <c r="B249" s="6"/>
      <c r="C249" s="6"/>
      <c r="D249" s="6"/>
      <c r="E249" s="6"/>
      <c r="F249" s="6"/>
      <c r="G249" s="6"/>
      <c r="H249" s="6"/>
      <c r="I249" s="6"/>
      <c r="J249" s="6"/>
      <c r="K249" s="6"/>
      <c r="L249" s="6"/>
      <c r="M249" s="6"/>
      <c r="N249" s="6"/>
      <c r="O249" s="6"/>
    </row>
    <row r="250" spans="1:15" x14ac:dyDescent="0.25">
      <c r="A250" s="6"/>
      <c r="B250" s="6"/>
      <c r="C250" s="6"/>
      <c r="D250" s="6"/>
      <c r="E250" s="6"/>
      <c r="F250" s="6"/>
      <c r="G250" s="6"/>
      <c r="H250" s="6"/>
      <c r="I250" s="6"/>
      <c r="J250" s="6"/>
      <c r="K250" s="6"/>
      <c r="L250" s="6"/>
      <c r="M250" s="6"/>
      <c r="N250" s="6"/>
      <c r="O250" s="6"/>
    </row>
    <row r="251" spans="1:15" x14ac:dyDescent="0.25">
      <c r="A251" s="6"/>
      <c r="B251" s="6"/>
      <c r="C251" s="6"/>
      <c r="D251" s="6"/>
      <c r="E251" s="6"/>
      <c r="F251" s="6"/>
      <c r="G251" s="6"/>
      <c r="H251" s="6"/>
      <c r="I251" s="6"/>
      <c r="J251" s="6"/>
      <c r="K251" s="6"/>
      <c r="L251" s="6"/>
      <c r="M251" s="6"/>
      <c r="N251" s="6"/>
      <c r="O251" s="6"/>
    </row>
    <row r="252" spans="1:15" x14ac:dyDescent="0.25">
      <c r="A252" s="6"/>
      <c r="B252" s="6"/>
      <c r="C252" s="6"/>
      <c r="D252" s="6"/>
      <c r="E252" s="6"/>
      <c r="F252" s="6"/>
      <c r="G252" s="6"/>
      <c r="H252" s="6"/>
      <c r="I252" s="6"/>
      <c r="J252" s="6"/>
      <c r="K252" s="6"/>
      <c r="L252" s="6"/>
      <c r="M252" s="6"/>
      <c r="N252" s="6"/>
      <c r="O252" s="6"/>
    </row>
    <row r="253" spans="1:15" x14ac:dyDescent="0.25">
      <c r="A253" s="6"/>
      <c r="B253" s="6"/>
      <c r="C253" s="6"/>
      <c r="D253" s="6"/>
      <c r="E253" s="6"/>
      <c r="F253" s="6"/>
      <c r="G253" s="6"/>
      <c r="H253" s="6"/>
      <c r="I253" s="6"/>
      <c r="J253" s="6"/>
      <c r="K253" s="6"/>
      <c r="L253" s="6"/>
      <c r="M253" s="6"/>
      <c r="N253" s="6"/>
      <c r="O253" s="6"/>
    </row>
    <row r="254" spans="1:15" x14ac:dyDescent="0.25">
      <c r="A254" s="6"/>
      <c r="B254" s="6"/>
      <c r="C254" s="6"/>
      <c r="D254" s="6"/>
      <c r="E254" s="6"/>
      <c r="F254" s="6"/>
      <c r="G254" s="6"/>
      <c r="H254" s="6"/>
      <c r="I254" s="6"/>
      <c r="J254" s="6"/>
      <c r="K254" s="6"/>
      <c r="L254" s="6"/>
      <c r="M254" s="6"/>
      <c r="N254" s="6"/>
      <c r="O254" s="6"/>
    </row>
    <row r="255" spans="1:15" x14ac:dyDescent="0.25">
      <c r="A255" s="6"/>
      <c r="B255" s="6"/>
      <c r="C255" s="6"/>
      <c r="D255" s="6"/>
      <c r="E255" s="6"/>
      <c r="F255" s="6"/>
      <c r="G255" s="6"/>
      <c r="H255" s="6"/>
      <c r="I255" s="6"/>
      <c r="J255" s="6"/>
      <c r="K255" s="6"/>
      <c r="L255" s="6"/>
      <c r="M255" s="6"/>
      <c r="N255" s="6"/>
      <c r="O255" s="6"/>
    </row>
    <row r="256" spans="1:15" x14ac:dyDescent="0.25">
      <c r="A256" s="6"/>
      <c r="B256" s="6"/>
      <c r="C256" s="6"/>
      <c r="D256" s="6"/>
      <c r="E256" s="6"/>
      <c r="F256" s="6"/>
      <c r="G256" s="6"/>
      <c r="H256" s="6"/>
      <c r="I256" s="6"/>
      <c r="J256" s="6"/>
      <c r="K256" s="6"/>
      <c r="L256" s="6"/>
      <c r="M256" s="6"/>
      <c r="N256" s="6"/>
      <c r="O256" s="6"/>
    </row>
    <row r="257" spans="1:15" x14ac:dyDescent="0.25">
      <c r="A257" s="6"/>
      <c r="B257" s="6"/>
      <c r="C257" s="6"/>
      <c r="D257" s="6"/>
      <c r="E257" s="6"/>
      <c r="F257" s="6"/>
      <c r="G257" s="6"/>
      <c r="H257" s="6"/>
      <c r="I257" s="6"/>
      <c r="J257" s="6"/>
      <c r="K257" s="6"/>
      <c r="L257" s="6"/>
      <c r="M257" s="6"/>
      <c r="N257" s="6"/>
      <c r="O257" s="6"/>
    </row>
    <row r="258" spans="1:15" x14ac:dyDescent="0.25">
      <c r="A258" s="6"/>
      <c r="B258" s="6"/>
      <c r="C258" s="6"/>
      <c r="D258" s="6"/>
      <c r="E258" s="6"/>
      <c r="F258" s="6"/>
      <c r="G258" s="6"/>
      <c r="H258" s="6"/>
      <c r="I258" s="6"/>
      <c r="J258" s="6"/>
      <c r="K258" s="6"/>
      <c r="L258" s="6"/>
      <c r="M258" s="6"/>
      <c r="N258" s="6"/>
      <c r="O258" s="6"/>
    </row>
    <row r="259" spans="1:15" x14ac:dyDescent="0.25">
      <c r="A259" s="6"/>
      <c r="B259" s="6"/>
      <c r="C259" s="6"/>
      <c r="D259" s="6"/>
      <c r="E259" s="6"/>
      <c r="F259" s="6"/>
      <c r="G259" s="6"/>
      <c r="H259" s="6"/>
      <c r="I259" s="6"/>
      <c r="J259" s="6"/>
      <c r="K259" s="6"/>
      <c r="L259" s="6"/>
      <c r="M259" s="6"/>
      <c r="N259" s="6"/>
      <c r="O259" s="6"/>
    </row>
    <row r="260" spans="1:15" x14ac:dyDescent="0.25">
      <c r="A260" s="6"/>
      <c r="B260" s="6"/>
      <c r="C260" s="6"/>
      <c r="D260" s="6"/>
      <c r="E260" s="6"/>
      <c r="F260" s="6"/>
      <c r="G260" s="6"/>
      <c r="H260" s="6"/>
      <c r="I260" s="6"/>
      <c r="J260" s="6"/>
      <c r="K260" s="6"/>
      <c r="L260" s="6"/>
      <c r="M260" s="6"/>
      <c r="N260" s="6"/>
      <c r="O260" s="6"/>
    </row>
    <row r="261" spans="1:15" x14ac:dyDescent="0.25">
      <c r="A261" s="6"/>
      <c r="B261" s="6"/>
      <c r="C261" s="6"/>
      <c r="D261" s="6"/>
      <c r="E261" s="6"/>
      <c r="F261" s="6"/>
      <c r="G261" s="6"/>
      <c r="H261" s="6"/>
      <c r="I261" s="6"/>
      <c r="J261" s="6"/>
      <c r="K261" s="6"/>
      <c r="L261" s="6"/>
      <c r="M261" s="6"/>
      <c r="N261" s="6"/>
      <c r="O261" s="6"/>
    </row>
    <row r="262" spans="1:15" x14ac:dyDescent="0.25">
      <c r="A262" s="6"/>
      <c r="B262" s="6"/>
      <c r="C262" s="6"/>
      <c r="D262" s="6"/>
      <c r="E262" s="6"/>
      <c r="F262" s="6"/>
      <c r="G262" s="6"/>
      <c r="H262" s="6"/>
      <c r="I262" s="6"/>
      <c r="J262" s="6"/>
      <c r="K262" s="6"/>
      <c r="L262" s="6"/>
      <c r="M262" s="6"/>
      <c r="N262" s="6"/>
      <c r="O262" s="6"/>
    </row>
    <row r="263" spans="1:15" x14ac:dyDescent="0.25">
      <c r="A263" s="6"/>
      <c r="B263" s="6"/>
      <c r="C263" s="6"/>
      <c r="D263" s="6"/>
      <c r="E263" s="6"/>
      <c r="F263" s="6"/>
      <c r="G263" s="6"/>
      <c r="H263" s="6"/>
      <c r="I263" s="6"/>
      <c r="J263" s="6"/>
      <c r="K263" s="6"/>
      <c r="L263" s="6"/>
      <c r="M263" s="6"/>
      <c r="N263" s="6"/>
      <c r="O263" s="6"/>
    </row>
    <row r="264" spans="1:15" x14ac:dyDescent="0.25">
      <c r="A264" s="6"/>
      <c r="B264" s="6"/>
      <c r="C264" s="6"/>
      <c r="D264" s="6"/>
      <c r="E264" s="6"/>
      <c r="F264" s="6"/>
      <c r="G264" s="6"/>
      <c r="H264" s="6"/>
      <c r="I264" s="6"/>
      <c r="J264" s="6"/>
      <c r="K264" s="6"/>
      <c r="L264" s="6"/>
      <c r="M264" s="6"/>
      <c r="N264" s="6"/>
      <c r="O264" s="6"/>
    </row>
    <row r="265" spans="1:15" x14ac:dyDescent="0.25">
      <c r="A265" s="6"/>
      <c r="B265" s="6"/>
      <c r="C265" s="6"/>
      <c r="D265" s="6"/>
      <c r="E265" s="6"/>
      <c r="F265" s="6"/>
      <c r="G265" s="6"/>
      <c r="H265" s="6"/>
      <c r="I265" s="6"/>
      <c r="J265" s="6"/>
      <c r="K265" s="6"/>
      <c r="L265" s="6"/>
      <c r="M265" s="6"/>
      <c r="N265" s="6"/>
      <c r="O265" s="6"/>
    </row>
    <row r="266" spans="1:15" x14ac:dyDescent="0.25">
      <c r="A266" s="6"/>
      <c r="B266" s="6"/>
      <c r="C266" s="6"/>
      <c r="D266" s="6"/>
      <c r="E266" s="6"/>
      <c r="F266" s="6"/>
      <c r="G266" s="6"/>
      <c r="H266" s="6"/>
      <c r="I266" s="6"/>
      <c r="J266" s="6"/>
      <c r="K266" s="6"/>
      <c r="L266" s="6"/>
      <c r="M266" s="6"/>
      <c r="N266" s="6"/>
      <c r="O266" s="6"/>
    </row>
    <row r="267" spans="1:15" x14ac:dyDescent="0.25">
      <c r="A267" s="6"/>
      <c r="B267" s="6"/>
      <c r="C267" s="6"/>
      <c r="D267" s="6"/>
      <c r="E267" s="6"/>
      <c r="F267" s="6"/>
      <c r="G267" s="6"/>
      <c r="H267" s="6"/>
      <c r="I267" s="6"/>
      <c r="J267" s="6"/>
      <c r="K267" s="6"/>
      <c r="L267" s="6"/>
      <c r="M267" s="6"/>
      <c r="N267" s="6"/>
      <c r="O267" s="6"/>
    </row>
    <row r="268" spans="1:15" x14ac:dyDescent="0.25">
      <c r="A268" s="6"/>
      <c r="B268" s="6"/>
      <c r="C268" s="6"/>
      <c r="D268" s="6"/>
      <c r="E268" s="6"/>
      <c r="F268" s="6"/>
      <c r="G268" s="6"/>
      <c r="H268" s="6"/>
      <c r="I268" s="6"/>
      <c r="J268" s="6"/>
      <c r="K268" s="6"/>
      <c r="L268" s="6"/>
      <c r="M268" s="6"/>
      <c r="N268" s="6"/>
      <c r="O268" s="6"/>
    </row>
    <row r="269" spans="1:15" x14ac:dyDescent="0.25">
      <c r="A269" s="6"/>
      <c r="B269" s="6"/>
      <c r="C269" s="6"/>
      <c r="D269" s="6"/>
      <c r="E269" s="6"/>
      <c r="F269" s="6"/>
      <c r="G269" s="6"/>
      <c r="H269" s="6"/>
      <c r="I269" s="6"/>
      <c r="J269" s="6"/>
      <c r="K269" s="6"/>
      <c r="L269" s="6"/>
      <c r="M269" s="6"/>
      <c r="N269" s="6"/>
      <c r="O269" s="6"/>
    </row>
    <row r="270" spans="1:15" x14ac:dyDescent="0.25">
      <c r="A270" s="6"/>
      <c r="B270" s="6"/>
      <c r="C270" s="6"/>
      <c r="D270" s="6"/>
      <c r="E270" s="6"/>
      <c r="F270" s="6"/>
      <c r="G270" s="6"/>
      <c r="H270" s="6"/>
      <c r="I270" s="6"/>
      <c r="J270" s="6"/>
      <c r="K270" s="6"/>
      <c r="L270" s="6"/>
      <c r="M270" s="6"/>
      <c r="N270" s="6"/>
      <c r="O270" s="6"/>
    </row>
    <row r="271" spans="1:15" x14ac:dyDescent="0.25">
      <c r="A271" s="6"/>
      <c r="B271" s="6"/>
      <c r="C271" s="6"/>
      <c r="D271" s="6"/>
      <c r="E271" s="6"/>
      <c r="F271" s="6"/>
      <c r="G271" s="6"/>
      <c r="H271" s="6"/>
      <c r="I271" s="6"/>
      <c r="J271" s="6"/>
      <c r="K271" s="6"/>
      <c r="L271" s="6"/>
      <c r="M271" s="6"/>
      <c r="N271" s="6"/>
      <c r="O271" s="6"/>
    </row>
    <row r="272" spans="1:15" x14ac:dyDescent="0.25">
      <c r="A272" s="6"/>
      <c r="B272" s="6"/>
      <c r="C272" s="6"/>
      <c r="D272" s="6"/>
      <c r="E272" s="6"/>
      <c r="F272" s="6"/>
      <c r="G272" s="6"/>
      <c r="H272" s="6"/>
      <c r="I272" s="6"/>
      <c r="J272" s="6"/>
      <c r="K272" s="6"/>
      <c r="L272" s="6"/>
      <c r="M272" s="6"/>
      <c r="N272" s="6"/>
      <c r="O272" s="6"/>
    </row>
    <row r="273" spans="1:15" x14ac:dyDescent="0.25">
      <c r="A273" s="6"/>
      <c r="B273" s="6"/>
      <c r="C273" s="6"/>
      <c r="D273" s="6"/>
      <c r="E273" s="6"/>
      <c r="F273" s="6"/>
      <c r="G273" s="6"/>
      <c r="H273" s="6"/>
      <c r="I273" s="6"/>
      <c r="J273" s="6"/>
      <c r="K273" s="6"/>
      <c r="L273" s="6"/>
      <c r="M273" s="6"/>
      <c r="N273" s="6"/>
      <c r="O273" s="6"/>
    </row>
    <row r="274" spans="1:15" x14ac:dyDescent="0.25">
      <c r="A274" s="6"/>
      <c r="B274" s="6"/>
      <c r="C274" s="6"/>
      <c r="D274" s="6"/>
      <c r="E274" s="6"/>
      <c r="F274" s="6"/>
      <c r="G274" s="6"/>
      <c r="H274" s="6"/>
      <c r="I274" s="6"/>
      <c r="J274" s="6"/>
      <c r="K274" s="6"/>
      <c r="L274" s="6"/>
      <c r="M274" s="6"/>
      <c r="N274" s="6"/>
      <c r="O274" s="6"/>
    </row>
    <row r="275" spans="1:15" x14ac:dyDescent="0.25">
      <c r="A275" s="6"/>
      <c r="B275" s="6"/>
      <c r="C275" s="6"/>
      <c r="D275" s="6"/>
      <c r="E275" s="6"/>
      <c r="F275" s="6"/>
      <c r="G275" s="6"/>
      <c r="H275" s="6"/>
      <c r="I275" s="6"/>
      <c r="J275" s="6"/>
      <c r="K275" s="6"/>
      <c r="L275" s="6"/>
      <c r="M275" s="6"/>
      <c r="N275" s="6"/>
      <c r="O275" s="6"/>
    </row>
    <row r="276" spans="1:15" x14ac:dyDescent="0.25">
      <c r="A276" s="6"/>
      <c r="B276" s="6"/>
      <c r="C276" s="6"/>
      <c r="D276" s="6"/>
      <c r="E276" s="6"/>
      <c r="F276" s="6"/>
      <c r="G276" s="6"/>
      <c r="H276" s="6"/>
      <c r="I276" s="6"/>
      <c r="J276" s="6"/>
      <c r="K276" s="6"/>
      <c r="L276" s="6"/>
      <c r="M276" s="6"/>
      <c r="N276" s="6"/>
      <c r="O276" s="6"/>
    </row>
    <row r="277" spans="1:15" x14ac:dyDescent="0.25">
      <c r="A277" s="6"/>
      <c r="B277" s="6"/>
      <c r="C277" s="6"/>
      <c r="D277" s="6"/>
      <c r="E277" s="6"/>
      <c r="F277" s="6"/>
      <c r="G277" s="6"/>
      <c r="H277" s="6"/>
      <c r="I277" s="6"/>
      <c r="J277" s="6"/>
      <c r="K277" s="6"/>
      <c r="L277" s="6"/>
      <c r="M277" s="6"/>
      <c r="N277" s="6"/>
      <c r="O277" s="6"/>
    </row>
    <row r="278" spans="1:15" x14ac:dyDescent="0.25">
      <c r="A278" s="6"/>
      <c r="B278" s="6"/>
      <c r="C278" s="6"/>
      <c r="D278" s="6"/>
      <c r="E278" s="6"/>
      <c r="F278" s="6"/>
      <c r="G278" s="6"/>
      <c r="H278" s="6"/>
      <c r="I278" s="6"/>
      <c r="J278" s="6"/>
      <c r="K278" s="6"/>
      <c r="L278" s="6"/>
      <c r="M278" s="6"/>
      <c r="N278" s="6"/>
      <c r="O278" s="6"/>
    </row>
    <row r="279" spans="1:15" x14ac:dyDescent="0.25">
      <c r="A279" s="6"/>
      <c r="B279" s="6"/>
      <c r="C279" s="6"/>
      <c r="D279" s="6"/>
      <c r="E279" s="6"/>
      <c r="F279" s="6"/>
      <c r="G279" s="6"/>
      <c r="H279" s="6"/>
      <c r="I279" s="6"/>
      <c r="J279" s="6"/>
      <c r="K279" s="6"/>
      <c r="L279" s="6"/>
      <c r="M279" s="6"/>
      <c r="N279" s="6"/>
      <c r="O279" s="6"/>
    </row>
    <row r="280" spans="1:15" x14ac:dyDescent="0.25">
      <c r="A280" s="6"/>
      <c r="B280" s="6"/>
      <c r="C280" s="6"/>
      <c r="D280" s="6"/>
      <c r="E280" s="6"/>
      <c r="F280" s="6"/>
      <c r="G280" s="6"/>
      <c r="H280" s="6"/>
      <c r="I280" s="6"/>
      <c r="J280" s="6"/>
      <c r="K280" s="6"/>
      <c r="L280" s="6"/>
      <c r="M280" s="6"/>
      <c r="N280" s="6"/>
      <c r="O280" s="6"/>
    </row>
    <row r="281" spans="1:15" x14ac:dyDescent="0.25">
      <c r="A281" s="6"/>
      <c r="B281" s="6"/>
      <c r="C281" s="6"/>
      <c r="D281" s="6"/>
      <c r="E281" s="6"/>
      <c r="F281" s="6"/>
      <c r="G281" s="6"/>
      <c r="H281" s="6"/>
      <c r="I281" s="6"/>
      <c r="J281" s="6"/>
      <c r="K281" s="6"/>
      <c r="L281" s="6"/>
      <c r="M281" s="6"/>
      <c r="N281" s="6"/>
      <c r="O281" s="6"/>
    </row>
    <row r="282" spans="1:15" x14ac:dyDescent="0.25">
      <c r="A282" s="6"/>
      <c r="B282" s="6"/>
      <c r="C282" s="6"/>
      <c r="D282" s="6"/>
      <c r="E282" s="6"/>
      <c r="F282" s="6"/>
      <c r="G282" s="6"/>
      <c r="H282" s="6"/>
      <c r="I282" s="6"/>
      <c r="J282" s="6"/>
      <c r="K282" s="6"/>
      <c r="L282" s="6"/>
      <c r="M282" s="6"/>
      <c r="N282" s="6"/>
      <c r="O282" s="6"/>
    </row>
    <row r="283" spans="1:15" x14ac:dyDescent="0.25">
      <c r="A283" s="6"/>
      <c r="B283" s="6"/>
      <c r="C283" s="6"/>
      <c r="D283" s="6"/>
      <c r="E283" s="6"/>
      <c r="F283" s="6"/>
      <c r="G283" s="6"/>
      <c r="H283" s="6"/>
      <c r="I283" s="6"/>
      <c r="J283" s="6"/>
      <c r="K283" s="6"/>
      <c r="L283" s="6"/>
      <c r="M283" s="6"/>
      <c r="N283" s="6"/>
      <c r="O283" s="6"/>
    </row>
    <row r="284" spans="1:15" x14ac:dyDescent="0.25">
      <c r="A284" s="6"/>
      <c r="B284" s="6"/>
      <c r="C284" s="6"/>
      <c r="D284" s="6"/>
      <c r="E284" s="6"/>
      <c r="F284" s="6"/>
      <c r="G284" s="6"/>
      <c r="H284" s="6"/>
      <c r="I284" s="6"/>
      <c r="J284" s="6"/>
      <c r="K284" s="6"/>
      <c r="L284" s="6"/>
      <c r="M284" s="6"/>
      <c r="N284" s="6"/>
      <c r="O284" s="6"/>
    </row>
    <row r="285" spans="1:15" x14ac:dyDescent="0.25">
      <c r="A285" s="6"/>
      <c r="B285" s="6"/>
      <c r="C285" s="6"/>
      <c r="D285" s="6"/>
      <c r="E285" s="6"/>
      <c r="F285" s="6"/>
      <c r="G285" s="6"/>
      <c r="H285" s="6"/>
      <c r="I285" s="6"/>
      <c r="J285" s="6"/>
      <c r="K285" s="6"/>
      <c r="L285" s="6"/>
      <c r="M285" s="6"/>
      <c r="N285" s="6"/>
      <c r="O285" s="6"/>
    </row>
    <row r="286" spans="1:15" x14ac:dyDescent="0.25">
      <c r="A286" s="6"/>
      <c r="B286" s="6"/>
      <c r="C286" s="6"/>
      <c r="D286" s="6"/>
      <c r="E286" s="6"/>
      <c r="F286" s="6"/>
      <c r="G286" s="6"/>
      <c r="H286" s="6"/>
      <c r="I286" s="6"/>
      <c r="J286" s="6"/>
      <c r="K286" s="6"/>
      <c r="L286" s="6"/>
      <c r="M286" s="6"/>
      <c r="N286" s="6"/>
      <c r="O286" s="6"/>
    </row>
    <row r="287" spans="1:15" x14ac:dyDescent="0.25">
      <c r="A287" s="6"/>
      <c r="B287" s="6"/>
      <c r="C287" s="6"/>
      <c r="D287" s="6"/>
      <c r="E287" s="6"/>
      <c r="F287" s="6"/>
      <c r="G287" s="6"/>
      <c r="H287" s="6"/>
      <c r="I287" s="6"/>
      <c r="J287" s="6"/>
      <c r="K287" s="6"/>
      <c r="L287" s="6"/>
      <c r="M287" s="6"/>
      <c r="N287" s="6"/>
      <c r="O287" s="6"/>
    </row>
    <row r="288" spans="1:15" x14ac:dyDescent="0.25">
      <c r="A288" s="6"/>
      <c r="B288" s="6"/>
      <c r="C288" s="6"/>
      <c r="D288" s="6"/>
      <c r="E288" s="6"/>
      <c r="F288" s="6"/>
      <c r="G288" s="6"/>
      <c r="H288" s="6"/>
      <c r="I288" s="6"/>
      <c r="J288" s="6"/>
      <c r="K288" s="6"/>
      <c r="L288" s="6"/>
      <c r="M288" s="6"/>
      <c r="N288" s="6"/>
      <c r="O288" s="6"/>
    </row>
    <row r="289" spans="1:15" x14ac:dyDescent="0.25">
      <c r="A289" s="6"/>
      <c r="B289" s="6"/>
      <c r="C289" s="6"/>
      <c r="D289" s="6"/>
      <c r="E289" s="6"/>
      <c r="F289" s="6"/>
      <c r="G289" s="6"/>
      <c r="H289" s="6"/>
      <c r="I289" s="6"/>
      <c r="J289" s="6"/>
      <c r="K289" s="6"/>
      <c r="L289" s="6"/>
      <c r="M289" s="6"/>
      <c r="N289" s="6"/>
      <c r="O289" s="6"/>
    </row>
    <row r="290" spans="1:15" x14ac:dyDescent="0.25">
      <c r="A290" s="6"/>
      <c r="B290" s="6"/>
      <c r="C290" s="6"/>
      <c r="D290" s="6"/>
      <c r="E290" s="6"/>
      <c r="F290" s="6"/>
      <c r="G290" s="6"/>
      <c r="H290" s="6"/>
      <c r="I290" s="6"/>
      <c r="J290" s="6"/>
      <c r="K290" s="6"/>
      <c r="L290" s="6"/>
      <c r="M290" s="6"/>
      <c r="N290" s="6"/>
      <c r="O290" s="6"/>
    </row>
    <row r="291" spans="1:15" x14ac:dyDescent="0.25">
      <c r="A291" s="6"/>
      <c r="B291" s="6"/>
      <c r="C291" s="6"/>
      <c r="D291" s="6"/>
      <c r="E291" s="6"/>
      <c r="F291" s="6"/>
      <c r="G291" s="6"/>
      <c r="H291" s="6"/>
      <c r="I291" s="6"/>
      <c r="J291" s="6"/>
      <c r="K291" s="6"/>
      <c r="L291" s="6"/>
      <c r="M291" s="6"/>
      <c r="N291" s="6"/>
      <c r="O291" s="6"/>
    </row>
    <row r="292" spans="1:15" x14ac:dyDescent="0.25">
      <c r="A292" s="6"/>
      <c r="B292" s="6"/>
      <c r="C292" s="6"/>
      <c r="D292" s="6"/>
      <c r="E292" s="6"/>
      <c r="F292" s="6"/>
      <c r="G292" s="6"/>
      <c r="H292" s="6"/>
      <c r="I292" s="6"/>
      <c r="J292" s="6"/>
      <c r="K292" s="6"/>
      <c r="L292" s="6"/>
      <c r="M292" s="6"/>
      <c r="N292" s="6"/>
      <c r="O292" s="6"/>
    </row>
    <row r="293" spans="1:15" x14ac:dyDescent="0.25">
      <c r="A293" s="6"/>
      <c r="B293" s="6"/>
      <c r="C293" s="6"/>
      <c r="D293" s="6"/>
      <c r="E293" s="6"/>
      <c r="F293" s="6"/>
      <c r="G293" s="6"/>
      <c r="H293" s="6"/>
      <c r="I293" s="6"/>
      <c r="J293" s="6"/>
      <c r="K293" s="6"/>
      <c r="L293" s="6"/>
      <c r="M293" s="6"/>
      <c r="N293" s="6"/>
      <c r="O293" s="6"/>
    </row>
    <row r="294" spans="1:15" x14ac:dyDescent="0.25">
      <c r="A294" s="6"/>
      <c r="B294" s="6"/>
      <c r="C294" s="6"/>
      <c r="D294" s="6"/>
      <c r="E294" s="6"/>
      <c r="F294" s="6"/>
      <c r="G294" s="6"/>
      <c r="H294" s="6"/>
      <c r="I294" s="6"/>
      <c r="J294" s="6"/>
      <c r="K294" s="6"/>
      <c r="L294" s="6"/>
      <c r="M294" s="6"/>
      <c r="N294" s="6"/>
      <c r="O294" s="6"/>
    </row>
    <row r="295" spans="1:15" x14ac:dyDescent="0.25">
      <c r="A295" s="6"/>
      <c r="B295" s="6"/>
      <c r="C295" s="6"/>
      <c r="D295" s="6"/>
      <c r="E295" s="6"/>
      <c r="F295" s="6"/>
      <c r="G295" s="6"/>
      <c r="H295" s="6"/>
      <c r="I295" s="6"/>
      <c r="J295" s="6"/>
      <c r="K295" s="6"/>
      <c r="L295" s="6"/>
      <c r="M295" s="6"/>
      <c r="N295" s="6"/>
      <c r="O295" s="6"/>
    </row>
    <row r="296" spans="1:15" x14ac:dyDescent="0.25">
      <c r="A296" s="6"/>
      <c r="B296" s="6"/>
      <c r="C296" s="6"/>
      <c r="D296" s="6"/>
      <c r="E296" s="6"/>
      <c r="F296" s="6"/>
      <c r="G296" s="6"/>
      <c r="H296" s="6"/>
      <c r="I296" s="6"/>
      <c r="J296" s="6"/>
      <c r="K296" s="6"/>
      <c r="L296" s="6"/>
      <c r="M296" s="6"/>
      <c r="N296" s="6"/>
      <c r="O296" s="6"/>
    </row>
    <row r="297" spans="1:15" x14ac:dyDescent="0.25">
      <c r="A297" s="6"/>
      <c r="B297" s="6"/>
      <c r="C297" s="6"/>
      <c r="D297" s="6"/>
      <c r="E297" s="6"/>
      <c r="F297" s="6"/>
      <c r="G297" s="6"/>
      <c r="H297" s="6"/>
      <c r="I297" s="6"/>
      <c r="J297" s="6"/>
      <c r="K297" s="6"/>
      <c r="L297" s="6"/>
      <c r="M297" s="6"/>
      <c r="N297" s="6"/>
      <c r="O297" s="6"/>
    </row>
    <row r="298" spans="1:15" x14ac:dyDescent="0.25">
      <c r="A298" s="6"/>
      <c r="B298" s="6"/>
      <c r="C298" s="6"/>
      <c r="D298" s="6"/>
      <c r="E298" s="6"/>
      <c r="F298" s="6"/>
      <c r="G298" s="6"/>
      <c r="H298" s="6"/>
      <c r="I298" s="6"/>
      <c r="J298" s="6"/>
      <c r="K298" s="6"/>
      <c r="L298" s="6"/>
      <c r="M298" s="6"/>
      <c r="N298" s="6"/>
      <c r="O298" s="6"/>
    </row>
    <row r="299" spans="1:15" x14ac:dyDescent="0.25">
      <c r="A299" s="6"/>
      <c r="B299" s="6"/>
      <c r="C299" s="6"/>
      <c r="D299" s="6"/>
      <c r="E299" s="6"/>
      <c r="F299" s="6"/>
      <c r="G299" s="6"/>
      <c r="H299" s="6"/>
      <c r="I299" s="6"/>
      <c r="J299" s="6"/>
      <c r="K299" s="6"/>
      <c r="L299" s="6"/>
      <c r="M299" s="6"/>
      <c r="N299" s="6"/>
      <c r="O299" s="6"/>
    </row>
    <row r="300" spans="1:15" x14ac:dyDescent="0.25">
      <c r="A300" s="6"/>
      <c r="B300" s="6"/>
      <c r="C300" s="6"/>
      <c r="D300" s="6"/>
      <c r="E300" s="6"/>
      <c r="F300" s="6"/>
      <c r="G300" s="6"/>
      <c r="H300" s="6"/>
      <c r="I300" s="6"/>
      <c r="J300" s="6"/>
      <c r="K300" s="6"/>
      <c r="L300" s="6"/>
      <c r="M300" s="6"/>
      <c r="N300" s="6"/>
      <c r="O300" s="6"/>
    </row>
    <row r="301" spans="1:15" x14ac:dyDescent="0.25">
      <c r="A301" s="6"/>
      <c r="B301" s="6"/>
      <c r="C301" s="6"/>
      <c r="D301" s="6"/>
      <c r="E301" s="6"/>
      <c r="F301" s="6"/>
      <c r="G301" s="6"/>
      <c r="H301" s="6"/>
      <c r="I301" s="6"/>
      <c r="J301" s="6"/>
      <c r="K301" s="6"/>
      <c r="L301" s="6"/>
      <c r="M301" s="6"/>
      <c r="N301" s="6"/>
      <c r="O301" s="6"/>
    </row>
    <row r="302" spans="1:15" x14ac:dyDescent="0.25">
      <c r="A302" s="6"/>
      <c r="B302" s="6"/>
      <c r="C302" s="6"/>
      <c r="D302" s="6"/>
      <c r="E302" s="6"/>
      <c r="F302" s="6"/>
      <c r="G302" s="6"/>
      <c r="H302" s="6"/>
      <c r="I302" s="6"/>
      <c r="J302" s="6"/>
      <c r="K302" s="6"/>
      <c r="L302" s="6"/>
      <c r="M302" s="6"/>
      <c r="N302" s="6"/>
      <c r="O302" s="6"/>
    </row>
    <row r="303" spans="1:15" x14ac:dyDescent="0.25">
      <c r="A303" s="6"/>
      <c r="B303" s="6"/>
      <c r="C303" s="6"/>
      <c r="D303" s="6"/>
      <c r="E303" s="6"/>
      <c r="F303" s="6"/>
      <c r="G303" s="6"/>
      <c r="H303" s="6"/>
      <c r="I303" s="6"/>
      <c r="J303" s="6"/>
      <c r="K303" s="6"/>
      <c r="L303" s="6"/>
      <c r="M303" s="6"/>
      <c r="N303" s="6"/>
      <c r="O303" s="6"/>
    </row>
    <row r="304" spans="1:15" x14ac:dyDescent="0.25">
      <c r="A304" s="6"/>
      <c r="B304" s="6"/>
      <c r="C304" s="6"/>
      <c r="D304" s="6"/>
      <c r="E304" s="6"/>
      <c r="F304" s="6"/>
      <c r="G304" s="6"/>
      <c r="H304" s="6"/>
      <c r="I304" s="6"/>
      <c r="J304" s="6"/>
      <c r="K304" s="6"/>
      <c r="L304" s="6"/>
      <c r="M304" s="6"/>
      <c r="N304" s="6"/>
      <c r="O304" s="6"/>
    </row>
    <row r="305" spans="1:15" x14ac:dyDescent="0.25">
      <c r="A305" s="6"/>
      <c r="B305" s="6"/>
      <c r="C305" s="6"/>
      <c r="D305" s="6"/>
      <c r="E305" s="6"/>
      <c r="F305" s="6"/>
      <c r="G305" s="6"/>
      <c r="H305" s="6"/>
      <c r="I305" s="6"/>
      <c r="J305" s="6"/>
      <c r="K305" s="6"/>
      <c r="L305" s="6"/>
      <c r="M305" s="6"/>
      <c r="N305" s="6"/>
      <c r="O305" s="6"/>
    </row>
    <row r="306" spans="1:15" x14ac:dyDescent="0.25">
      <c r="A306" s="6"/>
      <c r="B306" s="6"/>
      <c r="C306" s="6"/>
      <c r="D306" s="6"/>
      <c r="E306" s="6"/>
      <c r="F306" s="6"/>
      <c r="G306" s="6"/>
      <c r="H306" s="6"/>
      <c r="I306" s="6"/>
      <c r="J306" s="6"/>
      <c r="K306" s="6"/>
      <c r="L306" s="6"/>
      <c r="M306" s="6"/>
      <c r="N306" s="6"/>
      <c r="O306" s="6"/>
    </row>
    <row r="307" spans="1:15" x14ac:dyDescent="0.25">
      <c r="A307" s="6"/>
      <c r="B307" s="6"/>
      <c r="C307" s="6"/>
      <c r="D307" s="6"/>
      <c r="E307" s="6"/>
      <c r="F307" s="6"/>
      <c r="G307" s="6"/>
      <c r="H307" s="6"/>
      <c r="I307" s="6"/>
      <c r="J307" s="6"/>
      <c r="K307" s="6"/>
      <c r="L307" s="6"/>
      <c r="M307" s="6"/>
      <c r="N307" s="6"/>
      <c r="O307" s="6"/>
    </row>
    <row r="308" spans="1:15" x14ac:dyDescent="0.25">
      <c r="A308" s="6"/>
      <c r="B308" s="6"/>
      <c r="C308" s="6"/>
      <c r="D308" s="6"/>
      <c r="E308" s="6"/>
      <c r="F308" s="6"/>
      <c r="G308" s="6"/>
      <c r="H308" s="6"/>
      <c r="I308" s="6"/>
      <c r="J308" s="6"/>
      <c r="K308" s="6"/>
      <c r="L308" s="6"/>
      <c r="M308" s="6"/>
      <c r="N308" s="6"/>
      <c r="O308" s="6"/>
    </row>
    <row r="309" spans="1:15" x14ac:dyDescent="0.25">
      <c r="A309" s="6"/>
      <c r="B309" s="6"/>
      <c r="C309" s="6"/>
      <c r="D309" s="6"/>
      <c r="E309" s="6"/>
      <c r="F309" s="6"/>
      <c r="G309" s="6"/>
      <c r="H309" s="6"/>
      <c r="I309" s="6"/>
      <c r="J309" s="6"/>
      <c r="K309" s="6"/>
      <c r="L309" s="6"/>
      <c r="M309" s="6"/>
      <c r="N309" s="6"/>
      <c r="O309" s="6"/>
    </row>
    <row r="310" spans="1:15" x14ac:dyDescent="0.25">
      <c r="A310" s="6"/>
      <c r="B310" s="6"/>
      <c r="C310" s="6"/>
      <c r="D310" s="6"/>
      <c r="E310" s="6"/>
      <c r="F310" s="6"/>
      <c r="G310" s="6"/>
      <c r="H310" s="6"/>
      <c r="I310" s="6"/>
      <c r="J310" s="6"/>
      <c r="K310" s="6"/>
      <c r="L310" s="6"/>
      <c r="M310" s="6"/>
      <c r="N310" s="6"/>
      <c r="O310" s="6"/>
    </row>
    <row r="311" spans="1:15" x14ac:dyDescent="0.25">
      <c r="A311" s="6"/>
      <c r="B311" s="6"/>
      <c r="C311" s="6"/>
      <c r="D311" s="6"/>
      <c r="E311" s="6"/>
      <c r="F311" s="6"/>
      <c r="G311" s="6"/>
      <c r="H311" s="6"/>
      <c r="I311" s="6"/>
      <c r="J311" s="6"/>
      <c r="K311" s="6"/>
      <c r="L311" s="6"/>
      <c r="M311" s="6"/>
      <c r="N311" s="6"/>
      <c r="O311" s="6"/>
    </row>
    <row r="312" spans="1:15" x14ac:dyDescent="0.25">
      <c r="A312" s="6"/>
      <c r="B312" s="6"/>
      <c r="C312" s="6"/>
      <c r="D312" s="6"/>
      <c r="E312" s="6"/>
      <c r="F312" s="6"/>
      <c r="G312" s="6"/>
      <c r="H312" s="6"/>
      <c r="I312" s="6"/>
      <c r="J312" s="6"/>
      <c r="K312" s="6"/>
      <c r="L312" s="6"/>
      <c r="M312" s="6"/>
      <c r="N312" s="6"/>
      <c r="O312" s="6"/>
    </row>
    <row r="313" spans="1:15" x14ac:dyDescent="0.25">
      <c r="A313" s="6"/>
      <c r="B313" s="6"/>
      <c r="C313" s="6"/>
      <c r="D313" s="6"/>
      <c r="E313" s="6"/>
      <c r="F313" s="6"/>
      <c r="G313" s="6"/>
      <c r="H313" s="6"/>
      <c r="I313" s="6"/>
      <c r="J313" s="6"/>
      <c r="K313" s="6"/>
      <c r="L313" s="6"/>
      <c r="M313" s="6"/>
      <c r="N313" s="6"/>
      <c r="O313" s="6"/>
    </row>
    <row r="314" spans="1:15" x14ac:dyDescent="0.25">
      <c r="A314" s="6"/>
      <c r="B314" s="6"/>
      <c r="C314" s="6"/>
      <c r="D314" s="6"/>
      <c r="E314" s="6"/>
      <c r="F314" s="6"/>
      <c r="G314" s="6"/>
      <c r="H314" s="6"/>
      <c r="I314" s="6"/>
      <c r="J314" s="6"/>
      <c r="K314" s="6"/>
      <c r="L314" s="6"/>
      <c r="M314" s="6"/>
      <c r="N314" s="6"/>
      <c r="O314" s="6"/>
    </row>
    <row r="315" spans="1:15" x14ac:dyDescent="0.25">
      <c r="A315" s="6"/>
      <c r="B315" s="6"/>
      <c r="C315" s="6"/>
      <c r="D315" s="6"/>
      <c r="E315" s="6"/>
      <c r="F315" s="6"/>
      <c r="G315" s="6"/>
      <c r="H315" s="6"/>
      <c r="I315" s="6"/>
      <c r="J315" s="6"/>
      <c r="K315" s="6"/>
      <c r="L315" s="6"/>
      <c r="M315" s="6"/>
      <c r="N315" s="6"/>
      <c r="O315" s="6"/>
    </row>
    <row r="316" spans="1:15" x14ac:dyDescent="0.25">
      <c r="A316" s="6"/>
      <c r="B316" s="6"/>
      <c r="C316" s="6"/>
      <c r="D316" s="6"/>
      <c r="E316" s="6"/>
      <c r="F316" s="6"/>
      <c r="G316" s="6"/>
      <c r="H316" s="6"/>
      <c r="I316" s="6"/>
      <c r="J316" s="6"/>
      <c r="K316" s="6"/>
      <c r="L316" s="6"/>
      <c r="M316" s="6"/>
      <c r="N316" s="6"/>
      <c r="O316" s="6"/>
    </row>
    <row r="317" spans="1:15" x14ac:dyDescent="0.25">
      <c r="A317" s="6"/>
      <c r="B317" s="6"/>
      <c r="C317" s="6"/>
      <c r="D317" s="6"/>
      <c r="E317" s="6"/>
      <c r="F317" s="6"/>
      <c r="G317" s="6"/>
      <c r="H317" s="6"/>
      <c r="I317" s="6"/>
      <c r="J317" s="6"/>
      <c r="K317" s="6"/>
      <c r="L317" s="6"/>
      <c r="M317" s="6"/>
      <c r="N317" s="6"/>
      <c r="O317" s="6"/>
    </row>
    <row r="318" spans="1:15" x14ac:dyDescent="0.25">
      <c r="A318" s="6"/>
      <c r="B318" s="6"/>
      <c r="C318" s="6"/>
      <c r="D318" s="6"/>
      <c r="E318" s="6"/>
      <c r="F318" s="6"/>
      <c r="G318" s="6"/>
      <c r="H318" s="6"/>
      <c r="I318" s="6"/>
      <c r="J318" s="6"/>
      <c r="K318" s="6"/>
      <c r="L318" s="6"/>
      <c r="M318" s="6"/>
      <c r="N318" s="6"/>
      <c r="O318" s="6"/>
    </row>
    <row r="319" spans="1:15" x14ac:dyDescent="0.25">
      <c r="A319" s="6"/>
      <c r="B319" s="6"/>
      <c r="C319" s="6"/>
      <c r="D319" s="6"/>
      <c r="E319" s="6"/>
      <c r="F319" s="6"/>
      <c r="G319" s="6"/>
      <c r="H319" s="6"/>
      <c r="I319" s="6"/>
      <c r="J319" s="6"/>
      <c r="K319" s="6"/>
      <c r="L319" s="6"/>
      <c r="M319" s="6"/>
      <c r="N319" s="6"/>
      <c r="O319" s="6"/>
    </row>
    <row r="320" spans="1:15" x14ac:dyDescent="0.25">
      <c r="A320" s="6"/>
      <c r="B320" s="6"/>
      <c r="C320" s="6"/>
      <c r="D320" s="6"/>
      <c r="E320" s="6"/>
      <c r="F320" s="6"/>
      <c r="G320" s="6"/>
      <c r="H320" s="6"/>
      <c r="I320" s="6"/>
      <c r="J320" s="6"/>
      <c r="K320" s="6"/>
      <c r="L320" s="6"/>
      <c r="M320" s="6"/>
      <c r="N320" s="6"/>
      <c r="O320" s="6"/>
    </row>
    <row r="321" spans="1:15" x14ac:dyDescent="0.25">
      <c r="A321" s="6"/>
      <c r="B321" s="6"/>
      <c r="C321" s="6"/>
      <c r="D321" s="6"/>
      <c r="E321" s="6"/>
      <c r="F321" s="6"/>
      <c r="G321" s="6"/>
      <c r="H321" s="6"/>
      <c r="I321" s="6"/>
      <c r="J321" s="6"/>
      <c r="K321" s="6"/>
      <c r="L321" s="6"/>
      <c r="M321" s="6"/>
      <c r="N321" s="6"/>
      <c r="O321" s="6"/>
    </row>
    <row r="322" spans="1:15" x14ac:dyDescent="0.25">
      <c r="A322" s="6"/>
      <c r="B322" s="6"/>
      <c r="C322" s="6"/>
      <c r="D322" s="6"/>
      <c r="E322" s="6"/>
      <c r="F322" s="6"/>
      <c r="G322" s="6"/>
      <c r="H322" s="6"/>
      <c r="I322" s="6"/>
      <c r="J322" s="6"/>
      <c r="K322" s="6"/>
      <c r="L322" s="6"/>
      <c r="M322" s="6"/>
      <c r="N322" s="6"/>
      <c r="O322" s="6"/>
    </row>
    <row r="323" spans="1:15" x14ac:dyDescent="0.25">
      <c r="A323" s="6"/>
      <c r="B323" s="6"/>
      <c r="C323" s="6"/>
      <c r="D323" s="6"/>
      <c r="E323" s="6"/>
      <c r="F323" s="6"/>
      <c r="G323" s="6"/>
      <c r="H323" s="6"/>
      <c r="I323" s="6"/>
      <c r="J323" s="6"/>
      <c r="K323" s="6"/>
      <c r="L323" s="6"/>
      <c r="M323" s="6"/>
      <c r="N323" s="6"/>
      <c r="O323" s="6"/>
    </row>
    <row r="324" spans="1:15" x14ac:dyDescent="0.25">
      <c r="A324" s="6"/>
      <c r="B324" s="6"/>
      <c r="C324" s="6"/>
      <c r="D324" s="6"/>
      <c r="E324" s="6"/>
      <c r="F324" s="6"/>
      <c r="G324" s="6"/>
      <c r="H324" s="6"/>
      <c r="I324" s="6"/>
      <c r="J324" s="6"/>
      <c r="K324" s="6"/>
      <c r="L324" s="6"/>
      <c r="M324" s="6"/>
      <c r="N324" s="6"/>
      <c r="O324" s="6"/>
    </row>
    <row r="325" spans="1:15" x14ac:dyDescent="0.25">
      <c r="A325" s="6"/>
      <c r="B325" s="6"/>
      <c r="C325" s="6"/>
      <c r="D325" s="6"/>
      <c r="E325" s="6"/>
      <c r="F325" s="6"/>
      <c r="G325" s="6"/>
      <c r="H325" s="6"/>
      <c r="I325" s="6"/>
      <c r="J325" s="6"/>
      <c r="K325" s="6"/>
      <c r="L325" s="6"/>
      <c r="M325" s="6"/>
      <c r="N325" s="6"/>
      <c r="O325" s="6"/>
    </row>
    <row r="326" spans="1:15" x14ac:dyDescent="0.25">
      <c r="A326" s="6"/>
      <c r="B326" s="6"/>
      <c r="C326" s="6"/>
      <c r="D326" s="6"/>
      <c r="E326" s="6"/>
      <c r="F326" s="6"/>
      <c r="G326" s="6"/>
      <c r="H326" s="6"/>
      <c r="I326" s="6"/>
      <c r="J326" s="6"/>
      <c r="K326" s="6"/>
      <c r="L326" s="6"/>
      <c r="M326" s="6"/>
      <c r="N326" s="6"/>
      <c r="O326" s="6"/>
    </row>
    <row r="327" spans="1:15" x14ac:dyDescent="0.25">
      <c r="A327" s="6"/>
      <c r="B327" s="6"/>
      <c r="C327" s="6"/>
      <c r="D327" s="6"/>
      <c r="E327" s="6"/>
      <c r="F327" s="6"/>
      <c r="G327" s="6"/>
      <c r="H327" s="6"/>
      <c r="I327" s="6"/>
      <c r="J327" s="6"/>
      <c r="K327" s="6"/>
      <c r="L327" s="6"/>
      <c r="M327" s="6"/>
      <c r="N327" s="6"/>
      <c r="O327" s="6"/>
    </row>
    <row r="328" spans="1:15" x14ac:dyDescent="0.25">
      <c r="A328" s="6"/>
      <c r="B328" s="6"/>
      <c r="C328" s="6"/>
      <c r="D328" s="6"/>
      <c r="E328" s="6"/>
      <c r="F328" s="6"/>
      <c r="G328" s="6"/>
      <c r="H328" s="6"/>
      <c r="I328" s="6"/>
      <c r="J328" s="6"/>
      <c r="K328" s="6"/>
      <c r="L328" s="6"/>
      <c r="M328" s="6"/>
      <c r="N328" s="6"/>
      <c r="O328" s="6"/>
    </row>
    <row r="329" spans="1:15" x14ac:dyDescent="0.25">
      <c r="A329" s="6"/>
      <c r="B329" s="6"/>
      <c r="C329" s="6"/>
      <c r="D329" s="6"/>
      <c r="E329" s="6"/>
      <c r="F329" s="6"/>
      <c r="G329" s="6"/>
      <c r="H329" s="6"/>
      <c r="I329" s="6"/>
      <c r="J329" s="6"/>
      <c r="K329" s="6"/>
      <c r="L329" s="6"/>
      <c r="M329" s="6"/>
      <c r="N329" s="6"/>
      <c r="O329" s="6"/>
    </row>
    <row r="330" spans="1:15" x14ac:dyDescent="0.25">
      <c r="A330" s="6"/>
      <c r="B330" s="6"/>
      <c r="C330" s="6"/>
      <c r="D330" s="6"/>
      <c r="E330" s="6"/>
      <c r="F330" s="6"/>
      <c r="G330" s="6"/>
      <c r="H330" s="6"/>
      <c r="I330" s="6"/>
      <c r="J330" s="6"/>
      <c r="K330" s="6"/>
      <c r="L330" s="6"/>
      <c r="M330" s="6"/>
      <c r="N330" s="6"/>
      <c r="O330" s="6"/>
    </row>
    <row r="331" spans="1:15" x14ac:dyDescent="0.25">
      <c r="A331" s="6"/>
      <c r="B331" s="6"/>
      <c r="C331" s="6"/>
      <c r="D331" s="6"/>
      <c r="E331" s="6"/>
      <c r="F331" s="6"/>
      <c r="G331" s="6"/>
      <c r="H331" s="6"/>
      <c r="I331" s="6"/>
      <c r="J331" s="6"/>
      <c r="K331" s="6"/>
      <c r="L331" s="6"/>
      <c r="M331" s="6"/>
      <c r="N331" s="6"/>
      <c r="O331" s="6"/>
    </row>
    <row r="332" spans="1:15" x14ac:dyDescent="0.25">
      <c r="A332" s="6"/>
      <c r="B332" s="6"/>
      <c r="C332" s="6"/>
      <c r="D332" s="6"/>
      <c r="E332" s="6"/>
      <c r="F332" s="6"/>
      <c r="G332" s="6"/>
      <c r="H332" s="6"/>
      <c r="I332" s="6"/>
      <c r="J332" s="6"/>
      <c r="K332" s="6"/>
      <c r="L332" s="6"/>
      <c r="M332" s="6"/>
      <c r="N332" s="6"/>
      <c r="O332" s="6"/>
    </row>
    <row r="333" spans="1:15" x14ac:dyDescent="0.25">
      <c r="A333" s="6"/>
      <c r="B333" s="6"/>
      <c r="C333" s="6"/>
      <c r="D333" s="6"/>
      <c r="E333" s="6"/>
      <c r="F333" s="6"/>
      <c r="G333" s="6"/>
      <c r="H333" s="6"/>
      <c r="I333" s="6"/>
      <c r="J333" s="6"/>
      <c r="K333" s="6"/>
      <c r="L333" s="6"/>
      <c r="M333" s="6"/>
      <c r="N333" s="6"/>
      <c r="O333" s="6"/>
    </row>
    <row r="334" spans="1:15" x14ac:dyDescent="0.25">
      <c r="A334" s="6"/>
      <c r="B334" s="6"/>
      <c r="C334" s="6"/>
      <c r="D334" s="6"/>
      <c r="E334" s="6"/>
      <c r="F334" s="6"/>
      <c r="G334" s="6"/>
      <c r="H334" s="6"/>
      <c r="I334" s="6"/>
      <c r="J334" s="6"/>
      <c r="K334" s="6"/>
      <c r="L334" s="6"/>
      <c r="M334" s="6"/>
      <c r="N334" s="6"/>
      <c r="O334" s="6"/>
    </row>
    <row r="335" spans="1:15" x14ac:dyDescent="0.25">
      <c r="A335" s="6"/>
      <c r="B335" s="6"/>
      <c r="C335" s="6"/>
      <c r="D335" s="6"/>
      <c r="E335" s="6"/>
      <c r="F335" s="6"/>
      <c r="G335" s="6"/>
      <c r="H335" s="6"/>
      <c r="I335" s="6"/>
      <c r="J335" s="6"/>
      <c r="K335" s="6"/>
      <c r="L335" s="6"/>
      <c r="M335" s="6"/>
      <c r="N335" s="6"/>
      <c r="O335" s="6"/>
    </row>
    <row r="336" spans="1:15" x14ac:dyDescent="0.25">
      <c r="A336" s="6"/>
      <c r="B336" s="6"/>
      <c r="C336" s="6"/>
      <c r="D336" s="6"/>
      <c r="E336" s="6"/>
      <c r="F336" s="6"/>
      <c r="G336" s="6"/>
      <c r="H336" s="6"/>
      <c r="I336" s="6"/>
      <c r="J336" s="6"/>
      <c r="K336" s="6"/>
      <c r="L336" s="6"/>
      <c r="M336" s="6"/>
      <c r="N336" s="6"/>
      <c r="O336" s="6"/>
    </row>
    <row r="337" spans="1:15" x14ac:dyDescent="0.25">
      <c r="A337" s="6"/>
      <c r="B337" s="6"/>
      <c r="C337" s="6"/>
      <c r="D337" s="6"/>
      <c r="E337" s="6"/>
      <c r="F337" s="6"/>
      <c r="G337" s="6"/>
      <c r="H337" s="6"/>
      <c r="I337" s="6"/>
      <c r="J337" s="6"/>
      <c r="K337" s="6"/>
      <c r="L337" s="6"/>
      <c r="M337" s="6"/>
      <c r="N337" s="6"/>
      <c r="O337" s="6"/>
    </row>
    <row r="338" spans="1:15" x14ac:dyDescent="0.25">
      <c r="A338" s="6"/>
      <c r="B338" s="6"/>
      <c r="C338" s="6"/>
      <c r="D338" s="6"/>
      <c r="E338" s="6"/>
      <c r="F338" s="6"/>
      <c r="G338" s="6"/>
      <c r="H338" s="6"/>
      <c r="I338" s="6"/>
      <c r="J338" s="6"/>
      <c r="K338" s="6"/>
      <c r="L338" s="6"/>
      <c r="M338" s="6"/>
      <c r="N338" s="6"/>
      <c r="O338" s="6"/>
    </row>
    <row r="339" spans="1:15" x14ac:dyDescent="0.25">
      <c r="A339" s="6"/>
      <c r="B339" s="6"/>
      <c r="C339" s="6"/>
      <c r="D339" s="6"/>
      <c r="E339" s="6"/>
      <c r="F339" s="6"/>
      <c r="G339" s="6"/>
      <c r="H339" s="6"/>
      <c r="I339" s="6"/>
      <c r="J339" s="6"/>
      <c r="K339" s="6"/>
      <c r="L339" s="6"/>
      <c r="M339" s="6"/>
      <c r="N339" s="6"/>
      <c r="O339" s="6"/>
    </row>
    <row r="340" spans="1:15" x14ac:dyDescent="0.25">
      <c r="A340" s="6"/>
      <c r="B340" s="6"/>
      <c r="C340" s="6"/>
      <c r="D340" s="6"/>
      <c r="E340" s="6"/>
      <c r="F340" s="6"/>
      <c r="G340" s="6"/>
      <c r="H340" s="6"/>
      <c r="I340" s="6"/>
      <c r="J340" s="6"/>
      <c r="K340" s="6"/>
      <c r="L340" s="6"/>
      <c r="M340" s="6"/>
      <c r="N340" s="6"/>
      <c r="O340" s="6"/>
    </row>
    <row r="341" spans="1:15" x14ac:dyDescent="0.25">
      <c r="A341" s="6"/>
      <c r="B341" s="6"/>
      <c r="C341" s="6"/>
      <c r="D341" s="6"/>
      <c r="E341" s="6"/>
      <c r="F341" s="6"/>
      <c r="G341" s="6"/>
      <c r="H341" s="6"/>
      <c r="I341" s="6"/>
      <c r="J341" s="6"/>
      <c r="K341" s="6"/>
      <c r="L341" s="6"/>
      <c r="M341" s="6"/>
      <c r="N341" s="6"/>
      <c r="O341" s="6"/>
    </row>
    <row r="342" spans="1:15" x14ac:dyDescent="0.25">
      <c r="A342" s="6"/>
      <c r="B342" s="6"/>
      <c r="C342" s="6"/>
      <c r="D342" s="6"/>
      <c r="E342" s="6"/>
      <c r="F342" s="6"/>
      <c r="G342" s="6"/>
      <c r="H342" s="6"/>
      <c r="I342" s="6"/>
      <c r="J342" s="6"/>
      <c r="K342" s="6"/>
      <c r="L342" s="6"/>
      <c r="M342" s="6"/>
      <c r="N342" s="6"/>
      <c r="O342" s="6"/>
    </row>
    <row r="343" spans="1:15" x14ac:dyDescent="0.25">
      <c r="A343" s="6"/>
      <c r="B343" s="6"/>
      <c r="C343" s="6"/>
      <c r="D343" s="6"/>
      <c r="E343" s="6"/>
      <c r="F343" s="6"/>
      <c r="G343" s="6"/>
      <c r="H343" s="6"/>
      <c r="I343" s="6"/>
      <c r="J343" s="6"/>
      <c r="K343" s="6"/>
      <c r="L343" s="6"/>
      <c r="M343" s="6"/>
      <c r="N343" s="6"/>
      <c r="O343" s="6"/>
    </row>
    <row r="344" spans="1:15" x14ac:dyDescent="0.25">
      <c r="A344" s="6"/>
      <c r="B344" s="6"/>
      <c r="C344" s="6"/>
      <c r="D344" s="6"/>
      <c r="E344" s="6"/>
      <c r="F344" s="6"/>
      <c r="G344" s="6"/>
      <c r="H344" s="6"/>
      <c r="I344" s="6"/>
      <c r="J344" s="6"/>
      <c r="K344" s="6"/>
      <c r="L344" s="6"/>
      <c r="M344" s="6"/>
      <c r="N344" s="6"/>
      <c r="O344" s="6"/>
    </row>
    <row r="345" spans="1:15" x14ac:dyDescent="0.25">
      <c r="A345" s="6"/>
      <c r="B345" s="6"/>
      <c r="C345" s="6"/>
      <c r="D345" s="6"/>
      <c r="E345" s="6"/>
      <c r="F345" s="6"/>
      <c r="G345" s="6"/>
      <c r="H345" s="6"/>
      <c r="I345" s="6"/>
      <c r="J345" s="6"/>
      <c r="K345" s="6"/>
      <c r="L345" s="6"/>
      <c r="M345" s="6"/>
      <c r="N345" s="6"/>
      <c r="O345" s="6"/>
    </row>
    <row r="346" spans="1:15" x14ac:dyDescent="0.25">
      <c r="A346" s="6"/>
      <c r="B346" s="6"/>
      <c r="C346" s="6"/>
      <c r="D346" s="6"/>
      <c r="E346" s="6"/>
      <c r="F346" s="6"/>
      <c r="G346" s="6"/>
      <c r="H346" s="6"/>
      <c r="I346" s="6"/>
      <c r="J346" s="6"/>
      <c r="K346" s="6"/>
      <c r="L346" s="6"/>
      <c r="M346" s="6"/>
      <c r="N346" s="6"/>
      <c r="O346" s="6"/>
    </row>
    <row r="347" spans="1:15" x14ac:dyDescent="0.25">
      <c r="A347" s="6"/>
      <c r="B347" s="6"/>
      <c r="C347" s="6"/>
      <c r="D347" s="6"/>
      <c r="E347" s="6"/>
      <c r="F347" s="6"/>
      <c r="G347" s="6"/>
      <c r="H347" s="6"/>
      <c r="I347" s="6"/>
      <c r="J347" s="6"/>
      <c r="K347" s="6"/>
      <c r="L347" s="6"/>
      <c r="M347" s="6"/>
      <c r="N347" s="6"/>
      <c r="O347" s="6"/>
    </row>
    <row r="348" spans="1:15" x14ac:dyDescent="0.25">
      <c r="A348" s="6"/>
      <c r="B348" s="6"/>
      <c r="C348" s="6"/>
      <c r="D348" s="6"/>
      <c r="E348" s="6"/>
      <c r="F348" s="6"/>
      <c r="G348" s="6"/>
      <c r="H348" s="6"/>
      <c r="I348" s="6"/>
      <c r="J348" s="6"/>
      <c r="K348" s="6"/>
      <c r="L348" s="6"/>
      <c r="M348" s="6"/>
      <c r="N348" s="6"/>
      <c r="O348" s="6"/>
    </row>
    <row r="349" spans="1:15" x14ac:dyDescent="0.25">
      <c r="A349" s="6"/>
      <c r="B349" s="6"/>
      <c r="C349" s="6"/>
      <c r="D349" s="6"/>
      <c r="E349" s="6"/>
      <c r="F349" s="6"/>
      <c r="G349" s="6"/>
      <c r="H349" s="6"/>
      <c r="I349" s="6"/>
      <c r="J349" s="6"/>
      <c r="K349" s="6"/>
      <c r="L349" s="6"/>
      <c r="M349" s="6"/>
      <c r="N349" s="6"/>
      <c r="O349" s="6"/>
    </row>
    <row r="350" spans="1:15" x14ac:dyDescent="0.25">
      <c r="A350" s="6"/>
      <c r="B350" s="6"/>
      <c r="C350" s="6"/>
      <c r="D350" s="6"/>
      <c r="E350" s="6"/>
      <c r="F350" s="6"/>
      <c r="G350" s="6"/>
      <c r="H350" s="6"/>
      <c r="I350" s="6"/>
      <c r="J350" s="6"/>
      <c r="K350" s="6"/>
      <c r="L350" s="6"/>
      <c r="M350" s="6"/>
      <c r="N350" s="6"/>
      <c r="O350" s="6"/>
    </row>
    <row r="351" spans="1:15" x14ac:dyDescent="0.25">
      <c r="A351" s="6"/>
      <c r="B351" s="6"/>
      <c r="C351" s="6"/>
      <c r="D351" s="6"/>
      <c r="E351" s="6"/>
      <c r="F351" s="6"/>
      <c r="G351" s="6"/>
      <c r="H351" s="6"/>
      <c r="I351" s="6"/>
      <c r="J351" s="6"/>
      <c r="K351" s="6"/>
      <c r="L351" s="6"/>
      <c r="M351" s="6"/>
      <c r="N351" s="6"/>
      <c r="O351" s="6"/>
    </row>
    <row r="352" spans="1:15" x14ac:dyDescent="0.25">
      <c r="A352" s="6"/>
      <c r="B352" s="6"/>
      <c r="C352" s="6"/>
      <c r="D352" s="6"/>
      <c r="E352" s="6"/>
      <c r="F352" s="6"/>
      <c r="G352" s="6"/>
      <c r="H352" s="6"/>
      <c r="I352" s="6"/>
      <c r="J352" s="6"/>
      <c r="K352" s="6"/>
      <c r="L352" s="6"/>
      <c r="M352" s="6"/>
      <c r="N352" s="6"/>
      <c r="O352" s="6"/>
    </row>
    <row r="353" spans="1:15" x14ac:dyDescent="0.25">
      <c r="A353" s="6"/>
      <c r="B353" s="6"/>
      <c r="C353" s="6"/>
      <c r="D353" s="6"/>
      <c r="E353" s="6"/>
      <c r="F353" s="6"/>
      <c r="G353" s="6"/>
      <c r="H353" s="6"/>
      <c r="I353" s="6"/>
      <c r="J353" s="6"/>
      <c r="K353" s="6"/>
      <c r="L353" s="6"/>
      <c r="M353" s="6"/>
      <c r="N353" s="6"/>
      <c r="O353" s="6"/>
    </row>
    <row r="354" spans="1:15" x14ac:dyDescent="0.25">
      <c r="A354" s="6"/>
      <c r="B354" s="6"/>
      <c r="C354" s="6"/>
      <c r="D354" s="6"/>
      <c r="E354" s="6"/>
      <c r="F354" s="6"/>
      <c r="G354" s="6"/>
      <c r="H354" s="6"/>
      <c r="I354" s="6"/>
      <c r="J354" s="6"/>
      <c r="K354" s="6"/>
      <c r="L354" s="6"/>
      <c r="M354" s="6"/>
      <c r="N354" s="6"/>
      <c r="O354" s="6"/>
    </row>
    <row r="355" spans="1:15" x14ac:dyDescent="0.25">
      <c r="A355" s="6"/>
      <c r="B355" s="6"/>
      <c r="C355" s="6"/>
      <c r="D355" s="6"/>
      <c r="E355" s="6"/>
      <c r="F355" s="6"/>
      <c r="G355" s="6"/>
      <c r="H355" s="6"/>
      <c r="I355" s="6"/>
      <c r="J355" s="6"/>
      <c r="K355" s="6"/>
      <c r="L355" s="6"/>
      <c r="M355" s="6"/>
      <c r="N355" s="6"/>
      <c r="O355" s="6"/>
    </row>
    <row r="356" spans="1:15" x14ac:dyDescent="0.25">
      <c r="A356" s="6"/>
      <c r="B356" s="6"/>
      <c r="C356" s="6"/>
      <c r="D356" s="6"/>
      <c r="E356" s="6"/>
      <c r="F356" s="6"/>
      <c r="G356" s="6"/>
      <c r="H356" s="6"/>
      <c r="I356" s="6"/>
      <c r="J356" s="6"/>
      <c r="K356" s="6"/>
      <c r="L356" s="6"/>
      <c r="M356" s="6"/>
      <c r="N356" s="6"/>
      <c r="O356" s="6"/>
    </row>
    <row r="357" spans="1:15" x14ac:dyDescent="0.25">
      <c r="A357" s="6"/>
      <c r="B357" s="6"/>
      <c r="C357" s="6"/>
      <c r="D357" s="6"/>
      <c r="E357" s="6"/>
      <c r="F357" s="6"/>
      <c r="G357" s="6"/>
      <c r="H357" s="6"/>
      <c r="I357" s="6"/>
      <c r="J357" s="6"/>
      <c r="K357" s="6"/>
      <c r="L357" s="6"/>
      <c r="M357" s="6"/>
      <c r="N357" s="6"/>
      <c r="O357" s="6"/>
    </row>
    <row r="358" spans="1:15" x14ac:dyDescent="0.25">
      <c r="A358" s="6"/>
      <c r="B358" s="6"/>
      <c r="C358" s="6"/>
      <c r="D358" s="6"/>
      <c r="E358" s="6"/>
      <c r="F358" s="6"/>
      <c r="G358" s="6"/>
      <c r="H358" s="6"/>
      <c r="I358" s="6"/>
      <c r="J358" s="6"/>
      <c r="K358" s="6"/>
      <c r="L358" s="6"/>
      <c r="M358" s="6"/>
      <c r="N358" s="6"/>
      <c r="O358" s="6"/>
    </row>
    <row r="359" spans="1:15" x14ac:dyDescent="0.25">
      <c r="A359" s="6"/>
      <c r="B359" s="6"/>
      <c r="C359" s="6"/>
      <c r="D359" s="6"/>
      <c r="E359" s="6"/>
      <c r="F359" s="6"/>
      <c r="G359" s="6"/>
      <c r="H359" s="6"/>
      <c r="I359" s="6"/>
      <c r="J359" s="6"/>
      <c r="K359" s="6"/>
      <c r="L359" s="6"/>
      <c r="M359" s="6"/>
      <c r="N359" s="6"/>
      <c r="O359" s="6"/>
    </row>
    <row r="360" spans="1:15" x14ac:dyDescent="0.25">
      <c r="A360" s="6"/>
      <c r="B360" s="6"/>
      <c r="C360" s="6"/>
      <c r="D360" s="6"/>
      <c r="E360" s="6"/>
      <c r="F360" s="6"/>
      <c r="G360" s="6"/>
      <c r="H360" s="6"/>
      <c r="I360" s="6"/>
      <c r="J360" s="6"/>
      <c r="K360" s="6"/>
      <c r="L360" s="6"/>
      <c r="M360" s="6"/>
      <c r="N360" s="6"/>
      <c r="O360" s="6"/>
    </row>
    <row r="361" spans="1:15" x14ac:dyDescent="0.25">
      <c r="A361" s="6"/>
      <c r="B361" s="6"/>
      <c r="C361" s="6"/>
      <c r="D361" s="6"/>
      <c r="E361" s="6"/>
      <c r="F361" s="6"/>
      <c r="G361" s="6"/>
      <c r="H361" s="6"/>
      <c r="I361" s="6"/>
      <c r="J361" s="6"/>
      <c r="K361" s="6"/>
      <c r="L361" s="6"/>
      <c r="M361" s="6"/>
      <c r="N361" s="6"/>
      <c r="O361" s="6"/>
    </row>
    <row r="362" spans="1:15" x14ac:dyDescent="0.25">
      <c r="A362" s="6"/>
      <c r="B362" s="6"/>
      <c r="C362" s="6"/>
      <c r="D362" s="6"/>
      <c r="E362" s="6"/>
      <c r="F362" s="6"/>
      <c r="G362" s="6"/>
      <c r="H362" s="6"/>
      <c r="I362" s="6"/>
      <c r="J362" s="6"/>
      <c r="K362" s="6"/>
      <c r="L362" s="6"/>
      <c r="M362" s="6"/>
      <c r="N362" s="6"/>
      <c r="O362" s="6"/>
    </row>
    <row r="363" spans="1:15" x14ac:dyDescent="0.25">
      <c r="A363" s="6"/>
      <c r="B363" s="6"/>
      <c r="C363" s="6"/>
      <c r="D363" s="6"/>
      <c r="E363" s="6"/>
      <c r="F363" s="6"/>
      <c r="G363" s="6"/>
      <c r="H363" s="6"/>
      <c r="I363" s="6"/>
      <c r="J363" s="6"/>
      <c r="K363" s="6"/>
      <c r="L363" s="6"/>
      <c r="M363" s="6"/>
      <c r="N363" s="6"/>
      <c r="O363" s="6"/>
    </row>
    <row r="364" spans="1:15" x14ac:dyDescent="0.25">
      <c r="A364" s="6"/>
      <c r="B364" s="6"/>
      <c r="C364" s="6"/>
      <c r="D364" s="6"/>
      <c r="E364" s="6"/>
      <c r="F364" s="6"/>
      <c r="G364" s="6"/>
      <c r="H364" s="6"/>
      <c r="I364" s="6"/>
      <c r="J364" s="6"/>
      <c r="K364" s="6"/>
      <c r="L364" s="6"/>
      <c r="M364" s="6"/>
      <c r="N364" s="6"/>
      <c r="O364" s="6"/>
    </row>
    <row r="365" spans="1:15" x14ac:dyDescent="0.25">
      <c r="A365" s="6"/>
      <c r="B365" s="6"/>
      <c r="C365" s="6"/>
      <c r="D365" s="6"/>
      <c r="E365" s="6"/>
      <c r="F365" s="6"/>
      <c r="G365" s="6"/>
      <c r="H365" s="6"/>
      <c r="I365" s="6"/>
      <c r="J365" s="6"/>
      <c r="K365" s="6"/>
      <c r="L365" s="6"/>
      <c r="M365" s="6"/>
      <c r="N365" s="6"/>
      <c r="O365" s="6"/>
    </row>
    <row r="366" spans="1:15" x14ac:dyDescent="0.25">
      <c r="A366" s="6"/>
      <c r="B366" s="6"/>
      <c r="C366" s="6"/>
      <c r="D366" s="6"/>
      <c r="E366" s="6"/>
      <c r="F366" s="6"/>
      <c r="G366" s="6"/>
      <c r="H366" s="6"/>
      <c r="I366" s="6"/>
      <c r="J366" s="6"/>
      <c r="K366" s="6"/>
      <c r="L366" s="6"/>
      <c r="M366" s="6"/>
      <c r="N366" s="6"/>
      <c r="O366" s="6"/>
    </row>
    <row r="367" spans="1:15" x14ac:dyDescent="0.25">
      <c r="A367" s="6"/>
      <c r="B367" s="6"/>
      <c r="C367" s="6"/>
      <c r="D367" s="6"/>
      <c r="E367" s="6"/>
      <c r="F367" s="6"/>
      <c r="G367" s="6"/>
      <c r="H367" s="6"/>
      <c r="I367" s="6"/>
      <c r="J367" s="6"/>
      <c r="K367" s="6"/>
      <c r="L367" s="6"/>
      <c r="M367" s="6"/>
      <c r="N367" s="6"/>
      <c r="O367" s="6"/>
    </row>
    <row r="368" spans="1:15" x14ac:dyDescent="0.25">
      <c r="A368" s="6"/>
      <c r="B368" s="6"/>
      <c r="C368" s="6"/>
      <c r="D368" s="6"/>
      <c r="E368" s="6"/>
      <c r="F368" s="6"/>
      <c r="G368" s="6"/>
      <c r="H368" s="6"/>
      <c r="I368" s="6"/>
      <c r="J368" s="6"/>
      <c r="K368" s="6"/>
      <c r="L368" s="6"/>
      <c r="M368" s="6"/>
      <c r="N368" s="6"/>
      <c r="O368" s="6"/>
    </row>
    <row r="369" spans="1:15" x14ac:dyDescent="0.25">
      <c r="A369" s="6"/>
      <c r="B369" s="6"/>
      <c r="C369" s="6"/>
      <c r="D369" s="6"/>
      <c r="E369" s="6"/>
      <c r="F369" s="6"/>
      <c r="G369" s="6"/>
      <c r="H369" s="6"/>
      <c r="I369" s="6"/>
      <c r="J369" s="6"/>
      <c r="K369" s="6"/>
      <c r="L369" s="6"/>
      <c r="M369" s="6"/>
      <c r="N369" s="6"/>
      <c r="O369" s="6"/>
    </row>
    <row r="370" spans="1:15" x14ac:dyDescent="0.25">
      <c r="A370" s="6"/>
      <c r="B370" s="6"/>
      <c r="C370" s="6"/>
      <c r="D370" s="6"/>
      <c r="E370" s="6"/>
      <c r="F370" s="6"/>
      <c r="G370" s="6"/>
      <c r="H370" s="6"/>
      <c r="I370" s="6"/>
      <c r="J370" s="6"/>
      <c r="K370" s="6"/>
      <c r="L370" s="6"/>
      <c r="M370" s="6"/>
      <c r="N370" s="6"/>
      <c r="O370" s="6"/>
    </row>
    <row r="371" spans="1:15" x14ac:dyDescent="0.25">
      <c r="A371" s="6"/>
      <c r="B371" s="6"/>
      <c r="C371" s="6"/>
      <c r="D371" s="6"/>
      <c r="E371" s="6"/>
      <c r="F371" s="6"/>
      <c r="G371" s="6"/>
      <c r="H371" s="6"/>
      <c r="I371" s="6"/>
      <c r="J371" s="6"/>
      <c r="K371" s="6"/>
      <c r="L371" s="6"/>
      <c r="M371" s="6"/>
      <c r="N371" s="6"/>
      <c r="O371" s="6"/>
    </row>
    <row r="372" spans="1:15" x14ac:dyDescent="0.25">
      <c r="A372" s="6"/>
      <c r="B372" s="6"/>
      <c r="C372" s="6"/>
      <c r="D372" s="6"/>
      <c r="E372" s="6"/>
      <c r="F372" s="6"/>
      <c r="G372" s="6"/>
      <c r="H372" s="6"/>
      <c r="I372" s="6"/>
      <c r="J372" s="6"/>
      <c r="K372" s="6"/>
      <c r="L372" s="6"/>
      <c r="M372" s="6"/>
      <c r="N372" s="6"/>
      <c r="O372" s="6"/>
    </row>
    <row r="373" spans="1:15" x14ac:dyDescent="0.25">
      <c r="A373" s="6"/>
      <c r="B373" s="6"/>
      <c r="C373" s="6"/>
      <c r="D373" s="6"/>
      <c r="E373" s="6"/>
      <c r="F373" s="6"/>
      <c r="G373" s="6"/>
      <c r="H373" s="6"/>
      <c r="I373" s="6"/>
      <c r="J373" s="6"/>
      <c r="K373" s="6"/>
      <c r="L373" s="6"/>
      <c r="M373" s="6"/>
      <c r="N373" s="6"/>
      <c r="O373" s="6"/>
    </row>
    <row r="374" spans="1:15" x14ac:dyDescent="0.25">
      <c r="A374" s="6"/>
      <c r="B374" s="6"/>
      <c r="C374" s="6"/>
      <c r="D374" s="6"/>
      <c r="E374" s="6"/>
      <c r="F374" s="6"/>
      <c r="G374" s="6"/>
      <c r="H374" s="6"/>
      <c r="I374" s="6"/>
      <c r="J374" s="6"/>
      <c r="K374" s="6"/>
      <c r="L374" s="6"/>
      <c r="M374" s="6"/>
      <c r="N374" s="6"/>
      <c r="O374" s="6"/>
    </row>
    <row r="375" spans="1:15" x14ac:dyDescent="0.25">
      <c r="A375" s="6"/>
      <c r="B375" s="6"/>
      <c r="C375" s="6"/>
      <c r="D375" s="6"/>
      <c r="E375" s="6"/>
      <c r="F375" s="6"/>
      <c r="G375" s="6"/>
      <c r="H375" s="6"/>
      <c r="I375" s="6"/>
      <c r="J375" s="6"/>
      <c r="K375" s="6"/>
      <c r="L375" s="6"/>
      <c r="M375" s="6"/>
      <c r="N375" s="6"/>
      <c r="O375" s="6"/>
    </row>
    <row r="376" spans="1:15" x14ac:dyDescent="0.25">
      <c r="A376" s="6"/>
      <c r="B376" s="6"/>
      <c r="C376" s="6"/>
      <c r="D376" s="6"/>
      <c r="E376" s="6"/>
      <c r="F376" s="6"/>
      <c r="G376" s="6"/>
      <c r="H376" s="6"/>
      <c r="I376" s="6"/>
      <c r="J376" s="6"/>
      <c r="K376" s="6"/>
      <c r="L376" s="6"/>
      <c r="M376" s="6"/>
      <c r="N376" s="6"/>
      <c r="O376" s="6"/>
    </row>
    <row r="377" spans="1:15" x14ac:dyDescent="0.25">
      <c r="A377" s="6"/>
      <c r="B377" s="6"/>
      <c r="C377" s="6"/>
      <c r="D377" s="6"/>
      <c r="E377" s="6"/>
      <c r="F377" s="6"/>
      <c r="G377" s="6"/>
      <c r="H377" s="6"/>
      <c r="I377" s="6"/>
      <c r="J377" s="6"/>
      <c r="K377" s="6"/>
      <c r="L377" s="6"/>
      <c r="M377" s="6"/>
      <c r="N377" s="6"/>
      <c r="O377" s="6"/>
    </row>
    <row r="378" spans="1:15" x14ac:dyDescent="0.25">
      <c r="A378" s="6"/>
      <c r="B378" s="6"/>
      <c r="C378" s="6"/>
      <c r="D378" s="6"/>
      <c r="E378" s="6"/>
      <c r="F378" s="6"/>
      <c r="G378" s="6"/>
      <c r="H378" s="6"/>
      <c r="I378" s="6"/>
      <c r="J378" s="6"/>
      <c r="K378" s="6"/>
      <c r="L378" s="6"/>
      <c r="M378" s="6"/>
      <c r="N378" s="6"/>
      <c r="O378" s="6"/>
    </row>
    <row r="379" spans="1:15" x14ac:dyDescent="0.25">
      <c r="A379" s="6"/>
      <c r="B379" s="6"/>
      <c r="C379" s="6"/>
      <c r="D379" s="6"/>
      <c r="E379" s="6"/>
      <c r="F379" s="6"/>
      <c r="G379" s="6"/>
      <c r="H379" s="6"/>
      <c r="I379" s="6"/>
      <c r="J379" s="6"/>
      <c r="K379" s="6"/>
      <c r="L379" s="6"/>
      <c r="M379" s="6"/>
      <c r="N379" s="6"/>
      <c r="O379" s="6"/>
    </row>
    <row r="380" spans="1:15" x14ac:dyDescent="0.25">
      <c r="A380" s="6"/>
      <c r="B380" s="6"/>
      <c r="C380" s="6"/>
      <c r="D380" s="6"/>
      <c r="E380" s="6"/>
      <c r="F380" s="6"/>
      <c r="G380" s="6"/>
      <c r="H380" s="6"/>
      <c r="I380" s="6"/>
      <c r="J380" s="6"/>
      <c r="K380" s="6"/>
      <c r="L380" s="6"/>
      <c r="M380" s="6"/>
      <c r="N380" s="6"/>
      <c r="O380" s="6"/>
    </row>
    <row r="381" spans="1:15" x14ac:dyDescent="0.25">
      <c r="A381" s="6"/>
      <c r="B381" s="6"/>
      <c r="C381" s="6"/>
      <c r="D381" s="6"/>
      <c r="E381" s="6"/>
      <c r="F381" s="6"/>
      <c r="G381" s="6"/>
      <c r="H381" s="6"/>
      <c r="I381" s="6"/>
      <c r="J381" s="6"/>
      <c r="K381" s="6"/>
      <c r="L381" s="6"/>
      <c r="M381" s="6"/>
      <c r="N381" s="6"/>
      <c r="O381" s="6"/>
    </row>
    <row r="382" spans="1:15" x14ac:dyDescent="0.25">
      <c r="A382" s="6"/>
      <c r="B382" s="6"/>
      <c r="C382" s="6"/>
      <c r="D382" s="6"/>
      <c r="E382" s="6"/>
      <c r="F382" s="6"/>
      <c r="G382" s="6"/>
      <c r="H382" s="6"/>
      <c r="I382" s="6"/>
      <c r="J382" s="6"/>
      <c r="K382" s="6"/>
      <c r="L382" s="6"/>
      <c r="M382" s="6"/>
      <c r="N382" s="6"/>
      <c r="O382" s="6"/>
    </row>
    <row r="383" spans="1:15" x14ac:dyDescent="0.25">
      <c r="A383" s="6"/>
      <c r="B383" s="6"/>
      <c r="C383" s="6"/>
      <c r="D383" s="6"/>
      <c r="E383" s="6"/>
      <c r="F383" s="6"/>
      <c r="G383" s="6"/>
      <c r="H383" s="6"/>
      <c r="I383" s="6"/>
      <c r="J383" s="6"/>
      <c r="K383" s="6"/>
      <c r="L383" s="6"/>
      <c r="M383" s="6"/>
      <c r="N383" s="6"/>
      <c r="O383" s="6"/>
    </row>
    <row r="384" spans="1:15" x14ac:dyDescent="0.25">
      <c r="A384" s="6"/>
      <c r="B384" s="6"/>
      <c r="C384" s="6"/>
      <c r="D384" s="6"/>
      <c r="E384" s="6"/>
      <c r="F384" s="6"/>
      <c r="G384" s="6"/>
      <c r="H384" s="6"/>
      <c r="I384" s="6"/>
      <c r="J384" s="6"/>
      <c r="K384" s="6"/>
      <c r="L384" s="6"/>
      <c r="M384" s="6"/>
      <c r="N384" s="6"/>
      <c r="O384" s="6"/>
    </row>
    <row r="385" spans="1:15" x14ac:dyDescent="0.25">
      <c r="A385" s="6"/>
      <c r="B385" s="6"/>
      <c r="C385" s="6"/>
      <c r="D385" s="6"/>
      <c r="E385" s="6"/>
      <c r="F385" s="6"/>
      <c r="G385" s="6"/>
      <c r="H385" s="6"/>
      <c r="I385" s="6"/>
      <c r="J385" s="6"/>
      <c r="K385" s="6"/>
      <c r="L385" s="6"/>
      <c r="M385" s="6"/>
      <c r="N385" s="6"/>
      <c r="O385" s="6"/>
    </row>
    <row r="386" spans="1:15" x14ac:dyDescent="0.25">
      <c r="A386" s="6"/>
      <c r="B386" s="6"/>
      <c r="C386" s="6"/>
      <c r="D386" s="6"/>
      <c r="E386" s="6"/>
      <c r="F386" s="6"/>
      <c r="G386" s="6"/>
      <c r="H386" s="6"/>
      <c r="I386" s="6"/>
      <c r="J386" s="6"/>
      <c r="K386" s="6"/>
      <c r="L386" s="6"/>
      <c r="M386" s="6"/>
      <c r="N386" s="6"/>
      <c r="O386" s="6"/>
    </row>
    <row r="387" spans="1:15" x14ac:dyDescent="0.25">
      <c r="A387" s="6"/>
      <c r="B387" s="6"/>
      <c r="C387" s="6"/>
      <c r="D387" s="6"/>
      <c r="E387" s="6"/>
      <c r="F387" s="6"/>
      <c r="G387" s="6"/>
      <c r="H387" s="6"/>
      <c r="I387" s="6"/>
      <c r="J387" s="6"/>
      <c r="K387" s="6"/>
      <c r="L387" s="6"/>
      <c r="M387" s="6"/>
      <c r="N387" s="6"/>
      <c r="O387" s="6"/>
    </row>
    <row r="388" spans="1:15" x14ac:dyDescent="0.25">
      <c r="A388" s="6"/>
      <c r="B388" s="6"/>
      <c r="C388" s="6"/>
      <c r="D388" s="6"/>
      <c r="E388" s="6"/>
      <c r="F388" s="6"/>
      <c r="G388" s="6"/>
      <c r="H388" s="6"/>
      <c r="I388" s="6"/>
      <c r="J388" s="6"/>
      <c r="K388" s="6"/>
      <c r="L388" s="6"/>
      <c r="M388" s="6"/>
      <c r="N388" s="6"/>
      <c r="O388" s="6"/>
    </row>
    <row r="389" spans="1:15" x14ac:dyDescent="0.25">
      <c r="A389" s="6"/>
      <c r="B389" s="6"/>
      <c r="C389" s="6"/>
      <c r="D389" s="6"/>
      <c r="E389" s="6"/>
      <c r="F389" s="6"/>
      <c r="G389" s="6"/>
      <c r="H389" s="6"/>
      <c r="I389" s="6"/>
      <c r="J389" s="6"/>
      <c r="K389" s="6"/>
      <c r="L389" s="6"/>
      <c r="M389" s="6"/>
      <c r="N389" s="6"/>
      <c r="O389" s="6"/>
    </row>
    <row r="390" spans="1:15" x14ac:dyDescent="0.25">
      <c r="A390" s="6"/>
      <c r="B390" s="6"/>
      <c r="C390" s="6"/>
      <c r="D390" s="6"/>
      <c r="E390" s="6"/>
      <c r="F390" s="6"/>
      <c r="G390" s="6"/>
      <c r="H390" s="6"/>
      <c r="I390" s="6"/>
      <c r="J390" s="6"/>
      <c r="K390" s="6"/>
      <c r="L390" s="6"/>
      <c r="M390" s="6"/>
      <c r="N390" s="6"/>
      <c r="O390" s="6"/>
    </row>
    <row r="391" spans="1:15" x14ac:dyDescent="0.25">
      <c r="A391" s="6"/>
      <c r="B391" s="6"/>
      <c r="C391" s="6"/>
      <c r="D391" s="6"/>
      <c r="E391" s="6"/>
      <c r="F391" s="6"/>
      <c r="G391" s="6"/>
      <c r="H391" s="6"/>
      <c r="I391" s="6"/>
      <c r="J391" s="6"/>
      <c r="K391" s="6"/>
      <c r="L391" s="6"/>
      <c r="M391" s="6"/>
      <c r="N391" s="6"/>
      <c r="O391" s="6"/>
    </row>
    <row r="392" spans="1:15" x14ac:dyDescent="0.25">
      <c r="A392" s="6"/>
      <c r="B392" s="6"/>
      <c r="C392" s="6"/>
      <c r="D392" s="6"/>
      <c r="E392" s="6"/>
      <c r="F392" s="6"/>
      <c r="G392" s="6"/>
      <c r="H392" s="6"/>
      <c r="I392" s="6"/>
      <c r="J392" s="6"/>
      <c r="K392" s="6"/>
      <c r="L392" s="6"/>
      <c r="M392" s="6"/>
      <c r="N392" s="6"/>
      <c r="O392" s="6"/>
    </row>
    <row r="393" spans="1:15" x14ac:dyDescent="0.25">
      <c r="A393" s="6"/>
      <c r="B393" s="6"/>
      <c r="C393" s="6"/>
      <c r="D393" s="6"/>
      <c r="E393" s="6"/>
      <c r="F393" s="6"/>
      <c r="G393" s="6"/>
      <c r="H393" s="6"/>
      <c r="I393" s="6"/>
      <c r="J393" s="6"/>
      <c r="K393" s="6"/>
      <c r="L393" s="6"/>
      <c r="M393" s="6"/>
      <c r="N393" s="6"/>
      <c r="O393" s="6"/>
    </row>
    <row r="394" spans="1:15" x14ac:dyDescent="0.25">
      <c r="A394" s="6"/>
      <c r="B394" s="6"/>
      <c r="C394" s="6"/>
      <c r="D394" s="6"/>
      <c r="E394" s="6"/>
      <c r="F394" s="6"/>
      <c r="G394" s="6"/>
      <c r="H394" s="6"/>
      <c r="I394" s="6"/>
      <c r="J394" s="6"/>
      <c r="K394" s="6"/>
      <c r="L394" s="6"/>
      <c r="M394" s="6"/>
      <c r="N394" s="6"/>
      <c r="O394" s="6"/>
    </row>
    <row r="395" spans="1:15" x14ac:dyDescent="0.25">
      <c r="A395" s="6"/>
      <c r="B395" s="6"/>
      <c r="C395" s="6"/>
      <c r="D395" s="6"/>
      <c r="E395" s="6"/>
      <c r="F395" s="6"/>
      <c r="G395" s="6"/>
      <c r="H395" s="6"/>
      <c r="I395" s="6"/>
      <c r="J395" s="6"/>
      <c r="K395" s="6"/>
      <c r="L395" s="6"/>
      <c r="M395" s="6"/>
      <c r="N395" s="6"/>
      <c r="O395" s="6"/>
    </row>
    <row r="396" spans="1:15" x14ac:dyDescent="0.25">
      <c r="A396" s="6"/>
      <c r="B396" s="6"/>
      <c r="C396" s="6"/>
      <c r="D396" s="6"/>
      <c r="E396" s="6"/>
      <c r="F396" s="6"/>
      <c r="G396" s="6"/>
      <c r="H396" s="6"/>
      <c r="I396" s="6"/>
      <c r="J396" s="6"/>
      <c r="K396" s="6"/>
      <c r="L396" s="6"/>
      <c r="M396" s="6"/>
      <c r="N396" s="6"/>
      <c r="O396" s="6"/>
    </row>
    <row r="397" spans="1:15" x14ac:dyDescent="0.25">
      <c r="A397" s="6"/>
      <c r="B397" s="6"/>
      <c r="C397" s="6"/>
      <c r="D397" s="6"/>
      <c r="E397" s="6"/>
      <c r="F397" s="6"/>
      <c r="G397" s="6"/>
      <c r="H397" s="6"/>
      <c r="I397" s="6"/>
      <c r="J397" s="6"/>
      <c r="K397" s="6"/>
      <c r="L397" s="6"/>
      <c r="M397" s="6"/>
      <c r="N397" s="6"/>
      <c r="O397" s="6"/>
    </row>
    <row r="398" spans="1:15" x14ac:dyDescent="0.25">
      <c r="A398" s="6"/>
      <c r="B398" s="6"/>
      <c r="C398" s="6"/>
      <c r="D398" s="6"/>
      <c r="E398" s="6"/>
      <c r="F398" s="6"/>
      <c r="G398" s="6"/>
      <c r="H398" s="6"/>
      <c r="I398" s="6"/>
      <c r="J398" s="6"/>
      <c r="K398" s="6"/>
      <c r="L398" s="6"/>
      <c r="M398" s="6"/>
      <c r="N398" s="6"/>
      <c r="O398" s="6"/>
    </row>
    <row r="399" spans="1:15" x14ac:dyDescent="0.25">
      <c r="A399" s="6"/>
      <c r="B399" s="6"/>
      <c r="C399" s="6"/>
      <c r="D399" s="6"/>
      <c r="E399" s="6"/>
      <c r="F399" s="6"/>
      <c r="G399" s="6"/>
      <c r="H399" s="6"/>
      <c r="I399" s="6"/>
      <c r="J399" s="6"/>
      <c r="K399" s="6"/>
      <c r="L399" s="6"/>
      <c r="M399" s="6"/>
      <c r="N399" s="6"/>
      <c r="O399" s="6"/>
    </row>
    <row r="400" spans="1:15" x14ac:dyDescent="0.25">
      <c r="A400" s="6"/>
      <c r="B400" s="6"/>
      <c r="C400" s="6"/>
      <c r="D400" s="6"/>
      <c r="E400" s="6"/>
      <c r="F400" s="6"/>
      <c r="G400" s="6"/>
      <c r="H400" s="6"/>
      <c r="I400" s="6"/>
      <c r="J400" s="6"/>
      <c r="K400" s="6"/>
      <c r="L400" s="6"/>
      <c r="M400" s="6"/>
      <c r="N400" s="6"/>
      <c r="O400" s="6"/>
    </row>
    <row r="401" spans="1:15" x14ac:dyDescent="0.25">
      <c r="A401" s="6"/>
      <c r="B401" s="6"/>
      <c r="C401" s="6"/>
      <c r="D401" s="6"/>
      <c r="E401" s="6"/>
      <c r="F401" s="6"/>
      <c r="G401" s="6"/>
      <c r="H401" s="6"/>
      <c r="I401" s="6"/>
      <c r="J401" s="6"/>
      <c r="K401" s="6"/>
      <c r="L401" s="6"/>
      <c r="M401" s="6"/>
      <c r="N401" s="6"/>
      <c r="O401" s="6"/>
    </row>
    <row r="402" spans="1:15" x14ac:dyDescent="0.25">
      <c r="A402" s="6"/>
      <c r="B402" s="6"/>
      <c r="C402" s="6"/>
      <c r="D402" s="6"/>
      <c r="E402" s="6"/>
      <c r="F402" s="6"/>
      <c r="G402" s="6"/>
      <c r="H402" s="6"/>
      <c r="I402" s="6"/>
      <c r="J402" s="6"/>
      <c r="K402" s="6"/>
      <c r="L402" s="6"/>
      <c r="M402" s="6"/>
      <c r="N402" s="6"/>
      <c r="O402" s="6"/>
    </row>
    <row r="403" spans="1:15" x14ac:dyDescent="0.25">
      <c r="A403" s="6"/>
      <c r="B403" s="6"/>
      <c r="C403" s="6"/>
      <c r="D403" s="6"/>
      <c r="E403" s="6"/>
      <c r="F403" s="6"/>
      <c r="G403" s="6"/>
      <c r="H403" s="6"/>
      <c r="I403" s="6"/>
      <c r="J403" s="6"/>
      <c r="K403" s="6"/>
      <c r="L403" s="6"/>
      <c r="M403" s="6"/>
      <c r="N403" s="6"/>
      <c r="O403" s="6"/>
    </row>
    <row r="404" spans="1:15" x14ac:dyDescent="0.25">
      <c r="A404" s="6"/>
      <c r="B404" s="6"/>
      <c r="C404" s="6"/>
      <c r="D404" s="6"/>
      <c r="E404" s="6"/>
      <c r="F404" s="6"/>
      <c r="G404" s="6"/>
      <c r="H404" s="6"/>
      <c r="I404" s="6"/>
      <c r="J404" s="6"/>
      <c r="K404" s="6"/>
      <c r="L404" s="6"/>
      <c r="M404" s="6"/>
      <c r="N404" s="6"/>
      <c r="O404" s="6"/>
    </row>
    <row r="405" spans="1:15" x14ac:dyDescent="0.25">
      <c r="A405" s="6"/>
      <c r="B405" s="6"/>
      <c r="C405" s="6"/>
      <c r="D405" s="6"/>
      <c r="E405" s="6"/>
      <c r="F405" s="6"/>
      <c r="G405" s="6"/>
      <c r="H405" s="6"/>
      <c r="I405" s="6"/>
      <c r="J405" s="6"/>
      <c r="K405" s="6"/>
      <c r="L405" s="6"/>
      <c r="M405" s="6"/>
      <c r="N405" s="6"/>
      <c r="O405" s="6"/>
    </row>
    <row r="406" spans="1:15" x14ac:dyDescent="0.25">
      <c r="A406" s="6"/>
      <c r="B406" s="6"/>
      <c r="C406" s="6"/>
      <c r="D406" s="6"/>
      <c r="E406" s="6"/>
      <c r="F406" s="6"/>
      <c r="G406" s="6"/>
      <c r="H406" s="6"/>
      <c r="I406" s="6"/>
      <c r="J406" s="6"/>
      <c r="K406" s="6"/>
      <c r="L406" s="6"/>
      <c r="M406" s="6"/>
      <c r="N406" s="6"/>
      <c r="O406" s="6"/>
    </row>
    <row r="407" spans="1:15" x14ac:dyDescent="0.25">
      <c r="A407" s="6"/>
      <c r="B407" s="6"/>
      <c r="C407" s="6"/>
      <c r="D407" s="6"/>
      <c r="E407" s="6"/>
      <c r="F407" s="6"/>
      <c r="G407" s="6"/>
      <c r="H407" s="6"/>
      <c r="I407" s="6"/>
      <c r="J407" s="6"/>
      <c r="K407" s="6"/>
      <c r="L407" s="6"/>
      <c r="M407" s="6"/>
      <c r="N407" s="6"/>
      <c r="O407" s="6"/>
    </row>
    <row r="408" spans="1:15" x14ac:dyDescent="0.25">
      <c r="A408" s="6"/>
      <c r="B408" s="6"/>
      <c r="C408" s="6"/>
      <c r="D408" s="6"/>
      <c r="E408" s="6"/>
      <c r="F408" s="6"/>
      <c r="G408" s="6"/>
      <c r="H408" s="6"/>
      <c r="I408" s="6"/>
      <c r="J408" s="6"/>
      <c r="K408" s="6"/>
      <c r="L408" s="6"/>
      <c r="M408" s="6"/>
      <c r="N408" s="6"/>
      <c r="O408" s="6"/>
    </row>
    <row r="409" spans="1:15" x14ac:dyDescent="0.25">
      <c r="A409" s="6"/>
      <c r="B409" s="6"/>
      <c r="C409" s="6"/>
      <c r="D409" s="6"/>
      <c r="E409" s="6"/>
      <c r="F409" s="6"/>
      <c r="G409" s="6"/>
      <c r="H409" s="6"/>
      <c r="I409" s="6"/>
      <c r="J409" s="6"/>
      <c r="K409" s="6"/>
      <c r="L409" s="6"/>
      <c r="M409" s="6"/>
      <c r="N409" s="6"/>
      <c r="O409" s="6"/>
    </row>
    <row r="410" spans="1:15" x14ac:dyDescent="0.25">
      <c r="A410" s="6"/>
      <c r="B410" s="6"/>
      <c r="C410" s="6"/>
      <c r="D410" s="6"/>
      <c r="E410" s="6"/>
      <c r="F410" s="6"/>
      <c r="G410" s="6"/>
      <c r="H410" s="6"/>
      <c r="I410" s="6"/>
      <c r="J410" s="6"/>
      <c r="K410" s="6"/>
      <c r="L410" s="6"/>
      <c r="M410" s="6"/>
      <c r="N410" s="6"/>
      <c r="O410" s="6"/>
    </row>
    <row r="411" spans="1:15" x14ac:dyDescent="0.25">
      <c r="A411" s="6"/>
      <c r="B411" s="6"/>
      <c r="C411" s="6"/>
      <c r="D411" s="6"/>
      <c r="E411" s="6"/>
      <c r="F411" s="6"/>
      <c r="G411" s="6"/>
      <c r="H411" s="6"/>
      <c r="I411" s="6"/>
      <c r="J411" s="6"/>
      <c r="K411" s="6"/>
      <c r="L411" s="6"/>
      <c r="M411" s="6"/>
      <c r="N411" s="6"/>
      <c r="O411" s="6"/>
    </row>
    <row r="412" spans="1:15" x14ac:dyDescent="0.25">
      <c r="A412" s="6"/>
      <c r="B412" s="6"/>
      <c r="C412" s="6"/>
      <c r="D412" s="6"/>
      <c r="E412" s="6"/>
      <c r="F412" s="6"/>
      <c r="G412" s="6"/>
      <c r="H412" s="6"/>
      <c r="I412" s="6"/>
      <c r="J412" s="6"/>
      <c r="K412" s="6"/>
      <c r="L412" s="6"/>
      <c r="M412" s="6"/>
      <c r="N412" s="6"/>
      <c r="O412" s="6"/>
    </row>
    <row r="413" spans="1:15" x14ac:dyDescent="0.25">
      <c r="A413" s="6"/>
      <c r="B413" s="6"/>
      <c r="C413" s="6"/>
      <c r="D413" s="6"/>
      <c r="E413" s="6"/>
      <c r="F413" s="6"/>
      <c r="G413" s="6"/>
      <c r="H413" s="6"/>
      <c r="I413" s="6"/>
      <c r="J413" s="6"/>
      <c r="K413" s="6"/>
      <c r="L413" s="6"/>
      <c r="M413" s="6"/>
      <c r="N413" s="6"/>
      <c r="O413" s="6"/>
    </row>
    <row r="414" spans="1:15" x14ac:dyDescent="0.25">
      <c r="A414" s="6"/>
      <c r="B414" s="6"/>
      <c r="C414" s="6"/>
      <c r="D414" s="6"/>
      <c r="E414" s="6"/>
      <c r="F414" s="6"/>
      <c r="G414" s="6"/>
      <c r="H414" s="6"/>
      <c r="I414" s="6"/>
      <c r="J414" s="6"/>
      <c r="K414" s="6"/>
      <c r="L414" s="6"/>
      <c r="M414" s="6"/>
      <c r="N414" s="6"/>
      <c r="O414" s="6"/>
    </row>
    <row r="415" spans="1:15" x14ac:dyDescent="0.25">
      <c r="A415" s="6"/>
      <c r="B415" s="6"/>
      <c r="C415" s="6"/>
      <c r="D415" s="6"/>
      <c r="E415" s="6"/>
      <c r="F415" s="6"/>
      <c r="G415" s="6"/>
      <c r="H415" s="6"/>
      <c r="I415" s="6"/>
      <c r="J415" s="6"/>
      <c r="K415" s="6"/>
      <c r="L415" s="6"/>
      <c r="M415" s="6"/>
      <c r="N415" s="6"/>
      <c r="O415" s="6"/>
    </row>
    <row r="416" spans="1:15" x14ac:dyDescent="0.25">
      <c r="A416" s="6"/>
      <c r="B416" s="6"/>
      <c r="C416" s="6"/>
      <c r="D416" s="6"/>
      <c r="E416" s="6"/>
      <c r="F416" s="6"/>
      <c r="G416" s="6"/>
      <c r="H416" s="6"/>
      <c r="I416" s="6"/>
      <c r="J416" s="6"/>
      <c r="K416" s="6"/>
      <c r="L416" s="6"/>
      <c r="M416" s="6"/>
      <c r="N416" s="6"/>
      <c r="O416" s="6"/>
    </row>
    <row r="417" spans="1:15" x14ac:dyDescent="0.25">
      <c r="A417" s="6"/>
      <c r="B417" s="6"/>
      <c r="C417" s="6"/>
      <c r="D417" s="6"/>
      <c r="E417" s="6"/>
      <c r="F417" s="6"/>
      <c r="G417" s="6"/>
      <c r="H417" s="6"/>
      <c r="I417" s="6"/>
      <c r="J417" s="6"/>
      <c r="K417" s="6"/>
      <c r="L417" s="6"/>
      <c r="M417" s="6"/>
      <c r="N417" s="6"/>
      <c r="O417" s="6"/>
    </row>
    <row r="418" spans="1:15" x14ac:dyDescent="0.25">
      <c r="A418" s="6"/>
      <c r="B418" s="6"/>
      <c r="C418" s="6"/>
      <c r="D418" s="6"/>
      <c r="E418" s="6"/>
      <c r="F418" s="6"/>
      <c r="G418" s="6"/>
      <c r="H418" s="6"/>
      <c r="I418" s="6"/>
      <c r="J418" s="6"/>
      <c r="K418" s="6"/>
      <c r="L418" s="6"/>
      <c r="M418" s="6"/>
      <c r="N418" s="6"/>
      <c r="O418" s="6"/>
    </row>
    <row r="419" spans="1:15" x14ac:dyDescent="0.25">
      <c r="A419" s="6"/>
      <c r="B419" s="6"/>
      <c r="C419" s="6"/>
      <c r="D419" s="6"/>
      <c r="E419" s="6"/>
      <c r="F419" s="6"/>
      <c r="G419" s="6"/>
      <c r="H419" s="6"/>
      <c r="I419" s="6"/>
      <c r="J419" s="6"/>
      <c r="K419" s="6"/>
      <c r="L419" s="6"/>
      <c r="M419" s="6"/>
      <c r="N419" s="6"/>
      <c r="O419" s="6"/>
    </row>
    <row r="420" spans="1:15" x14ac:dyDescent="0.25">
      <c r="A420" s="6"/>
      <c r="B420" s="6"/>
      <c r="C420" s="6"/>
      <c r="D420" s="6"/>
      <c r="E420" s="6"/>
      <c r="F420" s="6"/>
      <c r="G420" s="6"/>
      <c r="H420" s="6"/>
      <c r="I420" s="6"/>
      <c r="J420" s="6"/>
      <c r="K420" s="6"/>
      <c r="L420" s="6"/>
      <c r="M420" s="6"/>
      <c r="N420" s="6"/>
      <c r="O420" s="6"/>
    </row>
    <row r="421" spans="1:15" x14ac:dyDescent="0.25">
      <c r="A421" s="6"/>
      <c r="B421" s="6"/>
      <c r="C421" s="6"/>
      <c r="D421" s="6"/>
      <c r="E421" s="6"/>
      <c r="F421" s="6"/>
      <c r="G421" s="6"/>
      <c r="H421" s="6"/>
      <c r="I421" s="6"/>
      <c r="J421" s="6"/>
      <c r="K421" s="6"/>
      <c r="L421" s="6"/>
      <c r="M421" s="6"/>
      <c r="N421" s="6"/>
      <c r="O421" s="6"/>
    </row>
    <row r="422" spans="1:15" x14ac:dyDescent="0.25">
      <c r="A422" s="6"/>
      <c r="B422" s="6"/>
      <c r="C422" s="6"/>
      <c r="D422" s="6"/>
      <c r="E422" s="6"/>
      <c r="F422" s="6"/>
      <c r="G422" s="6"/>
      <c r="H422" s="6"/>
      <c r="I422" s="6"/>
      <c r="J422" s="6"/>
      <c r="K422" s="6"/>
      <c r="L422" s="6"/>
      <c r="M422" s="6"/>
      <c r="N422" s="6"/>
      <c r="O422" s="6"/>
    </row>
    <row r="423" spans="1:15" x14ac:dyDescent="0.25">
      <c r="A423" s="6"/>
      <c r="B423" s="6"/>
      <c r="C423" s="6"/>
      <c r="D423" s="6"/>
      <c r="E423" s="6"/>
      <c r="F423" s="6"/>
      <c r="G423" s="6"/>
      <c r="H423" s="6"/>
      <c r="I423" s="6"/>
      <c r="J423" s="6"/>
      <c r="K423" s="6"/>
      <c r="L423" s="6"/>
      <c r="M423" s="6"/>
      <c r="N423" s="6"/>
      <c r="O423" s="6"/>
    </row>
    <row r="424" spans="1:15" x14ac:dyDescent="0.25">
      <c r="A424" s="6"/>
      <c r="B424" s="6"/>
      <c r="C424" s="6"/>
      <c r="D424" s="6"/>
      <c r="E424" s="6"/>
      <c r="F424" s="6"/>
      <c r="G424" s="6"/>
      <c r="H424" s="6"/>
      <c r="I424" s="6"/>
      <c r="J424" s="6"/>
      <c r="K424" s="6"/>
      <c r="L424" s="6"/>
      <c r="M424" s="6"/>
      <c r="N424" s="6"/>
      <c r="O424" s="6"/>
    </row>
    <row r="425" spans="1:15" x14ac:dyDescent="0.25">
      <c r="A425" s="6"/>
      <c r="B425" s="6"/>
      <c r="C425" s="6"/>
      <c r="D425" s="6"/>
      <c r="E425" s="6"/>
      <c r="F425" s="6"/>
      <c r="G425" s="6"/>
      <c r="H425" s="6"/>
      <c r="I425" s="6"/>
      <c r="J425" s="6"/>
      <c r="K425" s="6"/>
      <c r="L425" s="6"/>
      <c r="M425" s="6"/>
      <c r="N425" s="6"/>
      <c r="O425" s="6"/>
    </row>
    <row r="426" spans="1:15" x14ac:dyDescent="0.25">
      <c r="A426" s="6"/>
      <c r="B426" s="6"/>
      <c r="C426" s="6"/>
      <c r="D426" s="6"/>
      <c r="E426" s="6"/>
      <c r="F426" s="6"/>
      <c r="G426" s="6"/>
      <c r="H426" s="6"/>
      <c r="I426" s="6"/>
      <c r="J426" s="6"/>
      <c r="K426" s="6"/>
      <c r="L426" s="6"/>
      <c r="M426" s="6"/>
      <c r="N426" s="6"/>
      <c r="O426" s="6"/>
    </row>
    <row r="427" spans="1:15" x14ac:dyDescent="0.25">
      <c r="A427" s="6"/>
      <c r="B427" s="6"/>
      <c r="C427" s="6"/>
      <c r="D427" s="6"/>
      <c r="E427" s="6"/>
      <c r="F427" s="6"/>
      <c r="G427" s="6"/>
      <c r="H427" s="6"/>
      <c r="I427" s="6"/>
      <c r="J427" s="6"/>
      <c r="K427" s="6"/>
      <c r="L427" s="6"/>
      <c r="M427" s="6"/>
      <c r="N427" s="6"/>
      <c r="O427" s="6"/>
    </row>
    <row r="428" spans="1:15" x14ac:dyDescent="0.25">
      <c r="A428" s="6"/>
      <c r="B428" s="6"/>
      <c r="C428" s="6"/>
      <c r="D428" s="6"/>
      <c r="E428" s="6"/>
      <c r="F428" s="6"/>
      <c r="G428" s="6"/>
      <c r="H428" s="6"/>
      <c r="I428" s="6"/>
      <c r="J428" s="6"/>
      <c r="K428" s="6"/>
      <c r="L428" s="6"/>
      <c r="M428" s="6"/>
      <c r="N428" s="6"/>
      <c r="O428" s="6"/>
    </row>
    <row r="429" spans="1:15" x14ac:dyDescent="0.25">
      <c r="A429" s="6"/>
      <c r="B429" s="6"/>
      <c r="C429" s="6"/>
      <c r="D429" s="6"/>
      <c r="E429" s="6"/>
      <c r="F429" s="6"/>
      <c r="G429" s="6"/>
      <c r="H429" s="6"/>
      <c r="I429" s="6"/>
      <c r="J429" s="6"/>
      <c r="K429" s="6"/>
      <c r="L429" s="6"/>
      <c r="M429" s="6"/>
      <c r="N429" s="6"/>
      <c r="O429" s="6"/>
    </row>
    <row r="430" spans="1:15" x14ac:dyDescent="0.25">
      <c r="A430" s="6"/>
      <c r="B430" s="6"/>
      <c r="C430" s="6"/>
      <c r="D430" s="6"/>
      <c r="E430" s="6"/>
      <c r="F430" s="6"/>
      <c r="G430" s="6"/>
      <c r="H430" s="6"/>
      <c r="I430" s="6"/>
      <c r="J430" s="6"/>
      <c r="K430" s="6"/>
      <c r="L430" s="6"/>
      <c r="M430" s="6"/>
      <c r="N430" s="6"/>
      <c r="O430" s="6"/>
    </row>
    <row r="431" spans="1:15" x14ac:dyDescent="0.25">
      <c r="A431" s="6"/>
      <c r="B431" s="6"/>
      <c r="C431" s="6"/>
      <c r="D431" s="6"/>
      <c r="E431" s="6"/>
      <c r="F431" s="6"/>
      <c r="G431" s="6"/>
      <c r="H431" s="6"/>
      <c r="I431" s="6"/>
      <c r="J431" s="6"/>
      <c r="K431" s="6"/>
      <c r="L431" s="6"/>
      <c r="M431" s="6"/>
      <c r="N431" s="6"/>
      <c r="O431" s="6"/>
    </row>
    <row r="432" spans="1:15" x14ac:dyDescent="0.25">
      <c r="A432" s="6"/>
      <c r="B432" s="6"/>
      <c r="C432" s="6"/>
      <c r="D432" s="6"/>
      <c r="E432" s="6"/>
      <c r="F432" s="6"/>
      <c r="G432" s="6"/>
      <c r="H432" s="6"/>
      <c r="I432" s="6"/>
      <c r="J432" s="6"/>
      <c r="K432" s="6"/>
      <c r="L432" s="6"/>
      <c r="M432" s="6"/>
      <c r="N432" s="6"/>
      <c r="O432" s="6"/>
    </row>
    <row r="433" spans="1:15" x14ac:dyDescent="0.25">
      <c r="A433" s="6"/>
      <c r="B433" s="6"/>
      <c r="C433" s="6"/>
      <c r="D433" s="6"/>
      <c r="E433" s="6"/>
      <c r="F433" s="6"/>
      <c r="G433" s="6"/>
      <c r="H433" s="6"/>
      <c r="I433" s="6"/>
      <c r="J433" s="6"/>
      <c r="K433" s="6"/>
      <c r="L433" s="6"/>
      <c r="M433" s="6"/>
      <c r="N433" s="6"/>
      <c r="O433" s="6"/>
    </row>
    <row r="434" spans="1:15" x14ac:dyDescent="0.25">
      <c r="A434" s="6"/>
      <c r="B434" s="6"/>
      <c r="C434" s="6"/>
      <c r="D434" s="6"/>
      <c r="E434" s="6"/>
      <c r="F434" s="6"/>
      <c r="G434" s="6"/>
      <c r="H434" s="6"/>
      <c r="I434" s="6"/>
      <c r="J434" s="6"/>
      <c r="K434" s="6"/>
      <c r="L434" s="6"/>
      <c r="M434" s="6"/>
      <c r="N434" s="6"/>
      <c r="O434" s="6"/>
    </row>
    <row r="435" spans="1:15" x14ac:dyDescent="0.25">
      <c r="A435" s="6"/>
      <c r="B435" s="6"/>
      <c r="C435" s="6"/>
      <c r="D435" s="6"/>
      <c r="E435" s="6"/>
      <c r="F435" s="6"/>
      <c r="G435" s="6"/>
      <c r="H435" s="6"/>
      <c r="I435" s="6"/>
      <c r="J435" s="6"/>
      <c r="K435" s="6"/>
      <c r="L435" s="6"/>
      <c r="M435" s="6"/>
      <c r="N435" s="6"/>
      <c r="O435" s="6"/>
    </row>
    <row r="436" spans="1:15" x14ac:dyDescent="0.25">
      <c r="A436" s="6"/>
      <c r="B436" s="6"/>
      <c r="C436" s="6"/>
      <c r="D436" s="6"/>
      <c r="E436" s="6"/>
      <c r="F436" s="6"/>
      <c r="G436" s="6"/>
      <c r="H436" s="6"/>
      <c r="I436" s="6"/>
      <c r="J436" s="6"/>
      <c r="K436" s="6"/>
      <c r="L436" s="6"/>
      <c r="M436" s="6"/>
      <c r="N436" s="6"/>
      <c r="O436" s="6"/>
    </row>
    <row r="437" spans="1:15" x14ac:dyDescent="0.25">
      <c r="A437" s="6"/>
      <c r="B437" s="6"/>
      <c r="C437" s="6"/>
      <c r="D437" s="6"/>
      <c r="E437" s="6"/>
      <c r="F437" s="6"/>
      <c r="G437" s="6"/>
      <c r="H437" s="6"/>
      <c r="I437" s="6"/>
      <c r="J437" s="6"/>
      <c r="K437" s="6"/>
      <c r="L437" s="6"/>
      <c r="M437" s="6"/>
      <c r="N437" s="6"/>
      <c r="O437" s="6"/>
    </row>
    <row r="438" spans="1:15" x14ac:dyDescent="0.25">
      <c r="A438" s="6"/>
      <c r="B438" s="6"/>
      <c r="C438" s="6"/>
      <c r="D438" s="6"/>
      <c r="E438" s="6"/>
      <c r="F438" s="6"/>
      <c r="G438" s="6"/>
      <c r="H438" s="6"/>
      <c r="I438" s="6"/>
      <c r="J438" s="6"/>
      <c r="K438" s="6"/>
      <c r="L438" s="6"/>
      <c r="M438" s="6"/>
      <c r="N438" s="6"/>
      <c r="O438" s="6"/>
    </row>
    <row r="439" spans="1:15" x14ac:dyDescent="0.25">
      <c r="A439" s="6"/>
      <c r="B439" s="6"/>
      <c r="C439" s="6"/>
      <c r="D439" s="6"/>
      <c r="E439" s="6"/>
      <c r="F439" s="6"/>
      <c r="G439" s="6"/>
      <c r="H439" s="6"/>
      <c r="I439" s="6"/>
      <c r="J439" s="6"/>
      <c r="K439" s="6"/>
      <c r="L439" s="6"/>
      <c r="M439" s="6"/>
      <c r="N439" s="6"/>
      <c r="O439" s="6"/>
    </row>
    <row r="440" spans="1:15" x14ac:dyDescent="0.25">
      <c r="A440" s="6"/>
      <c r="B440" s="6"/>
      <c r="C440" s="6"/>
      <c r="D440" s="6"/>
      <c r="E440" s="6"/>
      <c r="F440" s="6"/>
      <c r="G440" s="6"/>
      <c r="H440" s="6"/>
      <c r="I440" s="6"/>
      <c r="J440" s="6"/>
      <c r="K440" s="6"/>
      <c r="L440" s="6"/>
      <c r="M440" s="6"/>
      <c r="N440" s="6"/>
      <c r="O440" s="6"/>
    </row>
    <row r="441" spans="1:15" x14ac:dyDescent="0.25">
      <c r="A441" s="6"/>
      <c r="B441" s="6"/>
      <c r="C441" s="6"/>
      <c r="D441" s="6"/>
      <c r="E441" s="6"/>
      <c r="F441" s="6"/>
      <c r="G441" s="6"/>
      <c r="H441" s="6"/>
      <c r="I441" s="6"/>
      <c r="J441" s="6"/>
      <c r="K441" s="6"/>
      <c r="L441" s="6"/>
      <c r="M441" s="6"/>
      <c r="N441" s="6"/>
      <c r="O441" s="6"/>
    </row>
    <row r="442" spans="1:15" x14ac:dyDescent="0.25">
      <c r="A442" s="6"/>
      <c r="B442" s="6"/>
      <c r="C442" s="6"/>
      <c r="D442" s="6"/>
      <c r="E442" s="6"/>
      <c r="F442" s="6"/>
      <c r="G442" s="6"/>
      <c r="H442" s="6"/>
      <c r="I442" s="6"/>
      <c r="J442" s="6"/>
      <c r="K442" s="6"/>
      <c r="L442" s="6"/>
      <c r="M442" s="6"/>
      <c r="N442" s="6"/>
      <c r="O442" s="6"/>
    </row>
    <row r="443" spans="1:15" x14ac:dyDescent="0.25">
      <c r="A443" s="6"/>
      <c r="B443" s="6"/>
      <c r="C443" s="6"/>
      <c r="D443" s="6"/>
      <c r="E443" s="6"/>
      <c r="F443" s="6"/>
      <c r="G443" s="6"/>
      <c r="H443" s="6"/>
      <c r="I443" s="6"/>
      <c r="J443" s="6"/>
      <c r="K443" s="6"/>
      <c r="L443" s="6"/>
      <c r="M443" s="6"/>
      <c r="N443" s="6"/>
      <c r="O443" s="6"/>
    </row>
    <row r="444" spans="1:15" x14ac:dyDescent="0.25">
      <c r="A444" s="6"/>
      <c r="B444" s="6"/>
      <c r="C444" s="6"/>
      <c r="D444" s="6"/>
      <c r="E444" s="6"/>
      <c r="F444" s="6"/>
      <c r="G444" s="6"/>
      <c r="H444" s="6"/>
      <c r="I444" s="6"/>
      <c r="J444" s="6"/>
      <c r="K444" s="6"/>
      <c r="L444" s="6"/>
      <c r="M444" s="6"/>
      <c r="N444" s="6"/>
      <c r="O444" s="6"/>
    </row>
    <row r="445" spans="1:15" x14ac:dyDescent="0.25">
      <c r="A445" s="6"/>
      <c r="B445" s="6"/>
      <c r="C445" s="6"/>
      <c r="D445" s="6"/>
      <c r="E445" s="6"/>
      <c r="F445" s="6"/>
      <c r="G445" s="6"/>
      <c r="H445" s="6"/>
      <c r="I445" s="6"/>
      <c r="J445" s="6"/>
      <c r="K445" s="6"/>
      <c r="L445" s="6"/>
      <c r="M445" s="6"/>
      <c r="N445" s="6"/>
      <c r="O445" s="6"/>
    </row>
    <row r="446" spans="1:15" x14ac:dyDescent="0.25">
      <c r="A446" s="6"/>
      <c r="B446" s="6"/>
      <c r="C446" s="6"/>
      <c r="D446" s="6"/>
      <c r="E446" s="6"/>
      <c r="F446" s="6"/>
      <c r="G446" s="6"/>
      <c r="H446" s="6"/>
      <c r="I446" s="6"/>
      <c r="J446" s="6"/>
      <c r="K446" s="6"/>
      <c r="L446" s="6"/>
      <c r="M446" s="6"/>
      <c r="N446" s="6"/>
      <c r="O446" s="6"/>
    </row>
    <row r="447" spans="1:15" x14ac:dyDescent="0.25">
      <c r="A447" s="6"/>
      <c r="B447" s="6"/>
      <c r="C447" s="6"/>
      <c r="D447" s="6"/>
      <c r="E447" s="6"/>
      <c r="F447" s="6"/>
      <c r="G447" s="6"/>
      <c r="H447" s="6"/>
      <c r="I447" s="6"/>
      <c r="J447" s="6"/>
      <c r="K447" s="6"/>
      <c r="L447" s="6"/>
      <c r="M447" s="6"/>
      <c r="N447" s="6"/>
      <c r="O447" s="6"/>
    </row>
    <row r="448" spans="1:15" x14ac:dyDescent="0.25">
      <c r="A448" s="6"/>
      <c r="B448" s="6"/>
      <c r="C448" s="6"/>
      <c r="D448" s="6"/>
      <c r="E448" s="6"/>
      <c r="F448" s="6"/>
      <c r="G448" s="6"/>
      <c r="H448" s="6"/>
      <c r="I448" s="6"/>
      <c r="J448" s="6"/>
      <c r="K448" s="6"/>
      <c r="L448" s="6"/>
      <c r="M448" s="6"/>
      <c r="N448" s="6"/>
      <c r="O448" s="6"/>
    </row>
    <row r="449" spans="1:15" x14ac:dyDescent="0.25">
      <c r="A449" s="6"/>
      <c r="B449" s="6"/>
      <c r="C449" s="6"/>
      <c r="D449" s="6"/>
      <c r="E449" s="6"/>
      <c r="F449" s="6"/>
      <c r="G449" s="6"/>
      <c r="H449" s="6"/>
      <c r="I449" s="6"/>
      <c r="J449" s="6"/>
      <c r="K449" s="6"/>
      <c r="L449" s="6"/>
      <c r="M449" s="6"/>
      <c r="N449" s="6"/>
      <c r="O449" s="6"/>
    </row>
    <row r="450" spans="1:15" x14ac:dyDescent="0.25">
      <c r="A450" s="6"/>
      <c r="B450" s="6"/>
      <c r="C450" s="6"/>
      <c r="D450" s="6"/>
      <c r="E450" s="6"/>
      <c r="F450" s="6"/>
      <c r="G450" s="6"/>
      <c r="H450" s="6"/>
      <c r="I450" s="6"/>
      <c r="J450" s="6"/>
      <c r="K450" s="6"/>
      <c r="L450" s="6"/>
      <c r="M450" s="6"/>
      <c r="N450" s="6"/>
      <c r="O450" s="6"/>
    </row>
    <row r="451" spans="1:15" x14ac:dyDescent="0.25">
      <c r="A451" s="6"/>
      <c r="B451" s="6"/>
      <c r="C451" s="6"/>
      <c r="D451" s="6"/>
      <c r="E451" s="6"/>
      <c r="F451" s="6"/>
      <c r="G451" s="6"/>
      <c r="H451" s="6"/>
      <c r="I451" s="6"/>
      <c r="J451" s="6"/>
      <c r="K451" s="6"/>
      <c r="L451" s="6"/>
      <c r="M451" s="6"/>
      <c r="N451" s="6"/>
      <c r="O451" s="6"/>
    </row>
    <row r="452" spans="1:15" x14ac:dyDescent="0.25">
      <c r="A452" s="6"/>
      <c r="B452" s="6"/>
      <c r="C452" s="6"/>
      <c r="D452" s="6"/>
      <c r="E452" s="6"/>
      <c r="F452" s="6"/>
      <c r="G452" s="6"/>
      <c r="H452" s="6"/>
      <c r="I452" s="6"/>
      <c r="J452" s="6"/>
      <c r="K452" s="6"/>
      <c r="L452" s="6"/>
      <c r="M452" s="6"/>
      <c r="N452" s="6"/>
      <c r="O452" s="6"/>
    </row>
    <row r="453" spans="1:15" x14ac:dyDescent="0.25">
      <c r="A453" s="6"/>
      <c r="B453" s="6"/>
      <c r="C453" s="6"/>
      <c r="D453" s="6"/>
      <c r="E453" s="6"/>
      <c r="F453" s="6"/>
      <c r="G453" s="6"/>
      <c r="H453" s="6"/>
      <c r="I453" s="6"/>
      <c r="J453" s="6"/>
      <c r="K453" s="6"/>
      <c r="L453" s="6"/>
      <c r="M453" s="6"/>
      <c r="N453" s="6"/>
      <c r="O453" s="6"/>
    </row>
    <row r="454" spans="1:15" x14ac:dyDescent="0.25">
      <c r="A454" s="6"/>
      <c r="B454" s="6"/>
      <c r="C454" s="6"/>
      <c r="D454" s="6"/>
      <c r="E454" s="6"/>
      <c r="F454" s="6"/>
      <c r="G454" s="6"/>
      <c r="H454" s="6"/>
      <c r="I454" s="6"/>
      <c r="J454" s="6"/>
      <c r="K454" s="6"/>
      <c r="L454" s="6"/>
      <c r="M454" s="6"/>
      <c r="N454" s="6"/>
      <c r="O454" s="6"/>
    </row>
    <row r="455" spans="1:15" x14ac:dyDescent="0.25">
      <c r="A455" s="6"/>
      <c r="B455" s="6"/>
      <c r="C455" s="6"/>
      <c r="D455" s="6"/>
      <c r="E455" s="6"/>
      <c r="F455" s="6"/>
      <c r="G455" s="6"/>
      <c r="H455" s="6"/>
      <c r="I455" s="6"/>
      <c r="J455" s="6"/>
      <c r="K455" s="6"/>
      <c r="L455" s="6"/>
      <c r="M455" s="6"/>
      <c r="N455" s="6"/>
      <c r="O455" s="6"/>
    </row>
    <row r="456" spans="1:15" x14ac:dyDescent="0.25">
      <c r="A456" s="6"/>
      <c r="B456" s="6"/>
      <c r="C456" s="6"/>
      <c r="D456" s="6"/>
      <c r="E456" s="6"/>
      <c r="F456" s="6"/>
      <c r="G456" s="6"/>
      <c r="H456" s="6"/>
      <c r="I456" s="6"/>
      <c r="J456" s="6"/>
      <c r="K456" s="6"/>
      <c r="L456" s="6"/>
      <c r="M456" s="6"/>
      <c r="N456" s="6"/>
      <c r="O456" s="6"/>
    </row>
    <row r="457" spans="1:15" x14ac:dyDescent="0.25">
      <c r="A457" s="6"/>
      <c r="B457" s="6"/>
      <c r="C457" s="6"/>
      <c r="D457" s="6"/>
      <c r="E457" s="6"/>
      <c r="F457" s="6"/>
      <c r="G457" s="6"/>
      <c r="H457" s="6"/>
      <c r="I457" s="6"/>
      <c r="J457" s="6"/>
      <c r="K457" s="6"/>
      <c r="L457" s="6"/>
      <c r="M457" s="6"/>
      <c r="N457" s="6"/>
      <c r="O457" s="6"/>
    </row>
    <row r="458" spans="1:15" x14ac:dyDescent="0.25">
      <c r="A458" s="6"/>
      <c r="B458" s="6"/>
      <c r="C458" s="6"/>
      <c r="D458" s="6"/>
      <c r="E458" s="6"/>
      <c r="F458" s="6"/>
      <c r="G458" s="6"/>
      <c r="H458" s="6"/>
      <c r="I458" s="6"/>
      <c r="J458" s="6"/>
      <c r="K458" s="6"/>
      <c r="L458" s="6"/>
      <c r="M458" s="6"/>
      <c r="N458" s="6"/>
      <c r="O458" s="6"/>
    </row>
    <row r="459" spans="1:15" x14ac:dyDescent="0.25">
      <c r="A459" s="6"/>
      <c r="B459" s="6"/>
      <c r="C459" s="6"/>
      <c r="D459" s="6"/>
      <c r="E459" s="6"/>
      <c r="F459" s="6"/>
      <c r="G459" s="6"/>
      <c r="H459" s="6"/>
      <c r="I459" s="6"/>
      <c r="J459" s="6"/>
      <c r="K459" s="6"/>
      <c r="L459" s="6"/>
      <c r="M459" s="6"/>
      <c r="N459" s="6"/>
      <c r="O459" s="6"/>
    </row>
    <row r="460" spans="1:15" x14ac:dyDescent="0.25">
      <c r="A460" s="6"/>
      <c r="B460" s="6"/>
      <c r="C460" s="6"/>
      <c r="D460" s="6"/>
      <c r="E460" s="6"/>
      <c r="F460" s="6"/>
      <c r="G460" s="6"/>
      <c r="H460" s="6"/>
      <c r="I460" s="6"/>
      <c r="J460" s="6"/>
      <c r="K460" s="6"/>
      <c r="L460" s="6"/>
      <c r="M460" s="6"/>
      <c r="N460" s="6"/>
      <c r="O460" s="6"/>
    </row>
    <row r="461" spans="1:15" x14ac:dyDescent="0.25">
      <c r="A461" s="6"/>
      <c r="B461" s="6"/>
      <c r="C461" s="6"/>
      <c r="D461" s="6"/>
      <c r="E461" s="6"/>
      <c r="F461" s="6"/>
      <c r="G461" s="6"/>
      <c r="H461" s="6"/>
      <c r="I461" s="6"/>
      <c r="J461" s="6"/>
      <c r="K461" s="6"/>
      <c r="L461" s="6"/>
      <c r="M461" s="6"/>
      <c r="N461" s="6"/>
      <c r="O461" s="6"/>
    </row>
    <row r="462" spans="1:15" x14ac:dyDescent="0.25">
      <c r="A462" s="6"/>
      <c r="B462" s="6"/>
      <c r="C462" s="6"/>
      <c r="D462" s="6"/>
      <c r="E462" s="6"/>
      <c r="F462" s="6"/>
      <c r="G462" s="6"/>
      <c r="H462" s="6"/>
      <c r="I462" s="6"/>
      <c r="J462" s="6"/>
      <c r="K462" s="6"/>
      <c r="L462" s="6"/>
      <c r="M462" s="6"/>
      <c r="N462" s="6"/>
      <c r="O462" s="6"/>
    </row>
    <row r="463" spans="1:15" x14ac:dyDescent="0.25">
      <c r="A463" s="6"/>
      <c r="B463" s="6"/>
      <c r="C463" s="6"/>
      <c r="D463" s="6"/>
      <c r="E463" s="6"/>
      <c r="F463" s="6"/>
      <c r="G463" s="6"/>
      <c r="H463" s="6"/>
      <c r="I463" s="6"/>
      <c r="J463" s="6"/>
      <c r="K463" s="6"/>
      <c r="L463" s="6"/>
      <c r="M463" s="6"/>
      <c r="N463" s="6"/>
      <c r="O463" s="6"/>
    </row>
    <row r="464" spans="1:15" x14ac:dyDescent="0.25">
      <c r="A464" s="6"/>
      <c r="B464" s="6"/>
      <c r="C464" s="6"/>
      <c r="D464" s="6"/>
      <c r="E464" s="6"/>
      <c r="F464" s="6"/>
      <c r="G464" s="6"/>
      <c r="H464" s="6"/>
      <c r="I464" s="6"/>
      <c r="J464" s="6"/>
      <c r="K464" s="6"/>
      <c r="L464" s="6"/>
      <c r="M464" s="6"/>
      <c r="N464" s="6"/>
      <c r="O464" s="6"/>
    </row>
    <row r="465" spans="1:15" x14ac:dyDescent="0.25">
      <c r="A465" s="6"/>
      <c r="B465" s="6"/>
      <c r="C465" s="6"/>
      <c r="D465" s="6"/>
      <c r="E465" s="6"/>
      <c r="F465" s="6"/>
      <c r="G465" s="6"/>
      <c r="H465" s="6"/>
      <c r="I465" s="6"/>
      <c r="J465" s="6"/>
      <c r="K465" s="6"/>
      <c r="L465" s="6"/>
      <c r="M465" s="6"/>
      <c r="N465" s="6"/>
      <c r="O465" s="6"/>
    </row>
    <row r="466" spans="1:15" x14ac:dyDescent="0.25">
      <c r="A466" s="6"/>
      <c r="B466" s="6"/>
      <c r="C466" s="6"/>
      <c r="D466" s="6"/>
      <c r="E466" s="6"/>
      <c r="F466" s="6"/>
      <c r="G466" s="6"/>
      <c r="H466" s="6"/>
      <c r="I466" s="6"/>
      <c r="J466" s="6"/>
      <c r="K466" s="6"/>
      <c r="L466" s="6"/>
      <c r="M466" s="6"/>
      <c r="N466" s="6"/>
      <c r="O466" s="6"/>
    </row>
    <row r="467" spans="1:15" x14ac:dyDescent="0.25">
      <c r="A467" s="6"/>
      <c r="B467" s="6"/>
      <c r="C467" s="6"/>
      <c r="D467" s="6"/>
      <c r="E467" s="6"/>
      <c r="F467" s="6"/>
      <c r="G467" s="6"/>
      <c r="H467" s="6"/>
      <c r="I467" s="6"/>
      <c r="J467" s="6"/>
      <c r="K467" s="6"/>
      <c r="L467" s="6"/>
      <c r="M467" s="6"/>
      <c r="N467" s="6"/>
      <c r="O467" s="6"/>
    </row>
    <row r="468" spans="1:15" x14ac:dyDescent="0.25">
      <c r="A468" s="6"/>
      <c r="B468" s="6"/>
      <c r="C468" s="6"/>
      <c r="D468" s="6"/>
      <c r="E468" s="6"/>
      <c r="F468" s="6"/>
      <c r="G468" s="6"/>
      <c r="H468" s="6"/>
      <c r="I468" s="6"/>
      <c r="J468" s="6"/>
      <c r="K468" s="6"/>
      <c r="L468" s="6"/>
      <c r="M468" s="6"/>
      <c r="N468" s="6"/>
      <c r="O468" s="6"/>
    </row>
    <row r="469" spans="1:15" x14ac:dyDescent="0.25">
      <c r="A469" s="6"/>
      <c r="B469" s="6"/>
      <c r="C469" s="6"/>
      <c r="D469" s="6"/>
      <c r="E469" s="6"/>
      <c r="F469" s="6"/>
      <c r="G469" s="6"/>
      <c r="H469" s="6"/>
      <c r="I469" s="6"/>
      <c r="J469" s="6"/>
      <c r="K469" s="6"/>
      <c r="L469" s="6"/>
      <c r="M469" s="6"/>
      <c r="N469" s="6"/>
      <c r="O469" s="6"/>
    </row>
    <row r="470" spans="1:15" x14ac:dyDescent="0.25">
      <c r="A470" s="6"/>
      <c r="B470" s="6"/>
      <c r="C470" s="6"/>
      <c r="D470" s="6"/>
      <c r="E470" s="6"/>
      <c r="F470" s="6"/>
      <c r="G470" s="6"/>
      <c r="H470" s="6"/>
      <c r="I470" s="6"/>
      <c r="J470" s="6"/>
      <c r="K470" s="6"/>
      <c r="L470" s="6"/>
      <c r="M470" s="6"/>
      <c r="N470" s="6"/>
      <c r="O470" s="6"/>
    </row>
    <row r="471" spans="1:15" x14ac:dyDescent="0.25">
      <c r="A471" s="6"/>
      <c r="B471" s="6"/>
      <c r="C471" s="6"/>
      <c r="D471" s="6"/>
      <c r="E471" s="6"/>
      <c r="F471" s="6"/>
      <c r="G471" s="6"/>
      <c r="H471" s="6"/>
      <c r="I471" s="6"/>
      <c r="J471" s="6"/>
      <c r="K471" s="6"/>
      <c r="L471" s="6"/>
      <c r="M471" s="6"/>
      <c r="N471" s="6"/>
      <c r="O471" s="6"/>
    </row>
    <row r="472" spans="1:15" x14ac:dyDescent="0.25">
      <c r="A472" s="6"/>
      <c r="B472" s="6"/>
      <c r="C472" s="6"/>
      <c r="D472" s="6"/>
      <c r="E472" s="6"/>
      <c r="F472" s="6"/>
      <c r="G472" s="6"/>
      <c r="H472" s="6"/>
      <c r="I472" s="6"/>
      <c r="J472" s="6"/>
      <c r="K472" s="6"/>
      <c r="L472" s="6"/>
      <c r="M472" s="6"/>
      <c r="N472" s="6"/>
      <c r="O472" s="6"/>
    </row>
    <row r="473" spans="1:15" x14ac:dyDescent="0.25">
      <c r="A473" s="6"/>
      <c r="B473" s="6"/>
      <c r="C473" s="6"/>
      <c r="D473" s="6"/>
      <c r="E473" s="6"/>
      <c r="F473" s="6"/>
      <c r="G473" s="6"/>
      <c r="H473" s="6"/>
      <c r="I473" s="6"/>
      <c r="J473" s="6"/>
      <c r="K473" s="6"/>
      <c r="L473" s="6"/>
      <c r="M473" s="6"/>
      <c r="N473" s="6"/>
      <c r="O473" s="6"/>
    </row>
    <row r="474" spans="1:15" x14ac:dyDescent="0.25">
      <c r="A474" s="6"/>
      <c r="B474" s="6"/>
      <c r="C474" s="6"/>
      <c r="D474" s="6"/>
      <c r="E474" s="6"/>
      <c r="F474" s="6"/>
      <c r="G474" s="6"/>
      <c r="H474" s="6"/>
      <c r="I474" s="6"/>
      <c r="J474" s="6"/>
      <c r="K474" s="6"/>
      <c r="L474" s="6"/>
      <c r="M474" s="6"/>
      <c r="N474" s="6"/>
      <c r="O474" s="6"/>
    </row>
    <row r="475" spans="1:15" x14ac:dyDescent="0.25">
      <c r="A475" s="6"/>
      <c r="B475" s="6"/>
      <c r="C475" s="6"/>
      <c r="D475" s="6"/>
      <c r="E475" s="6"/>
      <c r="F475" s="6"/>
      <c r="G475" s="6"/>
      <c r="H475" s="6"/>
      <c r="I475" s="6"/>
      <c r="J475" s="6"/>
      <c r="K475" s="6"/>
      <c r="L475" s="6"/>
      <c r="M475" s="6"/>
      <c r="N475" s="6"/>
      <c r="O475" s="6"/>
    </row>
    <row r="476" spans="1:15" x14ac:dyDescent="0.25">
      <c r="A476" s="6"/>
      <c r="B476" s="6"/>
      <c r="C476" s="6"/>
      <c r="D476" s="6"/>
      <c r="E476" s="6"/>
      <c r="F476" s="6"/>
      <c r="G476" s="6"/>
      <c r="H476" s="6"/>
      <c r="I476" s="6"/>
      <c r="J476" s="6"/>
      <c r="K476" s="6"/>
      <c r="L476" s="6"/>
      <c r="M476" s="6"/>
      <c r="N476" s="6"/>
      <c r="O476" s="6"/>
    </row>
    <row r="477" spans="1:15" x14ac:dyDescent="0.25">
      <c r="A477" s="6"/>
      <c r="B477" s="6"/>
      <c r="C477" s="6"/>
      <c r="D477" s="6"/>
      <c r="E477" s="6"/>
      <c r="F477" s="6"/>
      <c r="G477" s="6"/>
      <c r="H477" s="6"/>
      <c r="I477" s="6"/>
      <c r="J477" s="6"/>
      <c r="K477" s="6"/>
      <c r="L477" s="6"/>
      <c r="M477" s="6"/>
      <c r="N477" s="6"/>
      <c r="O477" s="6"/>
    </row>
    <row r="478" spans="1:15" x14ac:dyDescent="0.25">
      <c r="A478" s="6"/>
      <c r="B478" s="6"/>
      <c r="C478" s="6"/>
      <c r="D478" s="6"/>
      <c r="E478" s="6"/>
      <c r="F478" s="6"/>
      <c r="G478" s="6"/>
      <c r="H478" s="6"/>
      <c r="I478" s="6"/>
      <c r="J478" s="6"/>
      <c r="K478" s="6"/>
      <c r="L478" s="6"/>
      <c r="M478" s="6"/>
      <c r="N478" s="6"/>
      <c r="O478" s="6"/>
    </row>
    <row r="479" spans="1:15" x14ac:dyDescent="0.25">
      <c r="A479" s="6"/>
      <c r="B479" s="6"/>
      <c r="C479" s="6"/>
      <c r="D479" s="6"/>
      <c r="E479" s="6"/>
      <c r="F479" s="6"/>
      <c r="G479" s="6"/>
      <c r="H479" s="6"/>
      <c r="I479" s="6"/>
      <c r="J479" s="6"/>
      <c r="K479" s="6"/>
      <c r="L479" s="6"/>
      <c r="M479" s="6"/>
      <c r="N479" s="6"/>
      <c r="O479" s="6"/>
    </row>
    <row r="480" spans="1:15" x14ac:dyDescent="0.25">
      <c r="A480" s="6"/>
      <c r="B480" s="6"/>
      <c r="C480" s="6"/>
      <c r="D480" s="6"/>
      <c r="E480" s="6"/>
      <c r="F480" s="6"/>
      <c r="G480" s="6"/>
      <c r="H480" s="6"/>
      <c r="I480" s="6"/>
      <c r="J480" s="6"/>
      <c r="K480" s="6"/>
      <c r="L480" s="6"/>
      <c r="M480" s="6"/>
      <c r="N480" s="6"/>
      <c r="O480" s="6"/>
    </row>
    <row r="481" spans="1:15" x14ac:dyDescent="0.25">
      <c r="A481" s="6"/>
      <c r="B481" s="6"/>
      <c r="C481" s="6"/>
      <c r="D481" s="6"/>
      <c r="E481" s="6"/>
      <c r="F481" s="6"/>
      <c r="G481" s="6"/>
      <c r="H481" s="6"/>
      <c r="I481" s="6"/>
      <c r="J481" s="6"/>
      <c r="K481" s="6"/>
      <c r="L481" s="6"/>
      <c r="M481" s="6"/>
      <c r="N481" s="6"/>
      <c r="O481" s="6"/>
    </row>
    <row r="482" spans="1:15" x14ac:dyDescent="0.25">
      <c r="A482" s="6"/>
      <c r="B482" s="6"/>
      <c r="C482" s="6"/>
      <c r="D482" s="6"/>
      <c r="E482" s="6"/>
      <c r="F482" s="6"/>
      <c r="G482" s="6"/>
      <c r="H482" s="6"/>
      <c r="I482" s="6"/>
      <c r="J482" s="6"/>
      <c r="K482" s="6"/>
      <c r="L482" s="6"/>
      <c r="M482" s="6"/>
      <c r="N482" s="6"/>
      <c r="O482" s="6"/>
    </row>
    <row r="483" spans="1:15" x14ac:dyDescent="0.25">
      <c r="A483" s="6"/>
      <c r="B483" s="6"/>
      <c r="C483" s="6"/>
      <c r="D483" s="6"/>
      <c r="E483" s="6"/>
      <c r="F483" s="6"/>
      <c r="G483" s="6"/>
      <c r="H483" s="6"/>
      <c r="I483" s="6"/>
      <c r="J483" s="6"/>
      <c r="K483" s="6"/>
      <c r="L483" s="6"/>
      <c r="M483" s="6"/>
      <c r="N483" s="6"/>
      <c r="O483" s="6"/>
    </row>
    <row r="484" spans="1:15" x14ac:dyDescent="0.25">
      <c r="A484" s="6"/>
      <c r="B484" s="6"/>
      <c r="C484" s="6"/>
      <c r="D484" s="6"/>
      <c r="E484" s="6"/>
      <c r="F484" s="6"/>
      <c r="G484" s="6"/>
      <c r="H484" s="6"/>
      <c r="I484" s="6"/>
      <c r="J484" s="6"/>
      <c r="K484" s="6"/>
      <c r="L484" s="6"/>
      <c r="M484" s="6"/>
      <c r="N484" s="6"/>
      <c r="O484" s="6"/>
    </row>
    <row r="485" spans="1:15" x14ac:dyDescent="0.25">
      <c r="A485" s="6"/>
      <c r="B485" s="6"/>
      <c r="C485" s="6"/>
      <c r="D485" s="6"/>
      <c r="E485" s="6"/>
      <c r="F485" s="6"/>
      <c r="G485" s="6"/>
      <c r="H485" s="6"/>
      <c r="I485" s="6"/>
      <c r="J485" s="6"/>
      <c r="K485" s="6"/>
      <c r="L485" s="6"/>
      <c r="M485" s="6"/>
      <c r="N485" s="6"/>
      <c r="O485" s="6"/>
    </row>
    <row r="486" spans="1:15" x14ac:dyDescent="0.25">
      <c r="A486" s="6"/>
      <c r="B486" s="6"/>
      <c r="C486" s="6"/>
      <c r="D486" s="6"/>
      <c r="E486" s="6"/>
      <c r="F486" s="6"/>
      <c r="G486" s="6"/>
      <c r="H486" s="6"/>
      <c r="I486" s="6"/>
      <c r="J486" s="6"/>
      <c r="K486" s="6"/>
      <c r="L486" s="6"/>
      <c r="M486" s="6"/>
      <c r="N486" s="6"/>
      <c r="O486" s="6"/>
    </row>
    <row r="487" spans="1:15" x14ac:dyDescent="0.25">
      <c r="A487" s="6"/>
      <c r="B487" s="6"/>
      <c r="C487" s="6"/>
      <c r="D487" s="6"/>
      <c r="E487" s="6"/>
      <c r="F487" s="6"/>
      <c r="G487" s="6"/>
      <c r="H487" s="6"/>
      <c r="I487" s="6"/>
      <c r="J487" s="6"/>
      <c r="K487" s="6"/>
      <c r="L487" s="6"/>
      <c r="M487" s="6"/>
      <c r="N487" s="6"/>
      <c r="O487" s="6"/>
    </row>
    <row r="488" spans="1:15" x14ac:dyDescent="0.25">
      <c r="A488" s="6"/>
      <c r="B488" s="6"/>
      <c r="C488" s="6"/>
      <c r="D488" s="6"/>
      <c r="E488" s="6"/>
      <c r="F488" s="6"/>
      <c r="G488" s="6"/>
      <c r="H488" s="6"/>
      <c r="I488" s="6"/>
      <c r="J488" s="6"/>
      <c r="K488" s="6"/>
      <c r="L488" s="6"/>
      <c r="M488" s="6"/>
      <c r="N488" s="6"/>
      <c r="O488" s="6"/>
    </row>
    <row r="489" spans="1:15" x14ac:dyDescent="0.25">
      <c r="A489" s="6"/>
      <c r="B489" s="6"/>
      <c r="C489" s="6"/>
      <c r="D489" s="6"/>
      <c r="E489" s="6"/>
      <c r="F489" s="6"/>
      <c r="G489" s="6"/>
      <c r="H489" s="6"/>
      <c r="I489" s="6"/>
      <c r="J489" s="6"/>
      <c r="K489" s="6"/>
      <c r="L489" s="6"/>
      <c r="M489" s="6"/>
      <c r="N489" s="6"/>
      <c r="O489" s="6"/>
    </row>
    <row r="490" spans="1:15" x14ac:dyDescent="0.25">
      <c r="A490" s="6"/>
      <c r="B490" s="6"/>
      <c r="C490" s="6"/>
      <c r="D490" s="6"/>
      <c r="E490" s="6"/>
      <c r="F490" s="6"/>
      <c r="G490" s="6"/>
      <c r="H490" s="6"/>
      <c r="I490" s="6"/>
      <c r="J490" s="6"/>
      <c r="K490" s="6"/>
      <c r="L490" s="6"/>
      <c r="M490" s="6"/>
      <c r="N490" s="6"/>
      <c r="O490" s="6"/>
    </row>
    <row r="491" spans="1:15" x14ac:dyDescent="0.25">
      <c r="A491" s="6"/>
      <c r="B491" s="6"/>
      <c r="C491" s="6"/>
      <c r="D491" s="6"/>
      <c r="E491" s="6"/>
      <c r="F491" s="6"/>
      <c r="G491" s="6"/>
      <c r="H491" s="6"/>
      <c r="I491" s="6"/>
      <c r="J491" s="6"/>
      <c r="K491" s="6"/>
      <c r="L491" s="6"/>
      <c r="M491" s="6"/>
      <c r="N491" s="6"/>
      <c r="O491" s="6"/>
    </row>
    <row r="492" spans="1:15" x14ac:dyDescent="0.25">
      <c r="A492" s="6"/>
      <c r="B492" s="6"/>
      <c r="C492" s="6"/>
      <c r="D492" s="6"/>
      <c r="E492" s="6"/>
      <c r="F492" s="6"/>
      <c r="G492" s="6"/>
      <c r="H492" s="6"/>
      <c r="I492" s="6"/>
      <c r="J492" s="6"/>
      <c r="K492" s="6"/>
      <c r="L492" s="6"/>
      <c r="M492" s="6"/>
      <c r="N492" s="6"/>
      <c r="O492" s="6"/>
    </row>
    <row r="493" spans="1:15" x14ac:dyDescent="0.25">
      <c r="A493" s="6"/>
      <c r="B493" s="6"/>
      <c r="C493" s="6"/>
      <c r="D493" s="6"/>
      <c r="E493" s="6"/>
      <c r="F493" s="6"/>
      <c r="G493" s="6"/>
      <c r="H493" s="6"/>
      <c r="I493" s="6"/>
      <c r="J493" s="6"/>
      <c r="K493" s="6"/>
      <c r="L493" s="6"/>
      <c r="M493" s="6"/>
      <c r="N493" s="6"/>
      <c r="O493" s="6"/>
    </row>
    <row r="494" spans="1:15" x14ac:dyDescent="0.25">
      <c r="A494" s="6"/>
      <c r="B494" s="6"/>
      <c r="C494" s="6"/>
      <c r="D494" s="6"/>
      <c r="E494" s="6"/>
      <c r="F494" s="6"/>
      <c r="G494" s="6"/>
      <c r="H494" s="6"/>
      <c r="I494" s="6"/>
      <c r="J494" s="6"/>
      <c r="K494" s="6"/>
      <c r="L494" s="6"/>
      <c r="M494" s="6"/>
      <c r="N494" s="6"/>
      <c r="O494" s="6"/>
    </row>
    <row r="495" spans="1:15" x14ac:dyDescent="0.25">
      <c r="A495" s="6"/>
      <c r="B495" s="6"/>
      <c r="C495" s="6"/>
      <c r="D495" s="6"/>
      <c r="E495" s="6"/>
      <c r="F495" s="6"/>
      <c r="G495" s="6"/>
      <c r="H495" s="6"/>
      <c r="I495" s="6"/>
      <c r="J495" s="6"/>
      <c r="K495" s="6"/>
      <c r="L495" s="6"/>
      <c r="M495" s="6"/>
      <c r="N495" s="6"/>
      <c r="O495" s="6"/>
    </row>
    <row r="496" spans="1:15" x14ac:dyDescent="0.25">
      <c r="A496" s="6"/>
      <c r="B496" s="6"/>
      <c r="C496" s="6"/>
      <c r="D496" s="6"/>
      <c r="E496" s="6"/>
      <c r="F496" s="6"/>
      <c r="G496" s="6"/>
      <c r="H496" s="6"/>
      <c r="I496" s="6"/>
      <c r="J496" s="6"/>
      <c r="K496" s="6"/>
      <c r="L496" s="6"/>
      <c r="M496" s="6"/>
      <c r="N496" s="6"/>
      <c r="O496" s="6"/>
    </row>
    <row r="497" spans="1:15" x14ac:dyDescent="0.25">
      <c r="A497" s="6"/>
      <c r="B497" s="6"/>
      <c r="C497" s="6"/>
      <c r="D497" s="6"/>
      <c r="E497" s="6"/>
      <c r="F497" s="6"/>
      <c r="G497" s="6"/>
      <c r="H497" s="6"/>
      <c r="I497" s="6"/>
      <c r="J497" s="6"/>
      <c r="K497" s="6"/>
      <c r="L497" s="6"/>
      <c r="M497" s="6"/>
      <c r="N497" s="6"/>
      <c r="O497" s="6"/>
    </row>
    <row r="498" spans="1:15" x14ac:dyDescent="0.25">
      <c r="A498" s="6"/>
      <c r="B498" s="6"/>
      <c r="C498" s="6"/>
      <c r="D498" s="6"/>
      <c r="E498" s="6"/>
      <c r="F498" s="6"/>
      <c r="G498" s="6"/>
      <c r="H498" s="6"/>
      <c r="I498" s="6"/>
      <c r="J498" s="6"/>
      <c r="K498" s="6"/>
      <c r="L498" s="6"/>
      <c r="M498" s="6"/>
      <c r="N498" s="6"/>
      <c r="O498" s="6"/>
    </row>
    <row r="499" spans="1:15" x14ac:dyDescent="0.25">
      <c r="A499" s="6"/>
      <c r="B499" s="6"/>
      <c r="C499" s="6"/>
      <c r="D499" s="6"/>
      <c r="E499" s="6"/>
      <c r="F499" s="6"/>
      <c r="G499" s="6"/>
      <c r="H499" s="6"/>
      <c r="I499" s="6"/>
      <c r="J499" s="6"/>
      <c r="K499" s="6"/>
      <c r="L499" s="6"/>
      <c r="M499" s="6"/>
      <c r="N499" s="6"/>
      <c r="O499" s="6"/>
    </row>
    <row r="500" spans="1:15" x14ac:dyDescent="0.25">
      <c r="A500" s="6"/>
      <c r="B500" s="6"/>
      <c r="C500" s="6"/>
      <c r="D500" s="6"/>
      <c r="E500" s="6"/>
      <c r="F500" s="6"/>
      <c r="G500" s="6"/>
      <c r="H500" s="6"/>
      <c r="I500" s="6"/>
      <c r="J500" s="6"/>
      <c r="K500" s="6"/>
      <c r="L500" s="6"/>
      <c r="M500" s="6"/>
      <c r="N500" s="6"/>
      <c r="O500" s="6"/>
    </row>
    <row r="501" spans="1:15" x14ac:dyDescent="0.25">
      <c r="A501" s="6"/>
      <c r="B501" s="6"/>
      <c r="C501" s="6"/>
      <c r="D501" s="6"/>
      <c r="E501" s="6"/>
      <c r="F501" s="6"/>
      <c r="G501" s="6"/>
      <c r="H501" s="6"/>
      <c r="I501" s="6"/>
      <c r="J501" s="6"/>
      <c r="K501" s="6"/>
      <c r="L501" s="6"/>
      <c r="M501" s="6"/>
      <c r="N501" s="6"/>
      <c r="O501" s="6"/>
    </row>
    <row r="502" spans="1:15" x14ac:dyDescent="0.25">
      <c r="A502" s="6"/>
      <c r="B502" s="6"/>
      <c r="C502" s="6"/>
      <c r="D502" s="6"/>
      <c r="E502" s="6"/>
      <c r="F502" s="6"/>
      <c r="G502" s="6"/>
      <c r="H502" s="6"/>
      <c r="I502" s="6"/>
      <c r="J502" s="6"/>
      <c r="K502" s="6"/>
      <c r="L502" s="6"/>
      <c r="M502" s="6"/>
      <c r="N502" s="6"/>
      <c r="O502" s="6"/>
    </row>
    <row r="503" spans="1:15" x14ac:dyDescent="0.25">
      <c r="A503" s="6"/>
      <c r="B503" s="6"/>
      <c r="C503" s="6"/>
      <c r="D503" s="6"/>
      <c r="E503" s="6"/>
      <c r="F503" s="6"/>
      <c r="G503" s="6"/>
      <c r="H503" s="6"/>
      <c r="I503" s="6"/>
      <c r="J503" s="6"/>
      <c r="K503" s="6"/>
      <c r="L503" s="6"/>
      <c r="M503" s="6"/>
      <c r="N503" s="6"/>
      <c r="O503" s="6"/>
    </row>
    <row r="504" spans="1:15" x14ac:dyDescent="0.25">
      <c r="A504" s="6"/>
      <c r="B504" s="6"/>
      <c r="C504" s="6"/>
      <c r="D504" s="6"/>
      <c r="E504" s="6"/>
      <c r="F504" s="6"/>
      <c r="G504" s="6"/>
      <c r="H504" s="6"/>
      <c r="I504" s="6"/>
      <c r="J504" s="6"/>
      <c r="K504" s="6"/>
      <c r="L504" s="6"/>
      <c r="M504" s="6"/>
      <c r="N504" s="6"/>
      <c r="O504" s="6"/>
    </row>
    <row r="505" spans="1:15" x14ac:dyDescent="0.25">
      <c r="A505" s="6"/>
      <c r="B505" s="6"/>
      <c r="C505" s="6"/>
      <c r="D505" s="6"/>
      <c r="E505" s="6"/>
      <c r="F505" s="6"/>
      <c r="G505" s="6"/>
      <c r="H505" s="6"/>
      <c r="I505" s="6"/>
      <c r="J505" s="6"/>
      <c r="K505" s="6"/>
      <c r="L505" s="6"/>
      <c r="M505" s="6"/>
      <c r="N505" s="6"/>
      <c r="O505" s="6"/>
    </row>
    <row r="506" spans="1:15" x14ac:dyDescent="0.25">
      <c r="A506" s="6"/>
      <c r="B506" s="6"/>
      <c r="C506" s="6"/>
      <c r="D506" s="6"/>
      <c r="E506" s="6"/>
      <c r="F506" s="6"/>
      <c r="G506" s="6"/>
      <c r="H506" s="6"/>
      <c r="I506" s="6"/>
      <c r="J506" s="6"/>
      <c r="K506" s="6"/>
      <c r="L506" s="6"/>
      <c r="M506" s="6"/>
      <c r="N506" s="6"/>
      <c r="O506" s="6"/>
    </row>
    <row r="507" spans="1:15" x14ac:dyDescent="0.25">
      <c r="A507" s="6"/>
      <c r="B507" s="6"/>
      <c r="C507" s="6"/>
      <c r="D507" s="6"/>
      <c r="E507" s="6"/>
      <c r="F507" s="6"/>
      <c r="G507" s="6"/>
      <c r="H507" s="6"/>
      <c r="I507" s="6"/>
      <c r="J507" s="6"/>
      <c r="K507" s="6"/>
      <c r="L507" s="6"/>
      <c r="M507" s="6"/>
      <c r="N507" s="6"/>
      <c r="O507" s="6"/>
    </row>
    <row r="508" spans="1:15" x14ac:dyDescent="0.25">
      <c r="A508" s="6"/>
      <c r="B508" s="6"/>
      <c r="C508" s="6"/>
      <c r="D508" s="6"/>
      <c r="E508" s="6"/>
      <c r="F508" s="6"/>
      <c r="G508" s="6"/>
      <c r="H508" s="6"/>
      <c r="I508" s="6"/>
      <c r="J508" s="6"/>
      <c r="K508" s="6"/>
      <c r="L508" s="6"/>
      <c r="M508" s="6"/>
      <c r="N508" s="6"/>
      <c r="O508" s="6"/>
    </row>
    <row r="509" spans="1:15" x14ac:dyDescent="0.25">
      <c r="A509" s="6"/>
      <c r="B509" s="6"/>
      <c r="C509" s="6"/>
      <c r="D509" s="6"/>
      <c r="E509" s="6"/>
      <c r="F509" s="6"/>
      <c r="G509" s="6"/>
      <c r="H509" s="6"/>
      <c r="I509" s="6"/>
      <c r="J509" s="6"/>
      <c r="K509" s="6"/>
      <c r="L509" s="6"/>
      <c r="M509" s="6"/>
      <c r="N509" s="6"/>
      <c r="O509" s="6"/>
    </row>
    <row r="510" spans="1:15" x14ac:dyDescent="0.25">
      <c r="A510" s="6"/>
      <c r="B510" s="6"/>
      <c r="C510" s="6"/>
      <c r="D510" s="6"/>
      <c r="E510" s="6"/>
      <c r="F510" s="6"/>
      <c r="G510" s="6"/>
      <c r="H510" s="6"/>
      <c r="I510" s="6"/>
      <c r="J510" s="6"/>
      <c r="K510" s="6"/>
      <c r="L510" s="6"/>
      <c r="M510" s="6"/>
      <c r="N510" s="6"/>
      <c r="O510" s="6"/>
    </row>
    <row r="511" spans="1:15" x14ac:dyDescent="0.25">
      <c r="A511" s="6"/>
      <c r="B511" s="6"/>
      <c r="C511" s="6"/>
      <c r="D511" s="6"/>
      <c r="E511" s="6"/>
      <c r="F511" s="6"/>
      <c r="G511" s="6"/>
      <c r="H511" s="6"/>
      <c r="I511" s="6"/>
      <c r="J511" s="6"/>
      <c r="K511" s="6"/>
      <c r="L511" s="6"/>
      <c r="M511" s="6"/>
      <c r="N511" s="6"/>
      <c r="O511" s="6"/>
    </row>
    <row r="512" spans="1:15" x14ac:dyDescent="0.25">
      <c r="A512" s="6"/>
      <c r="B512" s="6"/>
      <c r="C512" s="6"/>
      <c r="D512" s="6"/>
      <c r="E512" s="6"/>
      <c r="F512" s="6"/>
      <c r="G512" s="6"/>
      <c r="H512" s="6"/>
      <c r="I512" s="6"/>
      <c r="J512" s="6"/>
      <c r="K512" s="6"/>
      <c r="L512" s="6"/>
      <c r="M512" s="6"/>
      <c r="N512" s="6"/>
      <c r="O512" s="6"/>
    </row>
    <row r="513" spans="1:15" x14ac:dyDescent="0.25">
      <c r="A513" s="6"/>
      <c r="B513" s="6"/>
      <c r="C513" s="6"/>
      <c r="D513" s="6"/>
      <c r="E513" s="6"/>
      <c r="F513" s="6"/>
      <c r="G513" s="6"/>
      <c r="H513" s="6"/>
      <c r="I513" s="6"/>
      <c r="J513" s="6"/>
      <c r="K513" s="6"/>
      <c r="L513" s="6"/>
      <c r="M513" s="6"/>
      <c r="N513" s="6"/>
      <c r="O513" s="6"/>
    </row>
    <row r="514" spans="1:15" x14ac:dyDescent="0.25">
      <c r="A514" s="6"/>
      <c r="B514" s="6"/>
      <c r="C514" s="6"/>
      <c r="D514" s="6"/>
      <c r="E514" s="6"/>
      <c r="F514" s="6"/>
      <c r="G514" s="6"/>
      <c r="H514" s="6"/>
      <c r="I514" s="6"/>
      <c r="J514" s="6"/>
      <c r="K514" s="6"/>
      <c r="L514" s="6"/>
      <c r="M514" s="6"/>
      <c r="N514" s="6"/>
      <c r="O514" s="6"/>
    </row>
    <row r="515" spans="1:15" x14ac:dyDescent="0.25">
      <c r="A515" s="6"/>
      <c r="B515" s="6"/>
      <c r="C515" s="6"/>
      <c r="D515" s="6"/>
      <c r="E515" s="6"/>
      <c r="F515" s="6"/>
      <c r="G515" s="6"/>
      <c r="H515" s="6"/>
      <c r="I515" s="6"/>
      <c r="J515" s="6"/>
      <c r="K515" s="6"/>
      <c r="L515" s="6"/>
      <c r="M515" s="6"/>
      <c r="N515" s="6"/>
      <c r="O515" s="6"/>
    </row>
    <row r="516" spans="1:15" x14ac:dyDescent="0.25">
      <c r="A516" s="6"/>
      <c r="B516" s="6"/>
      <c r="C516" s="6"/>
      <c r="D516" s="6"/>
      <c r="E516" s="6"/>
      <c r="F516" s="6"/>
      <c r="G516" s="6"/>
      <c r="H516" s="6"/>
      <c r="I516" s="6"/>
      <c r="J516" s="6"/>
      <c r="K516" s="6"/>
      <c r="L516" s="6"/>
      <c r="M516" s="6"/>
      <c r="N516" s="6"/>
      <c r="O516" s="6"/>
    </row>
    <row r="517" spans="1:15" x14ac:dyDescent="0.25">
      <c r="A517" s="6"/>
      <c r="B517" s="6"/>
      <c r="C517" s="6"/>
      <c r="D517" s="6"/>
      <c r="E517" s="6"/>
      <c r="F517" s="6"/>
      <c r="G517" s="6"/>
      <c r="H517" s="6"/>
      <c r="I517" s="6"/>
      <c r="J517" s="6"/>
      <c r="K517" s="6"/>
      <c r="L517" s="6"/>
      <c r="M517" s="6"/>
      <c r="N517" s="6"/>
      <c r="O517" s="6"/>
    </row>
    <row r="518" spans="1:15" x14ac:dyDescent="0.25">
      <c r="A518" s="6"/>
      <c r="B518" s="6"/>
      <c r="C518" s="6"/>
      <c r="D518" s="6"/>
      <c r="E518" s="6"/>
      <c r="F518" s="6"/>
      <c r="G518" s="6"/>
      <c r="H518" s="6"/>
      <c r="I518" s="6"/>
      <c r="J518" s="6"/>
      <c r="K518" s="6"/>
      <c r="L518" s="6"/>
      <c r="M518" s="6"/>
      <c r="N518" s="6"/>
      <c r="O518" s="6"/>
    </row>
    <row r="519" spans="1:15" x14ac:dyDescent="0.25">
      <c r="A519" s="6"/>
      <c r="B519" s="6"/>
      <c r="C519" s="6"/>
      <c r="D519" s="6"/>
      <c r="E519" s="6"/>
      <c r="F519" s="6"/>
      <c r="G519" s="6"/>
      <c r="H519" s="6"/>
      <c r="I519" s="6"/>
      <c r="J519" s="6"/>
      <c r="K519" s="6"/>
      <c r="L519" s="6"/>
      <c r="M519" s="6"/>
      <c r="N519" s="6"/>
      <c r="O519" s="6"/>
    </row>
    <row r="520" spans="1:15" x14ac:dyDescent="0.25">
      <c r="A520" s="6"/>
      <c r="B520" s="6"/>
      <c r="C520" s="6"/>
      <c r="D520" s="6"/>
      <c r="E520" s="6"/>
      <c r="F520" s="6"/>
      <c r="G520" s="6"/>
      <c r="H520" s="6"/>
      <c r="I520" s="6"/>
      <c r="J520" s="6"/>
      <c r="K520" s="6"/>
      <c r="L520" s="6"/>
      <c r="M520" s="6"/>
      <c r="N520" s="6"/>
      <c r="O520" s="6"/>
    </row>
    <row r="521" spans="1:15" x14ac:dyDescent="0.25">
      <c r="A521" s="6"/>
      <c r="B521" s="6"/>
      <c r="C521" s="6"/>
      <c r="D521" s="6"/>
      <c r="E521" s="6"/>
      <c r="F521" s="6"/>
      <c r="G521" s="6"/>
      <c r="H521" s="6"/>
      <c r="I521" s="6"/>
      <c r="J521" s="6"/>
      <c r="K521" s="6"/>
      <c r="L521" s="6"/>
      <c r="M521" s="6"/>
      <c r="N521" s="6"/>
      <c r="O521" s="6"/>
    </row>
    <row r="522" spans="1:15" x14ac:dyDescent="0.25">
      <c r="A522" s="6"/>
      <c r="B522" s="6"/>
      <c r="C522" s="6"/>
      <c r="D522" s="6"/>
      <c r="E522" s="6"/>
      <c r="F522" s="6"/>
      <c r="G522" s="6"/>
      <c r="H522" s="6"/>
      <c r="I522" s="6"/>
      <c r="J522" s="6"/>
      <c r="K522" s="6"/>
      <c r="L522" s="6"/>
      <c r="M522" s="6"/>
      <c r="N522" s="6"/>
      <c r="O522" s="6"/>
    </row>
    <row r="523" spans="1:15" x14ac:dyDescent="0.25">
      <c r="A523" s="6"/>
      <c r="B523" s="6"/>
      <c r="C523" s="6"/>
      <c r="D523" s="6"/>
      <c r="E523" s="6"/>
      <c r="F523" s="6"/>
      <c r="G523" s="6"/>
      <c r="H523" s="6"/>
      <c r="I523" s="6"/>
      <c r="J523" s="6"/>
      <c r="K523" s="6"/>
      <c r="L523" s="6"/>
      <c r="M523" s="6"/>
      <c r="N523" s="6"/>
      <c r="O523" s="6"/>
    </row>
    <row r="524" spans="1:15" x14ac:dyDescent="0.25">
      <c r="A524" s="6"/>
      <c r="B524" s="6"/>
      <c r="C524" s="6"/>
      <c r="D524" s="6"/>
      <c r="E524" s="6"/>
      <c r="F524" s="6"/>
      <c r="G524" s="6"/>
      <c r="H524" s="6"/>
      <c r="I524" s="6"/>
      <c r="J524" s="6"/>
      <c r="K524" s="6"/>
      <c r="L524" s="6"/>
      <c r="M524" s="6"/>
      <c r="N524" s="6"/>
      <c r="O524" s="6"/>
    </row>
    <row r="525" spans="1:15" x14ac:dyDescent="0.25">
      <c r="A525" s="6"/>
      <c r="B525" s="6"/>
      <c r="C525" s="6"/>
      <c r="D525" s="6"/>
      <c r="E525" s="6"/>
      <c r="F525" s="6"/>
      <c r="G525" s="6"/>
      <c r="H525" s="6"/>
      <c r="I525" s="6"/>
      <c r="J525" s="6"/>
      <c r="K525" s="6"/>
      <c r="L525" s="6"/>
      <c r="M525" s="6"/>
      <c r="N525" s="6"/>
      <c r="O525" s="6"/>
    </row>
    <row r="526" spans="1:15" x14ac:dyDescent="0.25">
      <c r="A526" s="6"/>
      <c r="B526" s="6"/>
      <c r="C526" s="6"/>
      <c r="D526" s="6"/>
      <c r="E526" s="6"/>
      <c r="F526" s="6"/>
      <c r="G526" s="6"/>
      <c r="H526" s="6"/>
      <c r="I526" s="6"/>
      <c r="J526" s="6"/>
      <c r="K526" s="6"/>
      <c r="L526" s="6"/>
      <c r="M526" s="6"/>
      <c r="N526" s="6"/>
      <c r="O526" s="6"/>
    </row>
    <row r="527" spans="1:15" x14ac:dyDescent="0.25">
      <c r="A527" s="6"/>
      <c r="B527" s="6"/>
      <c r="C527" s="6"/>
      <c r="D527" s="6"/>
      <c r="E527" s="6"/>
      <c r="F527" s="6"/>
      <c r="G527" s="6"/>
      <c r="H527" s="6"/>
      <c r="I527" s="6"/>
      <c r="J527" s="6"/>
      <c r="K527" s="6"/>
      <c r="L527" s="6"/>
      <c r="M527" s="6"/>
      <c r="N527" s="6"/>
      <c r="O527" s="6"/>
    </row>
    <row r="528" spans="1:15" x14ac:dyDescent="0.25">
      <c r="A528" s="6"/>
      <c r="B528" s="6"/>
      <c r="C528" s="6"/>
      <c r="D528" s="6"/>
      <c r="E528" s="6"/>
      <c r="F528" s="6"/>
      <c r="G528" s="6"/>
      <c r="H528" s="6"/>
      <c r="I528" s="6"/>
      <c r="J528" s="6"/>
      <c r="K528" s="6"/>
      <c r="L528" s="6"/>
      <c r="M528" s="6"/>
      <c r="N528" s="6"/>
      <c r="O528" s="6"/>
    </row>
    <row r="529" spans="1:15" x14ac:dyDescent="0.25">
      <c r="A529" s="6"/>
      <c r="B529" s="6"/>
      <c r="C529" s="6"/>
      <c r="D529" s="6"/>
      <c r="E529" s="6"/>
      <c r="F529" s="6"/>
      <c r="G529" s="6"/>
      <c r="H529" s="6"/>
      <c r="I529" s="6"/>
      <c r="J529" s="6"/>
      <c r="K529" s="6"/>
      <c r="L529" s="6"/>
      <c r="M529" s="6"/>
      <c r="N529" s="6"/>
      <c r="O529" s="6"/>
    </row>
    <row r="530" spans="1:15" x14ac:dyDescent="0.25">
      <c r="A530" s="6"/>
      <c r="B530" s="6"/>
      <c r="C530" s="6"/>
      <c r="D530" s="6"/>
      <c r="E530" s="6"/>
      <c r="F530" s="6"/>
      <c r="G530" s="6"/>
      <c r="H530" s="6"/>
      <c r="I530" s="6"/>
      <c r="J530" s="6"/>
      <c r="K530" s="6"/>
      <c r="L530" s="6"/>
      <c r="M530" s="6"/>
      <c r="N530" s="6"/>
      <c r="O530" s="6"/>
    </row>
    <row r="531" spans="1:15" x14ac:dyDescent="0.25">
      <c r="A531" s="6"/>
      <c r="B531" s="6"/>
      <c r="C531" s="6"/>
      <c r="D531" s="6"/>
      <c r="E531" s="6"/>
      <c r="F531" s="6"/>
      <c r="G531" s="6"/>
      <c r="H531" s="6"/>
      <c r="I531" s="6"/>
      <c r="J531" s="6"/>
      <c r="K531" s="6"/>
      <c r="L531" s="6"/>
      <c r="M531" s="6"/>
      <c r="N531" s="6"/>
      <c r="O531" s="6"/>
    </row>
    <row r="532" spans="1:15" x14ac:dyDescent="0.25">
      <c r="A532" s="6"/>
      <c r="B532" s="6"/>
      <c r="C532" s="6"/>
      <c r="D532" s="6"/>
      <c r="E532" s="6"/>
      <c r="F532" s="6"/>
      <c r="G532" s="6"/>
      <c r="H532" s="6"/>
      <c r="I532" s="6"/>
      <c r="J532" s="6"/>
      <c r="K532" s="6"/>
      <c r="L532" s="6"/>
      <c r="M532" s="6"/>
      <c r="N532" s="6"/>
      <c r="O532" s="6"/>
    </row>
    <row r="533" spans="1:15" x14ac:dyDescent="0.25">
      <c r="A533" s="6"/>
      <c r="B533" s="6"/>
      <c r="C533" s="6"/>
      <c r="D533" s="6"/>
      <c r="E533" s="6"/>
      <c r="F533" s="6"/>
      <c r="G533" s="6"/>
      <c r="H533" s="6"/>
      <c r="I533" s="6"/>
      <c r="J533" s="6"/>
      <c r="K533" s="6"/>
      <c r="L533" s="6"/>
      <c r="M533" s="6"/>
      <c r="N533" s="6"/>
      <c r="O533" s="6"/>
    </row>
    <row r="534" spans="1:15" x14ac:dyDescent="0.25">
      <c r="A534" s="6"/>
      <c r="B534" s="6"/>
      <c r="C534" s="6"/>
      <c r="D534" s="6"/>
      <c r="E534" s="6"/>
      <c r="F534" s="6"/>
      <c r="G534" s="6"/>
      <c r="H534" s="6"/>
      <c r="I534" s="6"/>
      <c r="J534" s="6"/>
      <c r="K534" s="6"/>
      <c r="L534" s="6"/>
      <c r="M534" s="6"/>
      <c r="N534" s="6"/>
      <c r="O534" s="6"/>
    </row>
    <row r="535" spans="1:15" x14ac:dyDescent="0.25">
      <c r="A535" s="6"/>
      <c r="B535" s="6"/>
      <c r="C535" s="6"/>
      <c r="D535" s="6"/>
      <c r="E535" s="6"/>
      <c r="F535" s="6"/>
      <c r="G535" s="6"/>
      <c r="H535" s="6"/>
      <c r="I535" s="6"/>
      <c r="J535" s="6"/>
      <c r="K535" s="6"/>
      <c r="L535" s="6"/>
      <c r="M535" s="6"/>
      <c r="N535" s="6"/>
      <c r="O535" s="6"/>
    </row>
    <row r="536" spans="1:15" x14ac:dyDescent="0.25">
      <c r="A536" s="6"/>
      <c r="B536" s="6"/>
      <c r="C536" s="6"/>
      <c r="D536" s="6"/>
      <c r="E536" s="6"/>
      <c r="F536" s="6"/>
      <c r="G536" s="6"/>
      <c r="H536" s="6"/>
      <c r="I536" s="6"/>
      <c r="J536" s="6"/>
      <c r="K536" s="6"/>
      <c r="L536" s="6"/>
      <c r="M536" s="6"/>
      <c r="N536" s="6"/>
      <c r="O536" s="6"/>
    </row>
    <row r="537" spans="1:15" x14ac:dyDescent="0.25">
      <c r="A537" s="6"/>
      <c r="B537" s="6"/>
      <c r="C537" s="6"/>
      <c r="D537" s="6"/>
      <c r="E537" s="6"/>
      <c r="F537" s="6"/>
      <c r="G537" s="6"/>
      <c r="H537" s="6"/>
      <c r="I537" s="6"/>
      <c r="J537" s="6"/>
      <c r="K537" s="6"/>
      <c r="L537" s="6"/>
      <c r="M537" s="6"/>
      <c r="N537" s="6"/>
      <c r="O537" s="6"/>
    </row>
    <row r="538" spans="1:15" x14ac:dyDescent="0.25">
      <c r="A538" s="6"/>
      <c r="B538" s="6"/>
      <c r="C538" s="6"/>
      <c r="D538" s="6"/>
      <c r="E538" s="6"/>
      <c r="F538" s="6"/>
      <c r="G538" s="6"/>
      <c r="H538" s="6"/>
      <c r="I538" s="6"/>
      <c r="J538" s="6"/>
      <c r="K538" s="6"/>
      <c r="L538" s="6"/>
      <c r="M538" s="6"/>
      <c r="N538" s="6"/>
      <c r="O538" s="6"/>
    </row>
    <row r="539" spans="1:15" x14ac:dyDescent="0.25">
      <c r="A539" s="6"/>
      <c r="B539" s="6"/>
      <c r="C539" s="6"/>
      <c r="D539" s="6"/>
      <c r="E539" s="6"/>
      <c r="F539" s="6"/>
      <c r="G539" s="6"/>
      <c r="H539" s="6"/>
      <c r="I539" s="6"/>
      <c r="J539" s="6"/>
      <c r="K539" s="6"/>
      <c r="L539" s="6"/>
      <c r="M539" s="6"/>
      <c r="N539" s="6"/>
      <c r="O539" s="6"/>
    </row>
    <row r="540" spans="1:15" x14ac:dyDescent="0.25">
      <c r="A540" s="6"/>
      <c r="B540" s="6"/>
      <c r="C540" s="6"/>
      <c r="D540" s="6"/>
      <c r="E540" s="6"/>
      <c r="F540" s="6"/>
      <c r="G540" s="6"/>
      <c r="H540" s="6"/>
      <c r="I540" s="6"/>
      <c r="J540" s="6"/>
      <c r="K540" s="6"/>
      <c r="L540" s="6"/>
      <c r="M540" s="6"/>
      <c r="N540" s="6"/>
      <c r="O540" s="6"/>
    </row>
    <row r="541" spans="1:15" x14ac:dyDescent="0.25">
      <c r="A541" s="6"/>
      <c r="B541" s="6"/>
      <c r="C541" s="6"/>
      <c r="D541" s="6"/>
      <c r="E541" s="6"/>
      <c r="F541" s="6"/>
      <c r="G541" s="6"/>
      <c r="H541" s="6"/>
      <c r="I541" s="6"/>
      <c r="J541" s="6"/>
      <c r="K541" s="6"/>
      <c r="L541" s="6"/>
      <c r="M541" s="6"/>
      <c r="N541" s="6"/>
      <c r="O541" s="6"/>
    </row>
    <row r="542" spans="1:15" x14ac:dyDescent="0.25">
      <c r="A542" s="6"/>
      <c r="B542" s="6"/>
      <c r="C542" s="6"/>
      <c r="D542" s="6"/>
      <c r="E542" s="6"/>
      <c r="F542" s="6"/>
      <c r="G542" s="6"/>
      <c r="H542" s="6"/>
      <c r="I542" s="6"/>
      <c r="J542" s="6"/>
      <c r="K542" s="6"/>
      <c r="L542" s="6"/>
      <c r="M542" s="6"/>
      <c r="N542" s="6"/>
      <c r="O542" s="6"/>
    </row>
    <row r="543" spans="1:15" x14ac:dyDescent="0.25">
      <c r="A543" s="6"/>
      <c r="B543" s="6"/>
      <c r="C543" s="6"/>
      <c r="D543" s="6"/>
      <c r="E543" s="6"/>
      <c r="F543" s="6"/>
      <c r="G543" s="6"/>
      <c r="H543" s="6"/>
      <c r="I543" s="6"/>
      <c r="J543" s="6"/>
      <c r="K543" s="6"/>
      <c r="L543" s="6"/>
      <c r="M543" s="6"/>
      <c r="N543" s="6"/>
      <c r="O543" s="6"/>
    </row>
    <row r="544" spans="1:15" x14ac:dyDescent="0.25">
      <c r="A544" s="6"/>
      <c r="B544" s="6"/>
      <c r="C544" s="6"/>
      <c r="D544" s="6"/>
      <c r="E544" s="6"/>
      <c r="F544" s="6"/>
      <c r="G544" s="6"/>
      <c r="H544" s="6"/>
      <c r="I544" s="6"/>
      <c r="J544" s="6"/>
      <c r="K544" s="6"/>
      <c r="L544" s="6"/>
      <c r="M544" s="6"/>
      <c r="N544" s="6"/>
      <c r="O544" s="6"/>
    </row>
    <row r="545" spans="1:15" x14ac:dyDescent="0.25">
      <c r="A545" s="6"/>
      <c r="B545" s="6"/>
      <c r="C545" s="6"/>
      <c r="D545" s="6"/>
      <c r="E545" s="6"/>
      <c r="F545" s="6"/>
      <c r="G545" s="6"/>
      <c r="H545" s="6"/>
      <c r="I545" s="6"/>
      <c r="J545" s="6"/>
      <c r="K545" s="6"/>
      <c r="L545" s="6"/>
      <c r="M545" s="6"/>
      <c r="N545" s="6"/>
      <c r="O545" s="6"/>
    </row>
    <row r="546" spans="1:15" x14ac:dyDescent="0.25">
      <c r="A546" s="6"/>
      <c r="B546" s="6"/>
      <c r="C546" s="6"/>
      <c r="D546" s="6"/>
      <c r="E546" s="6"/>
      <c r="F546" s="6"/>
      <c r="G546" s="6"/>
      <c r="H546" s="6"/>
      <c r="I546" s="6"/>
      <c r="J546" s="6"/>
      <c r="K546" s="6"/>
      <c r="L546" s="6"/>
      <c r="M546" s="6"/>
      <c r="N546" s="6"/>
      <c r="O546" s="6"/>
    </row>
    <row r="547" spans="1:15" x14ac:dyDescent="0.25">
      <c r="A547" s="6"/>
      <c r="B547" s="6"/>
      <c r="C547" s="6"/>
      <c r="D547" s="6"/>
      <c r="E547" s="6"/>
      <c r="F547" s="6"/>
      <c r="G547" s="6"/>
      <c r="H547" s="6"/>
      <c r="I547" s="6"/>
      <c r="J547" s="6"/>
      <c r="K547" s="6"/>
      <c r="L547" s="6"/>
      <c r="M547" s="6"/>
      <c r="N547" s="6"/>
      <c r="O547" s="6"/>
    </row>
    <row r="548" spans="1:15" x14ac:dyDescent="0.25">
      <c r="A548" s="6"/>
      <c r="B548" s="6"/>
      <c r="C548" s="6"/>
      <c r="D548" s="6"/>
      <c r="E548" s="6"/>
      <c r="F548" s="6"/>
      <c r="G548" s="6"/>
      <c r="H548" s="6"/>
      <c r="I548" s="6"/>
      <c r="J548" s="6"/>
      <c r="K548" s="6"/>
      <c r="L548" s="6"/>
      <c r="M548" s="6"/>
      <c r="N548" s="6"/>
      <c r="O548" s="6"/>
    </row>
    <row r="549" spans="1:15" x14ac:dyDescent="0.25">
      <c r="A549" s="6"/>
      <c r="B549" s="6"/>
      <c r="C549" s="6"/>
      <c r="D549" s="6"/>
      <c r="E549" s="6"/>
      <c r="F549" s="6"/>
      <c r="G549" s="6"/>
      <c r="H549" s="6"/>
      <c r="I549" s="6"/>
      <c r="J549" s="6"/>
      <c r="K549" s="6"/>
      <c r="L549" s="6"/>
      <c r="M549" s="6"/>
      <c r="N549" s="6"/>
      <c r="O549" s="6"/>
    </row>
    <row r="550" spans="1:15" x14ac:dyDescent="0.25">
      <c r="A550" s="6"/>
      <c r="B550" s="6"/>
      <c r="C550" s="6"/>
      <c r="D550" s="6"/>
      <c r="E550" s="6"/>
      <c r="F550" s="6"/>
      <c r="G550" s="6"/>
      <c r="H550" s="6"/>
      <c r="I550" s="6"/>
      <c r="J550" s="6"/>
      <c r="K550" s="6"/>
      <c r="L550" s="6"/>
      <c r="M550" s="6"/>
      <c r="N550" s="6"/>
      <c r="O550" s="6"/>
    </row>
    <row r="551" spans="1:15" x14ac:dyDescent="0.25">
      <c r="A551" s="6"/>
      <c r="B551" s="6"/>
      <c r="C551" s="6"/>
      <c r="D551" s="6"/>
      <c r="E551" s="6"/>
      <c r="F551" s="6"/>
      <c r="G551" s="6"/>
      <c r="H551" s="6"/>
      <c r="I551" s="6"/>
      <c r="J551" s="6"/>
      <c r="K551" s="6"/>
      <c r="L551" s="6"/>
      <c r="M551" s="6"/>
      <c r="N551" s="6"/>
      <c r="O551" s="6"/>
    </row>
    <row r="552" spans="1:15" x14ac:dyDescent="0.25">
      <c r="A552" s="6"/>
      <c r="B552" s="6"/>
      <c r="C552" s="6"/>
      <c r="D552" s="6"/>
      <c r="E552" s="6"/>
      <c r="F552" s="6"/>
      <c r="G552" s="6"/>
      <c r="H552" s="6"/>
      <c r="I552" s="6"/>
      <c r="J552" s="6"/>
      <c r="K552" s="6"/>
      <c r="L552" s="6"/>
      <c r="M552" s="6"/>
      <c r="N552" s="6"/>
      <c r="O552" s="6"/>
    </row>
    <row r="553" spans="1:15" x14ac:dyDescent="0.25">
      <c r="A553" s="6"/>
      <c r="B553" s="6"/>
      <c r="C553" s="6"/>
      <c r="D553" s="6"/>
      <c r="E553" s="6"/>
      <c r="F553" s="6"/>
      <c r="G553" s="6"/>
      <c r="H553" s="6"/>
      <c r="I553" s="6"/>
      <c r="J553" s="6"/>
      <c r="K553" s="6"/>
      <c r="L553" s="6"/>
      <c r="M553" s="6"/>
      <c r="N553" s="6"/>
      <c r="O553" s="6"/>
    </row>
    <row r="554" spans="1:15" x14ac:dyDescent="0.25">
      <c r="A554" s="6"/>
      <c r="B554" s="6"/>
      <c r="C554" s="6"/>
      <c r="D554" s="6"/>
      <c r="E554" s="6"/>
      <c r="F554" s="6"/>
      <c r="G554" s="6"/>
      <c r="H554" s="6"/>
      <c r="I554" s="6"/>
      <c r="J554" s="6"/>
      <c r="K554" s="6"/>
      <c r="L554" s="6"/>
      <c r="M554" s="6"/>
      <c r="N554" s="6"/>
      <c r="O554" s="6"/>
    </row>
    <row r="555" spans="1:15" x14ac:dyDescent="0.25">
      <c r="A555" s="6"/>
      <c r="B555" s="6"/>
      <c r="C555" s="6"/>
      <c r="D555" s="6"/>
      <c r="E555" s="6"/>
      <c r="F555" s="6"/>
      <c r="G555" s="6"/>
      <c r="H555" s="6"/>
      <c r="I555" s="6"/>
      <c r="J555" s="6"/>
      <c r="K555" s="6"/>
      <c r="L555" s="6"/>
      <c r="M555" s="6"/>
      <c r="N555" s="6"/>
      <c r="O555" s="6"/>
    </row>
    <row r="556" spans="1:15" x14ac:dyDescent="0.25">
      <c r="A556" s="6"/>
      <c r="B556" s="6"/>
      <c r="C556" s="6"/>
      <c r="D556" s="6"/>
      <c r="E556" s="6"/>
      <c r="F556" s="6"/>
      <c r="G556" s="6"/>
      <c r="H556" s="6"/>
      <c r="I556" s="6"/>
      <c r="J556" s="6"/>
      <c r="K556" s="6"/>
      <c r="L556" s="6"/>
      <c r="M556" s="6"/>
      <c r="N556" s="6"/>
      <c r="O556" s="6"/>
    </row>
    <row r="557" spans="1:15" x14ac:dyDescent="0.25">
      <c r="A557" s="6"/>
      <c r="B557" s="6"/>
      <c r="C557" s="6"/>
      <c r="D557" s="6"/>
      <c r="E557" s="6"/>
      <c r="F557" s="6"/>
      <c r="G557" s="6"/>
      <c r="H557" s="6"/>
      <c r="I557" s="6"/>
      <c r="J557" s="6"/>
      <c r="K557" s="6"/>
      <c r="L557" s="6"/>
      <c r="M557" s="6"/>
      <c r="N557" s="6"/>
      <c r="O557" s="6"/>
    </row>
    <row r="558" spans="1:15" x14ac:dyDescent="0.25">
      <c r="A558" s="6"/>
      <c r="B558" s="6"/>
      <c r="C558" s="6"/>
      <c r="D558" s="6"/>
      <c r="E558" s="6"/>
      <c r="F558" s="6"/>
      <c r="G558" s="6"/>
      <c r="H558" s="6"/>
      <c r="I558" s="6"/>
      <c r="J558" s="6"/>
      <c r="K558" s="6"/>
      <c r="L558" s="6"/>
      <c r="M558" s="6"/>
      <c r="N558" s="6"/>
      <c r="O558" s="6"/>
    </row>
    <row r="559" spans="1:15" x14ac:dyDescent="0.25">
      <c r="A559" s="6"/>
      <c r="B559" s="6"/>
      <c r="C559" s="6"/>
      <c r="D559" s="6"/>
      <c r="E559" s="6"/>
      <c r="F559" s="6"/>
      <c r="G559" s="6"/>
      <c r="H559" s="6"/>
      <c r="I559" s="6"/>
      <c r="J559" s="6"/>
      <c r="K559" s="6"/>
      <c r="L559" s="6"/>
      <c r="M559" s="6"/>
      <c r="N559" s="6"/>
      <c r="O559" s="6"/>
    </row>
    <row r="560" spans="1:15" x14ac:dyDescent="0.25">
      <c r="A560" s="6"/>
      <c r="B560" s="6"/>
      <c r="C560" s="6"/>
      <c r="D560" s="6"/>
      <c r="E560" s="6"/>
      <c r="F560" s="6"/>
      <c r="G560" s="6"/>
      <c r="H560" s="6"/>
      <c r="I560" s="6"/>
      <c r="J560" s="6"/>
      <c r="K560" s="6"/>
      <c r="L560" s="6"/>
      <c r="M560" s="6"/>
      <c r="N560" s="6"/>
      <c r="O560" s="6"/>
    </row>
    <row r="561" spans="1:15" x14ac:dyDescent="0.25">
      <c r="A561" s="6"/>
      <c r="B561" s="6"/>
      <c r="C561" s="6"/>
      <c r="D561" s="6"/>
      <c r="E561" s="6"/>
      <c r="F561" s="6"/>
      <c r="G561" s="6"/>
      <c r="H561" s="6"/>
      <c r="I561" s="6"/>
      <c r="J561" s="6"/>
      <c r="K561" s="6"/>
      <c r="L561" s="6"/>
      <c r="M561" s="6"/>
      <c r="N561" s="6"/>
      <c r="O561" s="6"/>
    </row>
    <row r="562" spans="1:15" x14ac:dyDescent="0.25">
      <c r="A562" s="6"/>
      <c r="B562" s="6"/>
      <c r="C562" s="6"/>
      <c r="D562" s="6"/>
      <c r="E562" s="6"/>
      <c r="F562" s="6"/>
      <c r="G562" s="6"/>
      <c r="H562" s="6"/>
      <c r="I562" s="6"/>
      <c r="J562" s="6"/>
      <c r="K562" s="6"/>
      <c r="L562" s="6"/>
      <c r="M562" s="6"/>
      <c r="N562" s="6"/>
      <c r="O562" s="6"/>
    </row>
    <row r="563" spans="1:15" x14ac:dyDescent="0.25">
      <c r="A563" s="6"/>
      <c r="B563" s="6"/>
      <c r="C563" s="6"/>
      <c r="D563" s="6"/>
      <c r="E563" s="6"/>
      <c r="F563" s="6"/>
      <c r="G563" s="6"/>
      <c r="H563" s="6"/>
      <c r="I563" s="6"/>
      <c r="J563" s="6"/>
      <c r="K563" s="6"/>
      <c r="L563" s="6"/>
      <c r="M563" s="6"/>
      <c r="N563" s="6"/>
      <c r="O563" s="6"/>
    </row>
    <row r="564" spans="1:15" x14ac:dyDescent="0.25">
      <c r="A564" s="6"/>
      <c r="B564" s="6"/>
      <c r="C564" s="6"/>
      <c r="D564" s="6"/>
      <c r="E564" s="6"/>
      <c r="F564" s="6"/>
      <c r="G564" s="6"/>
      <c r="H564" s="6"/>
      <c r="I564" s="6"/>
      <c r="J564" s="6"/>
      <c r="K564" s="6"/>
      <c r="L564" s="6"/>
      <c r="M564" s="6"/>
      <c r="N564" s="6"/>
      <c r="O564" s="6"/>
    </row>
    <row r="565" spans="1:15" x14ac:dyDescent="0.25">
      <c r="A565" s="6"/>
      <c r="B565" s="6"/>
      <c r="C565" s="6"/>
      <c r="D565" s="6"/>
      <c r="E565" s="6"/>
      <c r="F565" s="6"/>
      <c r="G565" s="6"/>
      <c r="H565" s="6"/>
      <c r="I565" s="6"/>
      <c r="J565" s="6"/>
      <c r="K565" s="6"/>
      <c r="L565" s="6"/>
      <c r="M565" s="6"/>
      <c r="N565" s="6"/>
      <c r="O565" s="6"/>
    </row>
    <row r="566" spans="1:15" x14ac:dyDescent="0.25">
      <c r="A566" s="6"/>
      <c r="B566" s="6"/>
      <c r="C566" s="6"/>
      <c r="D566" s="6"/>
      <c r="E566" s="6"/>
      <c r="F566" s="6"/>
      <c r="G566" s="6"/>
      <c r="H566" s="6"/>
      <c r="I566" s="6"/>
      <c r="J566" s="6"/>
      <c r="K566" s="6"/>
      <c r="L566" s="6"/>
      <c r="M566" s="6"/>
      <c r="N566" s="6"/>
      <c r="O566" s="6"/>
    </row>
    <row r="567" spans="1:15" x14ac:dyDescent="0.25">
      <c r="A567" s="6"/>
      <c r="B567" s="6"/>
      <c r="C567" s="6"/>
      <c r="D567" s="6"/>
      <c r="E567" s="6"/>
      <c r="F567" s="6"/>
      <c r="G567" s="6"/>
      <c r="H567" s="6"/>
      <c r="I567" s="6"/>
      <c r="J567" s="6"/>
      <c r="K567" s="6"/>
      <c r="L567" s="6"/>
      <c r="M567" s="6"/>
      <c r="N567" s="6"/>
      <c r="O567" s="6"/>
    </row>
    <row r="568" spans="1:15" x14ac:dyDescent="0.25">
      <c r="A568" s="6"/>
      <c r="B568" s="6"/>
      <c r="C568" s="6"/>
      <c r="D568" s="6"/>
      <c r="E568" s="6"/>
      <c r="F568" s="6"/>
      <c r="G568" s="6"/>
      <c r="H568" s="6"/>
      <c r="I568" s="6"/>
      <c r="J568" s="6"/>
      <c r="K568" s="6"/>
      <c r="L568" s="6"/>
      <c r="M568" s="6"/>
      <c r="N568" s="6"/>
      <c r="O568" s="6"/>
    </row>
    <row r="569" spans="1:15" x14ac:dyDescent="0.25">
      <c r="A569" s="6"/>
      <c r="B569" s="6"/>
      <c r="C569" s="6"/>
      <c r="D569" s="6"/>
      <c r="E569" s="6"/>
      <c r="F569" s="6"/>
      <c r="G569" s="6"/>
      <c r="H569" s="6"/>
      <c r="I569" s="6"/>
      <c r="J569" s="6"/>
      <c r="K569" s="6"/>
      <c r="L569" s="6"/>
      <c r="M569" s="6"/>
      <c r="N569" s="6"/>
      <c r="O569" s="6"/>
    </row>
    <row r="570" spans="1:15" x14ac:dyDescent="0.25">
      <c r="A570" s="6"/>
      <c r="B570" s="6"/>
      <c r="C570" s="6"/>
      <c r="D570" s="6"/>
      <c r="E570" s="6"/>
      <c r="F570" s="6"/>
      <c r="G570" s="6"/>
      <c r="H570" s="6"/>
      <c r="I570" s="6"/>
      <c r="J570" s="6"/>
      <c r="K570" s="6"/>
      <c r="L570" s="6"/>
      <c r="M570" s="6"/>
      <c r="N570" s="6"/>
      <c r="O570" s="6"/>
    </row>
    <row r="571" spans="1:15" x14ac:dyDescent="0.25">
      <c r="A571" s="6"/>
      <c r="B571" s="6"/>
      <c r="C571" s="6"/>
      <c r="D571" s="6"/>
      <c r="E571" s="6"/>
      <c r="F571" s="6"/>
      <c r="G571" s="6"/>
      <c r="H571" s="6"/>
      <c r="I571" s="6"/>
      <c r="J571" s="6"/>
      <c r="K571" s="6"/>
      <c r="L571" s="6"/>
      <c r="M571" s="6"/>
      <c r="N571" s="6"/>
      <c r="O571" s="6"/>
    </row>
    <row r="572" spans="1:15" x14ac:dyDescent="0.25">
      <c r="A572" s="6"/>
      <c r="B572" s="6"/>
      <c r="C572" s="6"/>
      <c r="D572" s="6"/>
      <c r="E572" s="6"/>
      <c r="F572" s="6"/>
      <c r="G572" s="6"/>
      <c r="H572" s="6"/>
      <c r="I572" s="6"/>
      <c r="J572" s="6"/>
      <c r="K572" s="6"/>
      <c r="L572" s="6"/>
      <c r="M572" s="6"/>
      <c r="N572" s="6"/>
      <c r="O572" s="6"/>
    </row>
    <row r="573" spans="1:15" x14ac:dyDescent="0.25">
      <c r="A573" s="6"/>
      <c r="B573" s="6"/>
      <c r="C573" s="6"/>
      <c r="D573" s="6"/>
      <c r="E573" s="6"/>
      <c r="F573" s="6"/>
      <c r="G573" s="6"/>
      <c r="H573" s="6"/>
      <c r="I573" s="6"/>
      <c r="J573" s="6"/>
      <c r="K573" s="6"/>
      <c r="L573" s="6"/>
      <c r="M573" s="6"/>
      <c r="N573" s="6"/>
      <c r="O573" s="6"/>
    </row>
    <row r="574" spans="1:15" x14ac:dyDescent="0.25">
      <c r="A574" s="6"/>
      <c r="B574" s="6"/>
      <c r="C574" s="6"/>
      <c r="D574" s="6"/>
      <c r="E574" s="6"/>
      <c r="F574" s="6"/>
      <c r="G574" s="6"/>
      <c r="H574" s="6"/>
      <c r="I574" s="6"/>
      <c r="J574" s="6"/>
      <c r="K574" s="6"/>
      <c r="L574" s="6"/>
      <c r="M574" s="6"/>
      <c r="N574" s="6"/>
      <c r="O574" s="6"/>
    </row>
    <row r="575" spans="1:15" x14ac:dyDescent="0.25">
      <c r="A575" s="6"/>
      <c r="B575" s="6"/>
      <c r="C575" s="6"/>
      <c r="D575" s="6"/>
      <c r="E575" s="6"/>
      <c r="F575" s="6"/>
      <c r="G575" s="6"/>
      <c r="H575" s="6"/>
      <c r="I575" s="6"/>
      <c r="J575" s="6"/>
      <c r="K575" s="6"/>
      <c r="L575" s="6"/>
      <c r="M575" s="6"/>
      <c r="N575" s="6"/>
      <c r="O575" s="6"/>
    </row>
    <row r="576" spans="1:15" x14ac:dyDescent="0.25">
      <c r="A576" s="6"/>
      <c r="B576" s="6"/>
      <c r="C576" s="6"/>
      <c r="D576" s="6"/>
      <c r="E576" s="6"/>
      <c r="F576" s="6"/>
      <c r="G576" s="6"/>
      <c r="H576" s="6"/>
      <c r="I576" s="6"/>
      <c r="J576" s="6"/>
      <c r="K576" s="6"/>
      <c r="L576" s="6"/>
      <c r="M576" s="6"/>
      <c r="N576" s="6"/>
      <c r="O576" s="6"/>
    </row>
    <row r="577" spans="1:15" x14ac:dyDescent="0.25">
      <c r="A577" s="6"/>
      <c r="B577" s="6"/>
      <c r="C577" s="6"/>
      <c r="D577" s="6"/>
      <c r="E577" s="6"/>
      <c r="F577" s="6"/>
      <c r="G577" s="6"/>
      <c r="H577" s="6"/>
      <c r="I577" s="6"/>
      <c r="J577" s="6"/>
      <c r="K577" s="6"/>
      <c r="L577" s="6"/>
      <c r="M577" s="6"/>
      <c r="N577" s="6"/>
      <c r="O577" s="6"/>
    </row>
    <row r="578" spans="1:15" x14ac:dyDescent="0.25">
      <c r="A578" s="6"/>
      <c r="B578" s="6"/>
      <c r="C578" s="6"/>
      <c r="D578" s="6"/>
      <c r="E578" s="6"/>
      <c r="F578" s="6"/>
      <c r="G578" s="6"/>
      <c r="H578" s="6"/>
      <c r="I578" s="6"/>
      <c r="J578" s="6"/>
      <c r="K578" s="6"/>
      <c r="L578" s="6"/>
      <c r="M578" s="6"/>
      <c r="N578" s="6"/>
      <c r="O578" s="6"/>
    </row>
    <row r="579" spans="1:15" x14ac:dyDescent="0.25">
      <c r="A579" s="6"/>
      <c r="B579" s="6"/>
      <c r="C579" s="6"/>
      <c r="D579" s="6"/>
      <c r="E579" s="6"/>
      <c r="F579" s="6"/>
      <c r="G579" s="6"/>
      <c r="H579" s="6"/>
      <c r="I579" s="6"/>
      <c r="J579" s="6"/>
      <c r="K579" s="6"/>
      <c r="L579" s="6"/>
      <c r="M579" s="6"/>
      <c r="N579" s="6"/>
      <c r="O579" s="6"/>
    </row>
    <row r="580" spans="1:15" x14ac:dyDescent="0.25">
      <c r="A580" s="6"/>
      <c r="B580" s="6"/>
      <c r="C580" s="6"/>
      <c r="D580" s="6"/>
      <c r="E580" s="6"/>
      <c r="F580" s="6"/>
      <c r="G580" s="6"/>
      <c r="H580" s="6"/>
      <c r="I580" s="6"/>
      <c r="J580" s="6"/>
      <c r="K580" s="6"/>
      <c r="L580" s="6"/>
      <c r="M580" s="6"/>
      <c r="N580" s="6"/>
      <c r="O580" s="6"/>
    </row>
    <row r="581" spans="1:15" x14ac:dyDescent="0.25">
      <c r="A581" s="6"/>
      <c r="B581" s="6"/>
      <c r="C581" s="6"/>
      <c r="D581" s="6"/>
      <c r="E581" s="6"/>
      <c r="F581" s="6"/>
      <c r="G581" s="6"/>
      <c r="H581" s="6"/>
      <c r="I581" s="6"/>
      <c r="J581" s="6"/>
      <c r="K581" s="6"/>
      <c r="L581" s="6"/>
      <c r="M581" s="6"/>
      <c r="N581" s="6"/>
      <c r="O581" s="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324"/>
  <sheetViews>
    <sheetView workbookViewId="0"/>
  </sheetViews>
  <sheetFormatPr defaultRowHeight="15" x14ac:dyDescent="0.25"/>
  <cols>
    <col min="2" max="2" width="14.28515625" customWidth="1"/>
    <col min="3" max="3" width="29" customWidth="1"/>
    <col min="4" max="4" width="20.7109375" customWidth="1"/>
    <col min="5" max="5" width="31.42578125" customWidth="1"/>
    <col min="6" max="6" width="22.5703125" customWidth="1"/>
    <col min="7" max="7" width="35.85546875" customWidth="1"/>
    <col min="9" max="9" width="15" customWidth="1"/>
    <col min="10" max="10" width="31.7109375" customWidth="1"/>
  </cols>
  <sheetData>
    <row r="1" spans="1:17" ht="36.75" x14ac:dyDescent="0.25">
      <c r="A1" s="9" t="s">
        <v>0</v>
      </c>
      <c r="B1" s="10" t="s">
        <v>1</v>
      </c>
      <c r="C1" s="9" t="s">
        <v>2</v>
      </c>
      <c r="D1" s="9" t="s">
        <v>3</v>
      </c>
      <c r="E1" s="9" t="s">
        <v>4</v>
      </c>
      <c r="F1" s="9" t="s">
        <v>5</v>
      </c>
      <c r="G1" s="9" t="s">
        <v>6</v>
      </c>
      <c r="H1" s="9" t="s">
        <v>7</v>
      </c>
      <c r="I1" s="9" t="s">
        <v>8</v>
      </c>
      <c r="J1" s="9" t="s">
        <v>9</v>
      </c>
      <c r="K1" s="9" t="s">
        <v>10</v>
      </c>
      <c r="L1" s="9" t="s">
        <v>11</v>
      </c>
      <c r="M1" s="9" t="s">
        <v>12</v>
      </c>
      <c r="N1" s="9" t="s">
        <v>13</v>
      </c>
      <c r="O1" s="9" t="s">
        <v>14</v>
      </c>
      <c r="P1" s="9" t="s">
        <v>15</v>
      </c>
      <c r="Q1" s="28" t="s">
        <v>16</v>
      </c>
    </row>
    <row r="2" spans="1:17" ht="120" x14ac:dyDescent="0.25">
      <c r="A2" s="14"/>
      <c r="B2" s="14"/>
      <c r="C2" s="12" t="s">
        <v>94</v>
      </c>
      <c r="D2" s="13" t="s">
        <v>39</v>
      </c>
      <c r="E2" s="13" t="s">
        <v>67</v>
      </c>
      <c r="F2" s="29" t="s">
        <v>17</v>
      </c>
      <c r="G2" s="13" t="s">
        <v>599</v>
      </c>
      <c r="H2" s="14"/>
      <c r="I2" s="15"/>
      <c r="J2" s="15" t="s">
        <v>80</v>
      </c>
      <c r="K2" s="14"/>
      <c r="L2" s="14"/>
      <c r="M2" s="14"/>
      <c r="N2" s="14"/>
      <c r="O2" s="14"/>
      <c r="P2" s="14"/>
      <c r="Q2" s="11"/>
    </row>
    <row r="3" spans="1:17" ht="108" x14ac:dyDescent="0.25">
      <c r="A3" s="14"/>
      <c r="B3" s="14"/>
      <c r="C3" s="12" t="s">
        <v>94</v>
      </c>
      <c r="D3" s="15"/>
      <c r="E3" s="15"/>
      <c r="F3" s="16" t="s">
        <v>19</v>
      </c>
      <c r="G3" s="13" t="s">
        <v>600</v>
      </c>
      <c r="H3" s="14"/>
      <c r="I3" s="15"/>
      <c r="J3" s="15" t="s">
        <v>80</v>
      </c>
      <c r="K3" s="14"/>
      <c r="L3" s="14"/>
      <c r="M3" s="14"/>
      <c r="N3" s="14"/>
      <c r="O3" s="14"/>
      <c r="P3" s="14"/>
      <c r="Q3" s="11"/>
    </row>
    <row r="4" spans="1:17" ht="24" x14ac:dyDescent="0.25">
      <c r="A4" s="14"/>
      <c r="B4" s="14"/>
      <c r="C4" s="12" t="s">
        <v>94</v>
      </c>
      <c r="D4" s="15"/>
      <c r="E4" s="15"/>
      <c r="F4" s="16" t="s">
        <v>26</v>
      </c>
      <c r="G4" s="17" t="s">
        <v>18</v>
      </c>
      <c r="H4" s="15"/>
      <c r="I4" s="15"/>
      <c r="J4" s="17" t="s">
        <v>20</v>
      </c>
      <c r="K4" s="14"/>
      <c r="L4" s="14"/>
      <c r="M4" s="14"/>
      <c r="N4" s="14"/>
      <c r="O4" s="14"/>
      <c r="P4" s="14"/>
      <c r="Q4" s="11"/>
    </row>
    <row r="5" spans="1:17" ht="36" x14ac:dyDescent="0.25">
      <c r="A5" s="14"/>
      <c r="B5" s="14"/>
      <c r="C5" s="12" t="s">
        <v>94</v>
      </c>
      <c r="D5" s="15"/>
      <c r="E5" s="15"/>
      <c r="F5" s="16" t="s">
        <v>28</v>
      </c>
      <c r="G5" s="17" t="s">
        <v>21</v>
      </c>
      <c r="H5" s="15"/>
      <c r="I5" s="15"/>
      <c r="J5" s="17" t="s">
        <v>22</v>
      </c>
      <c r="K5" s="14"/>
      <c r="L5" s="14"/>
      <c r="M5" s="14"/>
      <c r="N5" s="14"/>
      <c r="O5" s="14"/>
      <c r="P5" s="14"/>
      <c r="Q5" s="11"/>
    </row>
    <row r="6" spans="1:17" ht="48" x14ac:dyDescent="0.25">
      <c r="A6" s="14"/>
      <c r="B6" s="14"/>
      <c r="C6" s="12" t="s">
        <v>94</v>
      </c>
      <c r="D6" s="15"/>
      <c r="E6" s="15"/>
      <c r="F6" s="16" t="s">
        <v>29</v>
      </c>
      <c r="G6" s="17" t="s">
        <v>23</v>
      </c>
      <c r="H6" s="15"/>
      <c r="I6" s="15"/>
      <c r="J6" s="17" t="s">
        <v>41</v>
      </c>
      <c r="K6" s="14"/>
      <c r="L6" s="14"/>
      <c r="M6" s="14"/>
      <c r="N6" s="14"/>
      <c r="O6" s="14"/>
      <c r="P6" s="14"/>
      <c r="Q6" s="11"/>
    </row>
    <row r="7" spans="1:17" ht="24" x14ac:dyDescent="0.25">
      <c r="A7" s="14"/>
      <c r="B7" s="14"/>
      <c r="C7" s="12" t="s">
        <v>94</v>
      </c>
      <c r="D7" s="15"/>
      <c r="E7" s="15"/>
      <c r="F7" s="18" t="s">
        <v>30</v>
      </c>
      <c r="G7" s="18" t="s">
        <v>43</v>
      </c>
      <c r="H7" s="18"/>
      <c r="I7" s="18"/>
      <c r="J7" s="12" t="s">
        <v>44</v>
      </c>
      <c r="K7" s="14"/>
      <c r="L7" s="14"/>
      <c r="M7" s="14"/>
      <c r="N7" s="14"/>
      <c r="O7" s="14"/>
      <c r="P7" s="14"/>
      <c r="Q7" s="11"/>
    </row>
    <row r="8" spans="1:17" ht="24" x14ac:dyDescent="0.25">
      <c r="A8" s="14"/>
      <c r="B8" s="14"/>
      <c r="C8" s="12" t="s">
        <v>94</v>
      </c>
      <c r="D8" s="15"/>
      <c r="E8" s="15"/>
      <c r="F8" s="18" t="s">
        <v>31</v>
      </c>
      <c r="G8" s="16" t="s">
        <v>25</v>
      </c>
      <c r="H8" s="16"/>
      <c r="I8" s="16"/>
      <c r="J8" s="16" t="s">
        <v>27</v>
      </c>
      <c r="K8" s="14"/>
      <c r="L8" s="14"/>
      <c r="M8" s="14"/>
      <c r="N8" s="14"/>
      <c r="O8" s="14"/>
      <c r="P8" s="14"/>
      <c r="Q8" s="11"/>
    </row>
    <row r="9" spans="1:17" ht="132" x14ac:dyDescent="0.25">
      <c r="A9" s="14"/>
      <c r="B9" s="14"/>
      <c r="C9" s="12" t="s">
        <v>94</v>
      </c>
      <c r="D9" s="15"/>
      <c r="E9" s="15"/>
      <c r="F9" s="18" t="s">
        <v>32</v>
      </c>
      <c r="G9" s="13" t="s">
        <v>572</v>
      </c>
      <c r="H9" s="14"/>
      <c r="I9" s="13" t="s">
        <v>75</v>
      </c>
      <c r="J9" s="13" t="s">
        <v>68</v>
      </c>
      <c r="K9" s="30"/>
      <c r="L9" s="14"/>
      <c r="M9" s="14"/>
      <c r="N9" s="14"/>
      <c r="O9" s="14"/>
      <c r="P9" s="14"/>
      <c r="Q9" s="11"/>
    </row>
    <row r="10" spans="1:17" ht="156" x14ac:dyDescent="0.25">
      <c r="A10" s="6"/>
      <c r="B10" s="6"/>
      <c r="C10" s="64" t="s">
        <v>259</v>
      </c>
      <c r="D10" s="13" t="s">
        <v>54</v>
      </c>
      <c r="E10" s="13" t="s">
        <v>260</v>
      </c>
      <c r="F10" s="29" t="s">
        <v>17</v>
      </c>
      <c r="G10" s="13" t="s">
        <v>601</v>
      </c>
      <c r="H10" s="14"/>
      <c r="I10" s="15"/>
      <c r="J10" s="15" t="s">
        <v>80</v>
      </c>
      <c r="K10" s="31"/>
      <c r="L10" s="6"/>
      <c r="M10" s="6"/>
      <c r="N10" s="6"/>
      <c r="O10" s="6"/>
      <c r="P10" s="6"/>
    </row>
    <row r="11" spans="1:17" ht="24" x14ac:dyDescent="0.25">
      <c r="A11" s="6"/>
      <c r="B11" s="6"/>
      <c r="C11" s="12" t="s">
        <v>259</v>
      </c>
      <c r="D11" s="15"/>
      <c r="E11" s="15"/>
      <c r="F11" s="16" t="s">
        <v>19</v>
      </c>
      <c r="G11" s="17" t="s">
        <v>18</v>
      </c>
      <c r="H11" s="15"/>
      <c r="I11" s="15"/>
      <c r="J11" s="17" t="s">
        <v>20</v>
      </c>
    </row>
    <row r="12" spans="1:17" ht="36" x14ac:dyDescent="0.25">
      <c r="A12" s="6"/>
      <c r="B12" s="6"/>
      <c r="C12" s="12" t="s">
        <v>259</v>
      </c>
      <c r="D12" s="15"/>
      <c r="E12" s="15"/>
      <c r="F12" s="16" t="s">
        <v>26</v>
      </c>
      <c r="G12" s="17" t="s">
        <v>21</v>
      </c>
      <c r="H12" s="15"/>
      <c r="I12" s="15"/>
      <c r="J12" s="17" t="s">
        <v>22</v>
      </c>
    </row>
    <row r="13" spans="1:17" ht="51" x14ac:dyDescent="0.25">
      <c r="A13" s="6"/>
      <c r="B13" s="6"/>
      <c r="C13" s="12" t="s">
        <v>259</v>
      </c>
      <c r="D13" s="15"/>
      <c r="E13" s="15"/>
      <c r="F13" s="16" t="s">
        <v>28</v>
      </c>
      <c r="G13" s="26" t="s">
        <v>23</v>
      </c>
      <c r="H13" s="24"/>
      <c r="I13" s="24"/>
      <c r="J13" s="26" t="s">
        <v>41</v>
      </c>
    </row>
    <row r="14" spans="1:17" ht="25.5" x14ac:dyDescent="0.25">
      <c r="A14" s="6"/>
      <c r="B14" s="6"/>
      <c r="C14" s="12" t="s">
        <v>259</v>
      </c>
      <c r="D14" s="15"/>
      <c r="E14" s="15"/>
      <c r="F14" s="16" t="s">
        <v>29</v>
      </c>
      <c r="G14" s="27" t="s">
        <v>76</v>
      </c>
      <c r="H14" s="27"/>
      <c r="I14" s="27"/>
      <c r="J14" s="21" t="s">
        <v>44</v>
      </c>
    </row>
    <row r="15" spans="1:17" ht="25.5" x14ac:dyDescent="0.25">
      <c r="A15" s="6"/>
      <c r="B15" s="6"/>
      <c r="C15" s="12" t="s">
        <v>259</v>
      </c>
      <c r="D15" s="15"/>
      <c r="E15" s="15"/>
      <c r="F15" s="16" t="s">
        <v>30</v>
      </c>
      <c r="G15" s="25" t="s">
        <v>25</v>
      </c>
      <c r="H15" s="25"/>
      <c r="I15" s="25"/>
      <c r="J15" s="25" t="s">
        <v>27</v>
      </c>
    </row>
    <row r="16" spans="1:17" ht="25.5" x14ac:dyDescent="0.25">
      <c r="A16" s="6"/>
      <c r="B16" s="6"/>
      <c r="C16" s="12" t="s">
        <v>259</v>
      </c>
      <c r="D16" s="15"/>
      <c r="E16" s="15"/>
      <c r="F16" s="16" t="s">
        <v>31</v>
      </c>
      <c r="G16" s="25" t="s">
        <v>45</v>
      </c>
      <c r="H16" s="25"/>
      <c r="I16" s="24"/>
      <c r="J16" s="25" t="s">
        <v>42</v>
      </c>
    </row>
    <row r="17" spans="1:10" ht="89.25" x14ac:dyDescent="0.25">
      <c r="A17" s="6"/>
      <c r="B17" s="6"/>
      <c r="C17" s="12" t="s">
        <v>259</v>
      </c>
      <c r="D17" s="6"/>
      <c r="E17" s="6"/>
      <c r="F17" s="16" t="s">
        <v>32</v>
      </c>
      <c r="G17" s="21" t="s">
        <v>602</v>
      </c>
      <c r="H17" s="27"/>
      <c r="I17" s="21" t="s">
        <v>78</v>
      </c>
      <c r="J17" s="21" t="s">
        <v>261</v>
      </c>
    </row>
    <row r="18" spans="1:10" ht="60.75" x14ac:dyDescent="0.25">
      <c r="A18" s="6"/>
      <c r="B18" s="6"/>
      <c r="C18" s="37" t="s">
        <v>537</v>
      </c>
      <c r="D18" s="37" t="s">
        <v>323</v>
      </c>
      <c r="E18" s="37" t="s">
        <v>324</v>
      </c>
      <c r="F18" s="38" t="s">
        <v>281</v>
      </c>
      <c r="G18" s="37" t="s">
        <v>325</v>
      </c>
      <c r="H18" s="39"/>
      <c r="I18" s="37" t="s">
        <v>326</v>
      </c>
      <c r="J18" s="37" t="s">
        <v>80</v>
      </c>
    </row>
    <row r="19" spans="1:10" ht="24.75" x14ac:dyDescent="0.25">
      <c r="A19" s="6"/>
      <c r="B19" s="6"/>
      <c r="C19" s="37" t="s">
        <v>537</v>
      </c>
      <c r="D19" s="39"/>
      <c r="E19" s="39"/>
      <c r="F19" s="37" t="s">
        <v>282</v>
      </c>
      <c r="G19" s="37" t="s">
        <v>265</v>
      </c>
      <c r="H19" s="39"/>
      <c r="I19" s="39"/>
      <c r="J19" s="37" t="s">
        <v>266</v>
      </c>
    </row>
    <row r="20" spans="1:10" ht="24.75" x14ac:dyDescent="0.25">
      <c r="A20" s="6"/>
      <c r="B20" s="6"/>
      <c r="C20" s="37" t="s">
        <v>537</v>
      </c>
      <c r="D20" s="39"/>
      <c r="E20" s="39"/>
      <c r="F20" s="37" t="s">
        <v>283</v>
      </c>
      <c r="G20" s="39" t="s">
        <v>267</v>
      </c>
      <c r="H20" s="39"/>
      <c r="I20" s="39"/>
      <c r="J20" s="37" t="s">
        <v>27</v>
      </c>
    </row>
    <row r="21" spans="1:10" ht="60.75" x14ac:dyDescent="0.25">
      <c r="A21" s="6"/>
      <c r="B21" s="6"/>
      <c r="C21" s="37" t="s">
        <v>537</v>
      </c>
      <c r="D21" s="39"/>
      <c r="E21" s="39"/>
      <c r="F21" s="37" t="s">
        <v>285</v>
      </c>
      <c r="G21" s="37" t="s">
        <v>327</v>
      </c>
      <c r="H21" s="39"/>
      <c r="I21" s="37" t="s">
        <v>328</v>
      </c>
      <c r="J21" s="40" t="s">
        <v>329</v>
      </c>
    </row>
    <row r="22" spans="1:10" ht="72.75" x14ac:dyDescent="0.25">
      <c r="A22" s="6"/>
      <c r="B22" s="6"/>
      <c r="C22" s="37" t="s">
        <v>537</v>
      </c>
      <c r="D22" s="39"/>
      <c r="E22" s="39"/>
      <c r="F22" s="37" t="s">
        <v>289</v>
      </c>
      <c r="G22" s="40" t="s">
        <v>330</v>
      </c>
      <c r="H22" s="39"/>
      <c r="I22" s="37" t="s">
        <v>331</v>
      </c>
      <c r="J22" s="40" t="s">
        <v>332</v>
      </c>
    </row>
    <row r="23" spans="1:10" ht="60.75" x14ac:dyDescent="0.25">
      <c r="A23" s="6"/>
      <c r="B23" s="6"/>
      <c r="C23" s="37" t="s">
        <v>538</v>
      </c>
      <c r="D23" s="37" t="s">
        <v>323</v>
      </c>
      <c r="E23" s="37" t="s">
        <v>333</v>
      </c>
      <c r="F23" s="38" t="s">
        <v>281</v>
      </c>
      <c r="G23" s="37" t="s">
        <v>334</v>
      </c>
      <c r="H23" s="39"/>
      <c r="I23" s="37" t="s">
        <v>326</v>
      </c>
      <c r="J23" s="37" t="s">
        <v>80</v>
      </c>
    </row>
    <row r="24" spans="1:10" ht="24.75" x14ac:dyDescent="0.25">
      <c r="A24" s="6"/>
      <c r="B24" s="6"/>
      <c r="C24" s="37" t="s">
        <v>538</v>
      </c>
      <c r="D24" s="39"/>
      <c r="E24" s="39"/>
      <c r="F24" s="37" t="s">
        <v>282</v>
      </c>
      <c r="G24" s="37" t="s">
        <v>265</v>
      </c>
      <c r="H24" s="39"/>
      <c r="I24" s="39"/>
      <c r="J24" s="37" t="s">
        <v>266</v>
      </c>
    </row>
    <row r="25" spans="1:10" ht="24.75" x14ac:dyDescent="0.25">
      <c r="A25" s="6"/>
      <c r="B25" s="6"/>
      <c r="C25" s="37" t="s">
        <v>538</v>
      </c>
      <c r="D25" s="39"/>
      <c r="E25" s="39"/>
      <c r="F25" s="37" t="s">
        <v>283</v>
      </c>
      <c r="G25" s="39" t="s">
        <v>267</v>
      </c>
      <c r="H25" s="39"/>
      <c r="I25" s="39"/>
      <c r="J25" s="37" t="s">
        <v>27</v>
      </c>
    </row>
    <row r="26" spans="1:10" ht="60.75" x14ac:dyDescent="0.25">
      <c r="A26" s="6"/>
      <c r="B26" s="6"/>
      <c r="C26" s="37" t="s">
        <v>538</v>
      </c>
      <c r="D26" s="39"/>
      <c r="E26" s="39"/>
      <c r="F26" s="37" t="s">
        <v>285</v>
      </c>
      <c r="G26" s="37" t="s">
        <v>335</v>
      </c>
      <c r="H26" s="39"/>
      <c r="I26" s="37" t="s">
        <v>328</v>
      </c>
      <c r="J26" s="40" t="s">
        <v>329</v>
      </c>
    </row>
    <row r="27" spans="1:10" ht="72.75" x14ac:dyDescent="0.25">
      <c r="A27" s="6"/>
      <c r="B27" s="6"/>
      <c r="C27" s="37" t="s">
        <v>538</v>
      </c>
      <c r="D27" s="39"/>
      <c r="E27" s="39"/>
      <c r="F27" s="37" t="s">
        <v>289</v>
      </c>
      <c r="G27" s="40" t="s">
        <v>336</v>
      </c>
      <c r="H27" s="39"/>
      <c r="I27" s="37" t="s">
        <v>331</v>
      </c>
      <c r="J27" s="40" t="s">
        <v>332</v>
      </c>
    </row>
    <row r="28" spans="1:10" ht="60.75" x14ac:dyDescent="0.25">
      <c r="A28" s="6"/>
      <c r="B28" s="6"/>
      <c r="C28" s="37" t="s">
        <v>539</v>
      </c>
      <c r="D28" s="37" t="s">
        <v>323</v>
      </c>
      <c r="E28" s="37" t="s">
        <v>338</v>
      </c>
      <c r="F28" s="38" t="s">
        <v>281</v>
      </c>
      <c r="G28" s="37" t="s">
        <v>265</v>
      </c>
      <c r="H28" s="39"/>
      <c r="I28" s="39"/>
      <c r="J28" s="37" t="s">
        <v>266</v>
      </c>
    </row>
    <row r="29" spans="1:10" ht="24.75" x14ac:dyDescent="0.25">
      <c r="A29" s="6"/>
      <c r="B29" s="6"/>
      <c r="C29" s="37" t="s">
        <v>539</v>
      </c>
      <c r="D29" s="39"/>
      <c r="E29" s="39"/>
      <c r="F29" s="40" t="s">
        <v>282</v>
      </c>
      <c r="G29" s="39" t="s">
        <v>267</v>
      </c>
      <c r="H29" s="39"/>
      <c r="I29" s="39"/>
      <c r="J29" s="37" t="s">
        <v>27</v>
      </c>
    </row>
    <row r="30" spans="1:10" ht="108.75" x14ac:dyDescent="0.25">
      <c r="A30" s="6"/>
      <c r="B30" s="6"/>
      <c r="C30" s="37" t="s">
        <v>539</v>
      </c>
      <c r="D30" s="39"/>
      <c r="E30" s="39"/>
      <c r="F30" s="40" t="s">
        <v>283</v>
      </c>
      <c r="G30" s="40" t="s">
        <v>339</v>
      </c>
      <c r="H30" s="39"/>
      <c r="I30" s="37" t="s">
        <v>340</v>
      </c>
      <c r="J30" s="40" t="s">
        <v>341</v>
      </c>
    </row>
    <row r="31" spans="1:10" ht="72.75" x14ac:dyDescent="0.25">
      <c r="A31" s="6"/>
      <c r="B31" s="6"/>
      <c r="C31" s="37" t="s">
        <v>540</v>
      </c>
      <c r="D31" s="37" t="s">
        <v>323</v>
      </c>
      <c r="E31" s="37" t="s">
        <v>343</v>
      </c>
      <c r="F31" s="38" t="s">
        <v>281</v>
      </c>
      <c r="G31" s="37" t="s">
        <v>265</v>
      </c>
      <c r="H31" s="39"/>
      <c r="I31" s="39"/>
      <c r="J31" s="37" t="s">
        <v>266</v>
      </c>
    </row>
    <row r="32" spans="1:10" ht="36.75" x14ac:dyDescent="0.25">
      <c r="A32" s="6"/>
      <c r="B32" s="6"/>
      <c r="C32" s="37" t="s">
        <v>540</v>
      </c>
      <c r="D32" s="39"/>
      <c r="E32" s="39"/>
      <c r="F32" s="40" t="s">
        <v>282</v>
      </c>
      <c r="G32" s="39" t="s">
        <v>267</v>
      </c>
      <c r="H32" s="39"/>
      <c r="I32" s="39"/>
      <c r="J32" s="37" t="s">
        <v>27</v>
      </c>
    </row>
    <row r="33" spans="1:10" ht="60.75" x14ac:dyDescent="0.25">
      <c r="A33" s="6"/>
      <c r="B33" s="6"/>
      <c r="C33" s="37" t="s">
        <v>540</v>
      </c>
      <c r="D33" s="39"/>
      <c r="E33" s="95"/>
      <c r="F33" s="40" t="s">
        <v>283</v>
      </c>
      <c r="G33" s="40" t="s">
        <v>344</v>
      </c>
      <c r="H33" s="39"/>
      <c r="I33" s="37" t="s">
        <v>345</v>
      </c>
      <c r="J33" s="40" t="s">
        <v>346</v>
      </c>
    </row>
    <row r="34" spans="1:10" ht="84.75" x14ac:dyDescent="0.25">
      <c r="A34" s="6"/>
      <c r="B34" s="6"/>
      <c r="C34" s="37" t="s">
        <v>540</v>
      </c>
      <c r="D34" s="39"/>
      <c r="E34" s="39"/>
      <c r="F34" s="40" t="s">
        <v>285</v>
      </c>
      <c r="G34" s="40" t="s">
        <v>347</v>
      </c>
      <c r="H34" s="39"/>
      <c r="I34" s="37" t="s">
        <v>348</v>
      </c>
      <c r="J34" s="40" t="s">
        <v>349</v>
      </c>
    </row>
    <row r="35" spans="1:10" ht="72.75" x14ac:dyDescent="0.25">
      <c r="A35" s="6"/>
      <c r="B35" s="6"/>
      <c r="C35" s="43" t="s">
        <v>541</v>
      </c>
      <c r="D35" s="43" t="s">
        <v>317</v>
      </c>
      <c r="E35" s="43" t="s">
        <v>318</v>
      </c>
      <c r="F35" s="44" t="s">
        <v>281</v>
      </c>
      <c r="G35" s="43" t="s">
        <v>265</v>
      </c>
      <c r="H35" s="14"/>
      <c r="I35" s="14"/>
      <c r="J35" s="43" t="s">
        <v>266</v>
      </c>
    </row>
    <row r="36" spans="1:10" ht="36.75" x14ac:dyDescent="0.25">
      <c r="A36" s="6"/>
      <c r="B36" s="6"/>
      <c r="C36" s="43" t="s">
        <v>541</v>
      </c>
      <c r="D36" s="14"/>
      <c r="E36" s="14"/>
      <c r="F36" s="45" t="s">
        <v>282</v>
      </c>
      <c r="G36" s="43" t="s">
        <v>267</v>
      </c>
      <c r="H36" s="14"/>
      <c r="I36" s="14"/>
      <c r="J36" s="43" t="s">
        <v>27</v>
      </c>
    </row>
    <row r="37" spans="1:10" ht="36.75" x14ac:dyDescent="0.25">
      <c r="A37" s="6"/>
      <c r="B37" s="6"/>
      <c r="C37" s="43" t="s">
        <v>541</v>
      </c>
      <c r="D37" s="14"/>
      <c r="E37" s="14"/>
      <c r="F37" s="45" t="s">
        <v>283</v>
      </c>
      <c r="G37" s="45" t="s">
        <v>268</v>
      </c>
      <c r="H37" s="14"/>
      <c r="I37" s="43" t="s">
        <v>269</v>
      </c>
      <c r="J37" s="45" t="s">
        <v>270</v>
      </c>
    </row>
    <row r="38" spans="1:10" ht="72.75" x14ac:dyDescent="0.25">
      <c r="A38" s="6"/>
      <c r="B38" s="6"/>
      <c r="C38" s="43" t="s">
        <v>541</v>
      </c>
      <c r="D38" s="14"/>
      <c r="E38" s="14"/>
      <c r="F38" s="45" t="s">
        <v>285</v>
      </c>
      <c r="G38" s="45" t="s">
        <v>319</v>
      </c>
      <c r="H38" s="14"/>
      <c r="I38" s="45" t="s">
        <v>320</v>
      </c>
      <c r="J38" s="45" t="s">
        <v>321</v>
      </c>
    </row>
    <row r="39" spans="1:10" ht="36.75" x14ac:dyDescent="0.25">
      <c r="A39" s="6"/>
      <c r="B39" s="6"/>
      <c r="C39" s="43" t="s">
        <v>541</v>
      </c>
      <c r="D39" s="46"/>
      <c r="E39" s="46"/>
      <c r="F39" s="45" t="s">
        <v>289</v>
      </c>
      <c r="G39" s="45" t="s">
        <v>322</v>
      </c>
      <c r="H39" s="46"/>
      <c r="I39" s="46"/>
      <c r="J39" s="45" t="s">
        <v>46</v>
      </c>
    </row>
    <row r="40" spans="1:10" ht="96.75" x14ac:dyDescent="0.25">
      <c r="A40" s="6"/>
      <c r="B40" s="6"/>
      <c r="C40" s="43" t="s">
        <v>541</v>
      </c>
      <c r="D40" s="14"/>
      <c r="E40" s="14"/>
      <c r="F40" s="45" t="s">
        <v>293</v>
      </c>
      <c r="G40" s="45" t="s">
        <v>47</v>
      </c>
      <c r="H40" s="14"/>
      <c r="I40" s="43" t="s">
        <v>79</v>
      </c>
      <c r="J40" s="45" t="s">
        <v>48</v>
      </c>
    </row>
    <row r="41" spans="1:10" x14ac:dyDescent="0.25">
      <c r="A41" s="6"/>
      <c r="B41" s="6"/>
      <c r="C41" s="6"/>
      <c r="D41" s="6"/>
      <c r="E41" s="6"/>
      <c r="F41" s="6"/>
      <c r="G41" s="6"/>
      <c r="H41" s="6"/>
      <c r="I41" s="6"/>
      <c r="J41" s="6"/>
    </row>
    <row r="42" spans="1:10" x14ac:dyDescent="0.25">
      <c r="A42" s="6"/>
      <c r="B42" s="6"/>
      <c r="C42" s="6"/>
      <c r="D42" s="6"/>
      <c r="E42" s="6"/>
      <c r="F42" s="6"/>
      <c r="G42" s="6"/>
      <c r="H42" s="6"/>
      <c r="I42" s="6"/>
      <c r="J42" s="6"/>
    </row>
    <row r="43" spans="1:10" x14ac:dyDescent="0.25">
      <c r="A43" s="6"/>
      <c r="B43" s="6"/>
      <c r="C43" s="6"/>
      <c r="D43" s="6"/>
      <c r="E43" s="6"/>
      <c r="F43" s="6"/>
      <c r="G43" s="6"/>
      <c r="H43" s="6"/>
      <c r="I43" s="6"/>
      <c r="J43" s="6"/>
    </row>
    <row r="44" spans="1:10" x14ac:dyDescent="0.25">
      <c r="A44" s="6"/>
      <c r="B44" s="6"/>
      <c r="C44" s="6"/>
      <c r="D44" s="6"/>
      <c r="E44" s="6"/>
      <c r="F44" s="6"/>
      <c r="G44" s="6"/>
      <c r="H44" s="6"/>
      <c r="I44" s="6"/>
      <c r="J44" s="6"/>
    </row>
    <row r="45" spans="1:10" x14ac:dyDescent="0.25">
      <c r="A45" s="6"/>
      <c r="B45" s="6"/>
      <c r="C45" s="6"/>
      <c r="D45" s="6"/>
      <c r="E45" s="6"/>
      <c r="F45" s="6"/>
      <c r="G45" s="6"/>
      <c r="H45" s="6"/>
      <c r="I45" s="6"/>
      <c r="J45" s="6"/>
    </row>
    <row r="46" spans="1:10" x14ac:dyDescent="0.25">
      <c r="A46" s="6"/>
      <c r="B46" s="6"/>
      <c r="C46" s="6"/>
      <c r="D46" s="6"/>
      <c r="E46" s="6"/>
      <c r="F46" s="6"/>
      <c r="G46" s="6"/>
      <c r="H46" s="6"/>
      <c r="I46" s="6"/>
      <c r="J46" s="6"/>
    </row>
    <row r="47" spans="1:10" x14ac:dyDescent="0.25">
      <c r="A47" s="6"/>
      <c r="B47" s="6"/>
      <c r="C47" s="6"/>
      <c r="D47" s="6"/>
      <c r="E47" s="6"/>
      <c r="F47" s="6"/>
      <c r="G47" s="6"/>
      <c r="H47" s="6"/>
      <c r="I47" s="6"/>
      <c r="J47" s="6"/>
    </row>
    <row r="48" spans="1:10" x14ac:dyDescent="0.25">
      <c r="A48" s="6"/>
      <c r="B48" s="6"/>
      <c r="C48" s="6"/>
      <c r="D48" s="6"/>
      <c r="E48" s="6"/>
      <c r="F48" s="6"/>
      <c r="G48" s="6"/>
      <c r="H48" s="6"/>
      <c r="I48" s="6"/>
      <c r="J48" s="6"/>
    </row>
    <row r="49" spans="1:10" x14ac:dyDescent="0.25">
      <c r="A49" s="6"/>
      <c r="B49" s="6"/>
      <c r="C49" s="6"/>
      <c r="D49" s="6"/>
      <c r="E49" s="6"/>
      <c r="F49" s="6"/>
      <c r="G49" s="6"/>
      <c r="H49" s="6"/>
      <c r="I49" s="6"/>
      <c r="J49" s="6"/>
    </row>
    <row r="50" spans="1:10" x14ac:dyDescent="0.25">
      <c r="A50" s="6"/>
      <c r="B50" s="6"/>
      <c r="C50" s="6"/>
      <c r="D50" s="6"/>
      <c r="E50" s="6"/>
      <c r="F50" s="6"/>
      <c r="G50" s="6"/>
      <c r="H50" s="6"/>
      <c r="I50" s="6"/>
      <c r="J50" s="6"/>
    </row>
    <row r="51" spans="1:10" x14ac:dyDescent="0.25">
      <c r="A51" s="6"/>
      <c r="B51" s="6"/>
      <c r="C51" s="6"/>
      <c r="D51" s="6"/>
      <c r="E51" s="6"/>
      <c r="F51" s="6"/>
      <c r="G51" s="6"/>
      <c r="H51" s="6"/>
      <c r="I51" s="6"/>
      <c r="J51" s="6"/>
    </row>
    <row r="52" spans="1:10" x14ac:dyDescent="0.25">
      <c r="A52" s="6"/>
      <c r="B52" s="6"/>
      <c r="C52" s="6"/>
      <c r="D52" s="6"/>
      <c r="E52" s="6"/>
      <c r="F52" s="6"/>
      <c r="G52" s="6"/>
      <c r="H52" s="6"/>
      <c r="I52" s="6"/>
      <c r="J52" s="6"/>
    </row>
    <row r="53" spans="1:10" x14ac:dyDescent="0.25">
      <c r="A53" s="6"/>
      <c r="B53" s="6"/>
      <c r="C53" s="6"/>
      <c r="D53" s="6"/>
      <c r="E53" s="6"/>
      <c r="F53" s="6"/>
      <c r="G53" s="6"/>
      <c r="H53" s="6"/>
      <c r="I53" s="6"/>
      <c r="J53" s="6"/>
    </row>
    <row r="54" spans="1:10" x14ac:dyDescent="0.25">
      <c r="A54" s="6"/>
      <c r="B54" s="6"/>
      <c r="C54" s="6"/>
      <c r="D54" s="6"/>
      <c r="E54" s="6"/>
      <c r="F54" s="6"/>
      <c r="G54" s="6"/>
      <c r="H54" s="6"/>
      <c r="I54" s="6"/>
      <c r="J54" s="6"/>
    </row>
    <row r="55" spans="1:10" x14ac:dyDescent="0.25">
      <c r="A55" s="6"/>
      <c r="B55" s="6"/>
      <c r="C55" s="6"/>
      <c r="D55" s="6"/>
      <c r="E55" s="6"/>
      <c r="F55" s="6"/>
      <c r="G55" s="6"/>
      <c r="H55" s="6"/>
      <c r="I55" s="6"/>
      <c r="J55" s="6"/>
    </row>
    <row r="56" spans="1:10" x14ac:dyDescent="0.25">
      <c r="A56" s="6"/>
      <c r="B56" s="6"/>
      <c r="C56" s="6"/>
      <c r="D56" s="6"/>
      <c r="E56" s="6"/>
      <c r="F56" s="6"/>
      <c r="G56" s="6"/>
      <c r="H56" s="6"/>
      <c r="I56" s="6"/>
      <c r="J56" s="6"/>
    </row>
    <row r="57" spans="1:10" x14ac:dyDescent="0.25">
      <c r="A57" s="6"/>
      <c r="B57" s="6"/>
      <c r="C57" s="6"/>
      <c r="D57" s="6"/>
      <c r="E57" s="6"/>
      <c r="F57" s="6"/>
      <c r="G57" s="6"/>
      <c r="H57" s="6"/>
      <c r="I57" s="6"/>
      <c r="J57" s="6"/>
    </row>
    <row r="58" spans="1:10" x14ac:dyDescent="0.25">
      <c r="A58" s="6"/>
      <c r="B58" s="6"/>
      <c r="C58" s="6"/>
      <c r="D58" s="6"/>
      <c r="E58" s="6"/>
      <c r="F58" s="6"/>
      <c r="G58" s="6"/>
      <c r="H58" s="6"/>
      <c r="I58" s="6"/>
      <c r="J58" s="6"/>
    </row>
    <row r="59" spans="1:10" x14ac:dyDescent="0.25">
      <c r="A59" s="6"/>
      <c r="B59" s="6"/>
      <c r="C59" s="6"/>
      <c r="D59" s="6"/>
      <c r="E59" s="6"/>
      <c r="F59" s="6"/>
      <c r="G59" s="6"/>
      <c r="H59" s="6"/>
      <c r="I59" s="6"/>
      <c r="J59" s="6"/>
    </row>
    <row r="60" spans="1:10" x14ac:dyDescent="0.25">
      <c r="A60" s="6"/>
      <c r="B60" s="6"/>
      <c r="C60" s="6"/>
      <c r="D60" s="6"/>
      <c r="E60" s="6"/>
      <c r="F60" s="6"/>
      <c r="G60" s="6"/>
      <c r="H60" s="6"/>
      <c r="I60" s="6"/>
      <c r="J60" s="6"/>
    </row>
    <row r="61" spans="1:10" x14ac:dyDescent="0.25">
      <c r="A61" s="6"/>
      <c r="B61" s="6"/>
      <c r="C61" s="6"/>
      <c r="D61" s="6"/>
      <c r="E61" s="6"/>
      <c r="F61" s="6"/>
      <c r="G61" s="6"/>
      <c r="H61" s="6"/>
      <c r="I61" s="6"/>
      <c r="J61" s="6"/>
    </row>
    <row r="62" spans="1:10" x14ac:dyDescent="0.25">
      <c r="A62" s="6"/>
      <c r="B62" s="6"/>
      <c r="C62" s="6"/>
      <c r="D62" s="6"/>
      <c r="E62" s="6"/>
      <c r="F62" s="6"/>
      <c r="G62" s="6"/>
      <c r="H62" s="6"/>
      <c r="I62" s="6"/>
      <c r="J62" s="6"/>
    </row>
    <row r="63" spans="1:10" x14ac:dyDescent="0.25">
      <c r="A63" s="6"/>
      <c r="B63" s="6"/>
      <c r="C63" s="6"/>
      <c r="D63" s="6"/>
      <c r="E63" s="6"/>
      <c r="F63" s="6"/>
      <c r="G63" s="6"/>
      <c r="H63" s="6"/>
      <c r="I63" s="6"/>
      <c r="J63" s="6"/>
    </row>
    <row r="64" spans="1:10" x14ac:dyDescent="0.25">
      <c r="A64" s="6"/>
      <c r="B64" s="6"/>
      <c r="C64" s="6"/>
      <c r="D64" s="6"/>
      <c r="E64" s="6"/>
      <c r="F64" s="6"/>
      <c r="G64" s="6"/>
      <c r="H64" s="6"/>
      <c r="I64" s="6"/>
      <c r="J64" s="6"/>
    </row>
    <row r="65" spans="1:10" x14ac:dyDescent="0.25">
      <c r="A65" s="6"/>
      <c r="B65" s="6"/>
      <c r="C65" s="6"/>
      <c r="D65" s="6"/>
      <c r="E65" s="6"/>
      <c r="F65" s="6"/>
      <c r="G65" s="6"/>
      <c r="H65" s="6"/>
      <c r="I65" s="6"/>
      <c r="J65" s="6"/>
    </row>
    <row r="66" spans="1:10" x14ac:dyDescent="0.25">
      <c r="A66" s="6"/>
      <c r="B66" s="6"/>
      <c r="C66" s="6"/>
      <c r="D66" s="6"/>
      <c r="E66" s="6"/>
      <c r="F66" s="6"/>
      <c r="G66" s="6"/>
      <c r="H66" s="6"/>
      <c r="I66" s="6"/>
      <c r="J66" s="6"/>
    </row>
    <row r="67" spans="1:10" x14ac:dyDescent="0.25">
      <c r="A67" s="6"/>
      <c r="B67" s="6"/>
      <c r="C67" s="6"/>
      <c r="D67" s="6"/>
      <c r="E67" s="6"/>
      <c r="F67" s="6"/>
      <c r="G67" s="6"/>
      <c r="H67" s="6"/>
      <c r="I67" s="6"/>
      <c r="J67" s="6"/>
    </row>
    <row r="68" spans="1:10" x14ac:dyDescent="0.25">
      <c r="A68" s="6"/>
      <c r="B68" s="6"/>
      <c r="C68" s="6"/>
      <c r="D68" s="6"/>
      <c r="E68" s="6"/>
      <c r="F68" s="6"/>
      <c r="G68" s="6"/>
      <c r="H68" s="6"/>
      <c r="I68" s="6"/>
      <c r="J68" s="6"/>
    </row>
    <row r="69" spans="1:10" x14ac:dyDescent="0.25">
      <c r="A69" s="6"/>
      <c r="B69" s="6"/>
      <c r="C69" s="6"/>
      <c r="D69" s="6"/>
      <c r="E69" s="6"/>
      <c r="F69" s="6"/>
      <c r="G69" s="6"/>
      <c r="H69" s="6"/>
      <c r="I69" s="6"/>
      <c r="J69" s="6"/>
    </row>
    <row r="70" spans="1:10" x14ac:dyDescent="0.25">
      <c r="A70" s="6"/>
      <c r="B70" s="6"/>
      <c r="C70" s="6"/>
      <c r="D70" s="6"/>
      <c r="E70" s="6"/>
      <c r="F70" s="6"/>
      <c r="G70" s="6"/>
      <c r="H70" s="6"/>
      <c r="I70" s="6"/>
      <c r="J70" s="6"/>
    </row>
    <row r="71" spans="1:10" x14ac:dyDescent="0.25">
      <c r="A71" s="6"/>
      <c r="B71" s="6"/>
      <c r="C71" s="6"/>
      <c r="D71" s="6"/>
      <c r="E71" s="6"/>
      <c r="F71" s="6"/>
      <c r="G71" s="6"/>
      <c r="H71" s="6"/>
      <c r="I71" s="6"/>
      <c r="J71" s="6"/>
    </row>
    <row r="72" spans="1:10" x14ac:dyDescent="0.25">
      <c r="A72" s="6"/>
      <c r="B72" s="6"/>
      <c r="C72" s="6"/>
      <c r="D72" s="6"/>
      <c r="E72" s="6"/>
      <c r="F72" s="6"/>
      <c r="G72" s="6"/>
      <c r="H72" s="6"/>
      <c r="I72" s="6"/>
      <c r="J72" s="6"/>
    </row>
    <row r="73" spans="1:10" x14ac:dyDescent="0.25">
      <c r="A73" s="6"/>
      <c r="B73" s="6"/>
      <c r="C73" s="6"/>
      <c r="D73" s="6"/>
      <c r="E73" s="6"/>
      <c r="F73" s="6"/>
      <c r="G73" s="6"/>
      <c r="H73" s="6"/>
      <c r="I73" s="6"/>
      <c r="J73" s="6"/>
    </row>
    <row r="74" spans="1:10" x14ac:dyDescent="0.25">
      <c r="A74" s="6"/>
      <c r="B74" s="6"/>
      <c r="C74" s="6"/>
      <c r="D74" s="6"/>
      <c r="E74" s="6"/>
      <c r="F74" s="6"/>
      <c r="G74" s="6"/>
      <c r="H74" s="6"/>
      <c r="I74" s="6"/>
      <c r="J74" s="6"/>
    </row>
    <row r="75" spans="1:10" x14ac:dyDescent="0.25">
      <c r="A75" s="6"/>
      <c r="B75" s="6"/>
      <c r="C75" s="6"/>
      <c r="D75" s="6"/>
      <c r="E75" s="6"/>
      <c r="F75" s="6"/>
      <c r="G75" s="6"/>
      <c r="H75" s="6"/>
      <c r="I75" s="6"/>
      <c r="J75" s="6"/>
    </row>
    <row r="76" spans="1:10" x14ac:dyDescent="0.25">
      <c r="A76" s="6"/>
      <c r="B76" s="6"/>
      <c r="C76" s="6"/>
      <c r="D76" s="6"/>
      <c r="E76" s="6"/>
      <c r="F76" s="6"/>
      <c r="G76" s="6"/>
      <c r="H76" s="6"/>
      <c r="I76" s="6"/>
      <c r="J76" s="6"/>
    </row>
    <row r="77" spans="1:10" x14ac:dyDescent="0.25">
      <c r="A77" s="6"/>
      <c r="B77" s="6"/>
      <c r="C77" s="6"/>
      <c r="D77" s="6"/>
      <c r="E77" s="6"/>
      <c r="F77" s="6"/>
      <c r="G77" s="6"/>
      <c r="H77" s="6"/>
      <c r="I77" s="6"/>
      <c r="J77" s="6"/>
    </row>
    <row r="78" spans="1:10" x14ac:dyDescent="0.25">
      <c r="A78" s="6"/>
      <c r="B78" s="6"/>
      <c r="C78" s="6"/>
      <c r="D78" s="6"/>
      <c r="E78" s="6"/>
      <c r="F78" s="6"/>
      <c r="G78" s="6"/>
      <c r="H78" s="6"/>
      <c r="I78" s="6"/>
      <c r="J78" s="6"/>
    </row>
    <row r="79" spans="1:10" x14ac:dyDescent="0.25">
      <c r="A79" s="6"/>
      <c r="B79" s="6"/>
      <c r="C79" s="6"/>
      <c r="D79" s="6"/>
      <c r="E79" s="6"/>
      <c r="F79" s="6"/>
      <c r="G79" s="6"/>
      <c r="H79" s="6"/>
      <c r="I79" s="6"/>
      <c r="J79" s="6"/>
    </row>
    <row r="80" spans="1:10" x14ac:dyDescent="0.25">
      <c r="A80" s="6"/>
      <c r="B80" s="6"/>
      <c r="C80" s="6"/>
      <c r="D80" s="6"/>
      <c r="E80" s="6"/>
      <c r="F80" s="6"/>
      <c r="G80" s="6"/>
      <c r="H80" s="6"/>
      <c r="I80" s="6"/>
      <c r="J80" s="6"/>
    </row>
    <row r="81" spans="1:10" x14ac:dyDescent="0.25">
      <c r="A81" s="6"/>
      <c r="B81" s="6"/>
      <c r="C81" s="6"/>
      <c r="D81" s="6"/>
      <c r="E81" s="6"/>
      <c r="F81" s="6"/>
      <c r="G81" s="6"/>
      <c r="H81" s="6"/>
      <c r="I81" s="6"/>
      <c r="J81" s="6"/>
    </row>
    <row r="82" spans="1:10" x14ac:dyDescent="0.25">
      <c r="A82" s="6"/>
      <c r="B82" s="6"/>
      <c r="C82" s="6"/>
      <c r="D82" s="6"/>
      <c r="E82" s="6"/>
      <c r="F82" s="6"/>
      <c r="G82" s="6"/>
      <c r="H82" s="6"/>
      <c r="I82" s="6"/>
      <c r="J82" s="6"/>
    </row>
    <row r="83" spans="1:10" x14ac:dyDescent="0.25">
      <c r="A83" s="6"/>
      <c r="B83" s="6"/>
      <c r="C83" s="6"/>
      <c r="D83" s="6"/>
      <c r="E83" s="6"/>
      <c r="F83" s="6"/>
      <c r="G83" s="6"/>
      <c r="H83" s="6"/>
      <c r="I83" s="6"/>
      <c r="J83" s="6"/>
    </row>
    <row r="84" spans="1:10" x14ac:dyDescent="0.25">
      <c r="A84" s="6"/>
      <c r="B84" s="6"/>
      <c r="C84" s="6"/>
      <c r="D84" s="6"/>
      <c r="E84" s="6"/>
      <c r="F84" s="6"/>
      <c r="G84" s="6"/>
      <c r="H84" s="6"/>
      <c r="I84" s="6"/>
      <c r="J84" s="6"/>
    </row>
    <row r="85" spans="1:10" x14ac:dyDescent="0.25">
      <c r="A85" s="6"/>
      <c r="B85" s="6"/>
      <c r="C85" s="6"/>
      <c r="D85" s="6"/>
      <c r="E85" s="6"/>
      <c r="F85" s="6"/>
      <c r="G85" s="6"/>
      <c r="H85" s="6"/>
      <c r="I85" s="6"/>
      <c r="J85" s="6"/>
    </row>
    <row r="86" spans="1:10" x14ac:dyDescent="0.25">
      <c r="A86" s="6"/>
      <c r="B86" s="6"/>
      <c r="C86" s="6"/>
      <c r="D86" s="6"/>
      <c r="E86" s="6"/>
      <c r="F86" s="6"/>
      <c r="G86" s="6"/>
      <c r="H86" s="6"/>
      <c r="I86" s="6"/>
      <c r="J86" s="6"/>
    </row>
    <row r="87" spans="1:10" x14ac:dyDescent="0.25">
      <c r="A87" s="6"/>
      <c r="B87" s="6"/>
      <c r="C87" s="6"/>
      <c r="D87" s="6"/>
      <c r="E87" s="6"/>
      <c r="F87" s="6"/>
      <c r="G87" s="6"/>
      <c r="H87" s="6"/>
      <c r="I87" s="6"/>
      <c r="J87" s="6"/>
    </row>
    <row r="88" spans="1:10" x14ac:dyDescent="0.25">
      <c r="A88" s="6"/>
      <c r="B88" s="6"/>
      <c r="C88" s="6"/>
      <c r="D88" s="6"/>
      <c r="E88" s="6"/>
      <c r="F88" s="6"/>
      <c r="G88" s="6"/>
      <c r="H88" s="6"/>
      <c r="I88" s="6"/>
      <c r="J88" s="6"/>
    </row>
    <row r="89" spans="1:10" x14ac:dyDescent="0.25">
      <c r="A89" s="6"/>
      <c r="B89" s="6"/>
      <c r="C89" s="6"/>
      <c r="D89" s="6"/>
      <c r="E89" s="6"/>
      <c r="F89" s="6"/>
      <c r="G89" s="6"/>
      <c r="H89" s="6"/>
      <c r="I89" s="6"/>
      <c r="J89" s="6"/>
    </row>
    <row r="90" spans="1:10" x14ac:dyDescent="0.25">
      <c r="A90" s="6"/>
      <c r="B90" s="6"/>
      <c r="C90" s="6"/>
      <c r="D90" s="6"/>
      <c r="E90" s="6"/>
      <c r="F90" s="6"/>
      <c r="G90" s="6"/>
      <c r="H90" s="6"/>
      <c r="I90" s="6"/>
      <c r="J90" s="6"/>
    </row>
    <row r="91" spans="1:10" x14ac:dyDescent="0.25">
      <c r="A91" s="6"/>
      <c r="B91" s="6"/>
      <c r="C91" s="6"/>
      <c r="D91" s="6"/>
      <c r="E91" s="6"/>
      <c r="F91" s="6"/>
      <c r="G91" s="6"/>
      <c r="H91" s="6"/>
      <c r="I91" s="6"/>
      <c r="J91" s="6"/>
    </row>
    <row r="92" spans="1:10" x14ac:dyDescent="0.25">
      <c r="A92" s="6"/>
      <c r="B92" s="6"/>
      <c r="C92" s="6"/>
      <c r="D92" s="6"/>
      <c r="E92" s="6"/>
      <c r="F92" s="6"/>
      <c r="G92" s="6"/>
      <c r="H92" s="6"/>
      <c r="I92" s="6"/>
      <c r="J92" s="6"/>
    </row>
    <row r="93" spans="1:10" x14ac:dyDescent="0.25">
      <c r="A93" s="6"/>
      <c r="B93" s="6"/>
      <c r="C93" s="6"/>
      <c r="D93" s="6"/>
      <c r="E93" s="6"/>
      <c r="F93" s="6"/>
      <c r="G93" s="6"/>
      <c r="H93" s="6"/>
      <c r="I93" s="6"/>
      <c r="J93" s="6"/>
    </row>
    <row r="94" spans="1:10" x14ac:dyDescent="0.25">
      <c r="A94" s="6"/>
      <c r="B94" s="6"/>
      <c r="C94" s="6"/>
      <c r="D94" s="6"/>
      <c r="E94" s="6"/>
      <c r="F94" s="6"/>
      <c r="G94" s="6"/>
      <c r="H94" s="6"/>
      <c r="I94" s="6"/>
      <c r="J94" s="6"/>
    </row>
    <row r="95" spans="1:10" x14ac:dyDescent="0.25">
      <c r="A95" s="6"/>
      <c r="B95" s="6"/>
      <c r="C95" s="6"/>
      <c r="D95" s="6"/>
      <c r="E95" s="6"/>
      <c r="F95" s="6"/>
      <c r="G95" s="6"/>
      <c r="H95" s="6"/>
      <c r="I95" s="6"/>
      <c r="J95" s="6"/>
    </row>
    <row r="96" spans="1:10" x14ac:dyDescent="0.25">
      <c r="A96" s="6"/>
      <c r="B96" s="6"/>
      <c r="C96" s="6"/>
      <c r="D96" s="6"/>
      <c r="E96" s="6"/>
      <c r="F96" s="6"/>
      <c r="G96" s="6"/>
      <c r="H96" s="6"/>
      <c r="I96" s="6"/>
      <c r="J96" s="6"/>
    </row>
    <row r="97" spans="1:10" x14ac:dyDescent="0.25">
      <c r="A97" s="6"/>
      <c r="B97" s="6"/>
      <c r="C97" s="6"/>
      <c r="D97" s="6"/>
      <c r="E97" s="6"/>
      <c r="F97" s="6"/>
      <c r="G97" s="6"/>
      <c r="H97" s="6"/>
      <c r="I97" s="6"/>
      <c r="J97" s="6"/>
    </row>
    <row r="98" spans="1:10" x14ac:dyDescent="0.25">
      <c r="A98" s="6"/>
      <c r="B98" s="6"/>
      <c r="C98" s="6"/>
      <c r="D98" s="6"/>
      <c r="E98" s="6"/>
      <c r="F98" s="6"/>
      <c r="G98" s="6"/>
      <c r="H98" s="6"/>
      <c r="I98" s="6"/>
      <c r="J98" s="6"/>
    </row>
    <row r="99" spans="1:10" x14ac:dyDescent="0.25">
      <c r="A99" s="6"/>
      <c r="B99" s="6"/>
      <c r="C99" s="6"/>
      <c r="D99" s="6"/>
      <c r="E99" s="6"/>
      <c r="F99" s="6"/>
      <c r="G99" s="6"/>
      <c r="H99" s="6"/>
      <c r="I99" s="6"/>
      <c r="J99" s="6"/>
    </row>
    <row r="100" spans="1:10" x14ac:dyDescent="0.25">
      <c r="A100" s="6"/>
      <c r="B100" s="6"/>
      <c r="C100" s="6"/>
      <c r="D100" s="6"/>
      <c r="E100" s="6"/>
      <c r="F100" s="6"/>
      <c r="G100" s="6"/>
      <c r="H100" s="6"/>
      <c r="I100" s="6"/>
      <c r="J100" s="6"/>
    </row>
    <row r="101" spans="1:10" x14ac:dyDescent="0.25">
      <c r="A101" s="6"/>
      <c r="B101" s="6"/>
      <c r="C101" s="6"/>
      <c r="D101" s="6"/>
      <c r="E101" s="6"/>
      <c r="F101" s="6"/>
      <c r="G101" s="6"/>
      <c r="H101" s="6"/>
      <c r="I101" s="6"/>
      <c r="J101" s="6"/>
    </row>
    <row r="102" spans="1:10" x14ac:dyDescent="0.25">
      <c r="A102" s="6"/>
      <c r="B102" s="6"/>
      <c r="C102" s="6"/>
      <c r="D102" s="6"/>
      <c r="E102" s="6"/>
      <c r="F102" s="6"/>
      <c r="G102" s="6"/>
      <c r="H102" s="6"/>
      <c r="I102" s="6"/>
      <c r="J102" s="6"/>
    </row>
    <row r="103" spans="1:10" x14ac:dyDescent="0.25">
      <c r="A103" s="6"/>
      <c r="B103" s="6"/>
      <c r="C103" s="6"/>
      <c r="D103" s="6"/>
      <c r="E103" s="6"/>
      <c r="F103" s="6"/>
      <c r="G103" s="6"/>
      <c r="H103" s="6"/>
      <c r="I103" s="6"/>
      <c r="J103" s="6"/>
    </row>
    <row r="104" spans="1:10" x14ac:dyDescent="0.25">
      <c r="A104" s="6"/>
      <c r="B104" s="6"/>
      <c r="C104" s="6"/>
      <c r="D104" s="6"/>
      <c r="E104" s="6"/>
      <c r="F104" s="6"/>
      <c r="G104" s="6"/>
      <c r="H104" s="6"/>
      <c r="I104" s="6"/>
      <c r="J104" s="6"/>
    </row>
    <row r="105" spans="1:10" x14ac:dyDescent="0.25">
      <c r="A105" s="6"/>
      <c r="B105" s="6"/>
      <c r="C105" s="6"/>
      <c r="D105" s="6"/>
      <c r="E105" s="6"/>
      <c r="F105" s="6"/>
      <c r="G105" s="6"/>
      <c r="H105" s="6"/>
      <c r="I105" s="6"/>
      <c r="J105" s="6"/>
    </row>
    <row r="106" spans="1:10" x14ac:dyDescent="0.25">
      <c r="A106" s="6"/>
      <c r="B106" s="6"/>
      <c r="C106" s="6"/>
      <c r="D106" s="6"/>
      <c r="E106" s="6"/>
      <c r="F106" s="6"/>
      <c r="G106" s="6"/>
      <c r="H106" s="6"/>
      <c r="I106" s="6"/>
      <c r="J106" s="6"/>
    </row>
    <row r="107" spans="1:10" x14ac:dyDescent="0.25">
      <c r="A107" s="6"/>
      <c r="B107" s="6"/>
      <c r="C107" s="6"/>
      <c r="D107" s="6"/>
      <c r="E107" s="6"/>
      <c r="F107" s="6"/>
      <c r="G107" s="6"/>
      <c r="H107" s="6"/>
      <c r="I107" s="6"/>
      <c r="J107" s="6"/>
    </row>
    <row r="108" spans="1:10" x14ac:dyDescent="0.25">
      <c r="A108" s="6"/>
      <c r="B108" s="6"/>
      <c r="C108" s="6"/>
      <c r="D108" s="6"/>
      <c r="E108" s="6"/>
      <c r="F108" s="6"/>
      <c r="G108" s="6"/>
      <c r="H108" s="6"/>
      <c r="I108" s="6"/>
      <c r="J108" s="6"/>
    </row>
    <row r="109" spans="1:10" x14ac:dyDescent="0.25">
      <c r="A109" s="6"/>
      <c r="B109" s="6"/>
      <c r="C109" s="6"/>
      <c r="D109" s="6"/>
      <c r="E109" s="6"/>
      <c r="F109" s="6"/>
      <c r="G109" s="6"/>
      <c r="H109" s="6"/>
      <c r="I109" s="6"/>
      <c r="J109" s="6"/>
    </row>
    <row r="110" spans="1:10" x14ac:dyDescent="0.25">
      <c r="A110" s="6"/>
      <c r="B110" s="6"/>
      <c r="C110" s="6"/>
      <c r="D110" s="6"/>
      <c r="E110" s="6"/>
      <c r="F110" s="6"/>
      <c r="G110" s="6"/>
      <c r="H110" s="6"/>
      <c r="I110" s="6"/>
      <c r="J110" s="6"/>
    </row>
    <row r="111" spans="1:10" x14ac:dyDescent="0.25">
      <c r="A111" s="6"/>
      <c r="B111" s="6"/>
      <c r="C111" s="6"/>
      <c r="D111" s="6"/>
      <c r="E111" s="6"/>
      <c r="F111" s="6"/>
      <c r="G111" s="6"/>
      <c r="H111" s="6"/>
      <c r="I111" s="6"/>
      <c r="J111" s="6"/>
    </row>
    <row r="112" spans="1:10" x14ac:dyDescent="0.25">
      <c r="A112" s="6"/>
      <c r="B112" s="6"/>
      <c r="C112" s="6"/>
      <c r="D112" s="6"/>
      <c r="E112" s="6"/>
      <c r="F112" s="6"/>
      <c r="G112" s="6"/>
      <c r="H112" s="6"/>
      <c r="I112" s="6"/>
      <c r="J112" s="6"/>
    </row>
    <row r="113" spans="1:10" x14ac:dyDescent="0.25">
      <c r="A113" s="6"/>
      <c r="B113" s="6"/>
      <c r="C113" s="6"/>
      <c r="D113" s="6"/>
      <c r="E113" s="6"/>
      <c r="F113" s="6"/>
      <c r="G113" s="6"/>
      <c r="H113" s="6"/>
      <c r="I113" s="6"/>
      <c r="J113" s="6"/>
    </row>
    <row r="114" spans="1:10" x14ac:dyDescent="0.25">
      <c r="A114" s="6"/>
      <c r="B114" s="6"/>
      <c r="C114" s="6"/>
      <c r="D114" s="6"/>
      <c r="E114" s="6"/>
      <c r="F114" s="6"/>
      <c r="G114" s="6"/>
      <c r="H114" s="6"/>
      <c r="I114" s="6"/>
      <c r="J114" s="6"/>
    </row>
    <row r="115" spans="1:10" x14ac:dyDescent="0.25">
      <c r="A115" s="6"/>
      <c r="B115" s="6"/>
      <c r="C115" s="6"/>
      <c r="D115" s="6"/>
      <c r="E115" s="6"/>
      <c r="F115" s="6"/>
      <c r="G115" s="6"/>
      <c r="H115" s="6"/>
      <c r="I115" s="6"/>
      <c r="J115" s="6"/>
    </row>
    <row r="116" spans="1:10" x14ac:dyDescent="0.25">
      <c r="A116" s="6"/>
      <c r="B116" s="6"/>
      <c r="C116" s="6"/>
      <c r="D116" s="6"/>
      <c r="E116" s="6"/>
      <c r="F116" s="6"/>
      <c r="G116" s="6"/>
      <c r="H116" s="6"/>
      <c r="I116" s="6"/>
      <c r="J116" s="6"/>
    </row>
    <row r="117" spans="1:10" x14ac:dyDescent="0.25">
      <c r="A117" s="6"/>
      <c r="B117" s="6"/>
      <c r="C117" s="6"/>
      <c r="D117" s="6"/>
      <c r="E117" s="6"/>
      <c r="F117" s="6"/>
      <c r="G117" s="6"/>
      <c r="H117" s="6"/>
      <c r="I117" s="6"/>
      <c r="J117" s="6"/>
    </row>
    <row r="118" spans="1:10" x14ac:dyDescent="0.25">
      <c r="A118" s="6"/>
      <c r="B118" s="6"/>
      <c r="C118" s="6"/>
      <c r="D118" s="6"/>
      <c r="E118" s="6"/>
      <c r="F118" s="6"/>
      <c r="G118" s="6"/>
      <c r="H118" s="6"/>
      <c r="I118" s="6"/>
      <c r="J118" s="6"/>
    </row>
    <row r="119" spans="1:10" x14ac:dyDescent="0.25">
      <c r="A119" s="6"/>
      <c r="B119" s="6"/>
      <c r="C119" s="6"/>
      <c r="D119" s="6"/>
      <c r="E119" s="6"/>
      <c r="F119" s="6"/>
      <c r="G119" s="6"/>
      <c r="H119" s="6"/>
      <c r="I119" s="6"/>
      <c r="J119" s="6"/>
    </row>
    <row r="120" spans="1:10" x14ac:dyDescent="0.25">
      <c r="A120" s="6"/>
      <c r="B120" s="6"/>
      <c r="C120" s="6"/>
      <c r="D120" s="6"/>
      <c r="E120" s="6"/>
      <c r="F120" s="6"/>
      <c r="G120" s="6"/>
      <c r="H120" s="6"/>
      <c r="I120" s="6"/>
      <c r="J120" s="6"/>
    </row>
    <row r="121" spans="1:10" x14ac:dyDescent="0.25">
      <c r="A121" s="6"/>
      <c r="B121" s="6"/>
      <c r="C121" s="6"/>
      <c r="D121" s="6"/>
      <c r="E121" s="6"/>
      <c r="F121" s="6"/>
      <c r="G121" s="6"/>
      <c r="H121" s="6"/>
      <c r="I121" s="6"/>
      <c r="J121" s="6"/>
    </row>
    <row r="122" spans="1:10" x14ac:dyDescent="0.25">
      <c r="A122" s="6"/>
      <c r="B122" s="6"/>
      <c r="C122" s="6"/>
      <c r="D122" s="6"/>
      <c r="E122" s="6"/>
      <c r="F122" s="6"/>
      <c r="G122" s="6"/>
      <c r="H122" s="6"/>
      <c r="I122" s="6"/>
      <c r="J122" s="6"/>
    </row>
    <row r="123" spans="1:10" x14ac:dyDescent="0.25">
      <c r="A123" s="6"/>
      <c r="B123" s="6"/>
      <c r="C123" s="6"/>
      <c r="D123" s="6"/>
      <c r="E123" s="6"/>
      <c r="F123" s="6"/>
      <c r="G123" s="6"/>
      <c r="H123" s="6"/>
      <c r="I123" s="6"/>
      <c r="J123" s="6"/>
    </row>
    <row r="124" spans="1:10" x14ac:dyDescent="0.25">
      <c r="A124" s="6"/>
      <c r="B124" s="6"/>
      <c r="C124" s="6"/>
      <c r="D124" s="6"/>
      <c r="E124" s="6"/>
      <c r="F124" s="6"/>
      <c r="G124" s="6"/>
      <c r="H124" s="6"/>
      <c r="I124" s="6"/>
      <c r="J124" s="6"/>
    </row>
    <row r="125" spans="1:10" x14ac:dyDescent="0.25">
      <c r="A125" s="6"/>
      <c r="B125" s="6"/>
      <c r="C125" s="6"/>
      <c r="D125" s="6"/>
      <c r="E125" s="6"/>
      <c r="F125" s="6"/>
      <c r="G125" s="6"/>
      <c r="H125" s="6"/>
      <c r="I125" s="6"/>
      <c r="J125" s="6"/>
    </row>
    <row r="126" spans="1:10" x14ac:dyDescent="0.25">
      <c r="A126" s="6"/>
      <c r="B126" s="6"/>
      <c r="C126" s="6"/>
      <c r="D126" s="6"/>
      <c r="E126" s="6"/>
      <c r="F126" s="6"/>
      <c r="G126" s="6"/>
      <c r="H126" s="6"/>
      <c r="I126" s="6"/>
      <c r="J126" s="6"/>
    </row>
    <row r="127" spans="1:10" x14ac:dyDescent="0.25">
      <c r="A127" s="6"/>
      <c r="B127" s="6"/>
      <c r="C127" s="6"/>
      <c r="D127" s="6"/>
      <c r="E127" s="6"/>
      <c r="F127" s="6"/>
      <c r="G127" s="6"/>
      <c r="H127" s="6"/>
      <c r="I127" s="6"/>
      <c r="J127" s="6"/>
    </row>
    <row r="128" spans="1:10" x14ac:dyDescent="0.25">
      <c r="A128" s="6"/>
      <c r="B128" s="6"/>
      <c r="C128" s="6"/>
      <c r="D128" s="6"/>
      <c r="E128" s="6"/>
      <c r="F128" s="6"/>
      <c r="G128" s="6"/>
      <c r="H128" s="6"/>
      <c r="I128" s="6"/>
      <c r="J128" s="6"/>
    </row>
    <row r="129" spans="1:10" x14ac:dyDescent="0.25">
      <c r="A129" s="6"/>
      <c r="B129" s="6"/>
      <c r="C129" s="6"/>
      <c r="D129" s="6"/>
      <c r="E129" s="6"/>
      <c r="F129" s="6"/>
      <c r="G129" s="6"/>
      <c r="H129" s="6"/>
      <c r="I129" s="6"/>
      <c r="J129" s="6"/>
    </row>
    <row r="130" spans="1:10" x14ac:dyDescent="0.25">
      <c r="A130" s="6"/>
      <c r="B130" s="6"/>
      <c r="C130" s="6"/>
      <c r="D130" s="6"/>
      <c r="E130" s="6"/>
      <c r="F130" s="6"/>
      <c r="G130" s="6"/>
      <c r="H130" s="6"/>
      <c r="I130" s="6"/>
      <c r="J130" s="6"/>
    </row>
    <row r="131" spans="1:10" x14ac:dyDescent="0.25">
      <c r="A131" s="6"/>
      <c r="B131" s="6"/>
      <c r="C131" s="6"/>
      <c r="D131" s="6"/>
      <c r="E131" s="6"/>
      <c r="F131" s="6"/>
      <c r="G131" s="6"/>
      <c r="H131" s="6"/>
      <c r="I131" s="6"/>
      <c r="J131" s="6"/>
    </row>
    <row r="132" spans="1:10" x14ac:dyDescent="0.25">
      <c r="A132" s="6"/>
      <c r="B132" s="6"/>
      <c r="C132" s="6"/>
      <c r="D132" s="6"/>
      <c r="E132" s="6"/>
      <c r="F132" s="6"/>
      <c r="G132" s="6"/>
      <c r="H132" s="6"/>
      <c r="I132" s="6"/>
      <c r="J132" s="6"/>
    </row>
    <row r="133" spans="1:10" x14ac:dyDescent="0.25">
      <c r="A133" s="6"/>
      <c r="B133" s="6"/>
      <c r="C133" s="6"/>
      <c r="D133" s="6"/>
      <c r="E133" s="6"/>
      <c r="F133" s="6"/>
      <c r="G133" s="6"/>
      <c r="H133" s="6"/>
      <c r="I133" s="6"/>
      <c r="J133" s="6"/>
    </row>
    <row r="134" spans="1:10" x14ac:dyDescent="0.25">
      <c r="A134" s="6"/>
      <c r="B134" s="6"/>
      <c r="C134" s="6"/>
      <c r="D134" s="6"/>
      <c r="E134" s="6"/>
      <c r="F134" s="6"/>
      <c r="G134" s="6"/>
      <c r="H134" s="6"/>
      <c r="I134" s="6"/>
      <c r="J134" s="6"/>
    </row>
    <row r="135" spans="1:10" x14ac:dyDescent="0.25">
      <c r="A135" s="6"/>
      <c r="B135" s="6"/>
      <c r="C135" s="6"/>
      <c r="D135" s="6"/>
      <c r="E135" s="6"/>
      <c r="F135" s="6"/>
      <c r="G135" s="6"/>
      <c r="H135" s="6"/>
      <c r="I135" s="6"/>
      <c r="J135" s="6"/>
    </row>
    <row r="136" spans="1:10" x14ac:dyDescent="0.25">
      <c r="A136" s="6"/>
      <c r="B136" s="6"/>
      <c r="C136" s="6"/>
      <c r="D136" s="6"/>
      <c r="E136" s="6"/>
      <c r="F136" s="6"/>
      <c r="G136" s="6"/>
      <c r="H136" s="6"/>
      <c r="I136" s="6"/>
      <c r="J136" s="6"/>
    </row>
    <row r="137" spans="1:10" x14ac:dyDescent="0.25">
      <c r="A137" s="6"/>
      <c r="B137" s="6"/>
      <c r="C137" s="6"/>
      <c r="D137" s="6"/>
      <c r="E137" s="6"/>
      <c r="F137" s="6"/>
      <c r="G137" s="6"/>
      <c r="H137" s="6"/>
      <c r="I137" s="6"/>
      <c r="J137" s="6"/>
    </row>
    <row r="138" spans="1:10" x14ac:dyDescent="0.25">
      <c r="A138" s="6"/>
      <c r="B138" s="6"/>
      <c r="C138" s="6"/>
      <c r="D138" s="6"/>
      <c r="E138" s="6"/>
      <c r="F138" s="6"/>
      <c r="G138" s="6"/>
      <c r="H138" s="6"/>
      <c r="I138" s="6"/>
      <c r="J138" s="6"/>
    </row>
    <row r="139" spans="1:10" x14ac:dyDescent="0.25">
      <c r="A139" s="6"/>
      <c r="B139" s="6"/>
      <c r="C139" s="6"/>
      <c r="D139" s="6"/>
      <c r="E139" s="6"/>
      <c r="F139" s="6"/>
      <c r="G139" s="6"/>
      <c r="H139" s="6"/>
      <c r="I139" s="6"/>
      <c r="J139" s="6"/>
    </row>
    <row r="140" spans="1:10" x14ac:dyDescent="0.25">
      <c r="A140" s="6"/>
      <c r="B140" s="6"/>
      <c r="C140" s="6"/>
      <c r="D140" s="6"/>
      <c r="E140" s="6"/>
      <c r="F140" s="6"/>
      <c r="G140" s="6"/>
      <c r="H140" s="6"/>
      <c r="I140" s="6"/>
      <c r="J140" s="6"/>
    </row>
    <row r="141" spans="1:10" x14ac:dyDescent="0.25">
      <c r="A141" s="6"/>
      <c r="B141" s="6"/>
      <c r="C141" s="6"/>
      <c r="D141" s="6"/>
      <c r="E141" s="6"/>
      <c r="F141" s="6"/>
      <c r="G141" s="6"/>
      <c r="H141" s="6"/>
      <c r="I141" s="6"/>
      <c r="J141" s="6"/>
    </row>
    <row r="142" spans="1:10" x14ac:dyDescent="0.25">
      <c r="A142" s="6"/>
      <c r="B142" s="6"/>
      <c r="C142" s="6"/>
      <c r="D142" s="6"/>
      <c r="E142" s="6"/>
      <c r="F142" s="6"/>
      <c r="G142" s="6"/>
      <c r="H142" s="6"/>
      <c r="I142" s="6"/>
      <c r="J142" s="6"/>
    </row>
    <row r="143" spans="1:10" x14ac:dyDescent="0.25">
      <c r="A143" s="6"/>
      <c r="B143" s="6"/>
      <c r="C143" s="6"/>
      <c r="D143" s="6"/>
      <c r="E143" s="6"/>
      <c r="F143" s="6"/>
      <c r="G143" s="6"/>
      <c r="H143" s="6"/>
      <c r="I143" s="6"/>
      <c r="J143" s="6"/>
    </row>
    <row r="144" spans="1:10" x14ac:dyDescent="0.25">
      <c r="A144" s="6"/>
      <c r="B144" s="6"/>
      <c r="C144" s="6"/>
      <c r="D144" s="6"/>
      <c r="E144" s="6"/>
      <c r="F144" s="6"/>
      <c r="G144" s="6"/>
      <c r="H144" s="6"/>
      <c r="I144" s="6"/>
      <c r="J144" s="6"/>
    </row>
    <row r="145" spans="1:10" x14ac:dyDescent="0.25">
      <c r="A145" s="6"/>
      <c r="B145" s="6"/>
      <c r="C145" s="6"/>
      <c r="D145" s="6"/>
      <c r="E145" s="6"/>
      <c r="F145" s="6"/>
      <c r="G145" s="6"/>
      <c r="H145" s="6"/>
      <c r="I145" s="6"/>
      <c r="J145" s="6"/>
    </row>
    <row r="146" spans="1:10" x14ac:dyDescent="0.25">
      <c r="A146" s="6"/>
      <c r="B146" s="6"/>
      <c r="C146" s="6"/>
      <c r="D146" s="6"/>
      <c r="E146" s="6"/>
      <c r="F146" s="6"/>
      <c r="G146" s="6"/>
      <c r="H146" s="6"/>
      <c r="I146" s="6"/>
      <c r="J146" s="6"/>
    </row>
    <row r="147" spans="1:10" x14ac:dyDescent="0.25">
      <c r="A147" s="6"/>
      <c r="B147" s="6"/>
      <c r="C147" s="6"/>
      <c r="D147" s="6"/>
      <c r="E147" s="6"/>
      <c r="F147" s="6"/>
      <c r="G147" s="6"/>
      <c r="H147" s="6"/>
      <c r="I147" s="6"/>
      <c r="J147" s="6"/>
    </row>
    <row r="148" spans="1:10" x14ac:dyDescent="0.25">
      <c r="A148" s="6"/>
      <c r="B148" s="6"/>
      <c r="C148" s="6"/>
      <c r="D148" s="6"/>
      <c r="E148" s="6"/>
      <c r="F148" s="6"/>
      <c r="G148" s="6"/>
      <c r="H148" s="6"/>
      <c r="I148" s="6"/>
      <c r="J148" s="6"/>
    </row>
    <row r="149" spans="1:10" x14ac:dyDescent="0.25">
      <c r="A149" s="6"/>
      <c r="B149" s="6"/>
      <c r="C149" s="6"/>
      <c r="D149" s="6"/>
      <c r="E149" s="6"/>
      <c r="F149" s="6"/>
      <c r="G149" s="6"/>
      <c r="H149" s="6"/>
      <c r="I149" s="6"/>
      <c r="J149" s="6"/>
    </row>
    <row r="150" spans="1:10" x14ac:dyDescent="0.25">
      <c r="A150" s="6"/>
      <c r="B150" s="6"/>
      <c r="C150" s="6"/>
      <c r="D150" s="6"/>
      <c r="E150" s="6"/>
      <c r="F150" s="6"/>
      <c r="G150" s="6"/>
      <c r="H150" s="6"/>
      <c r="I150" s="6"/>
      <c r="J150" s="6"/>
    </row>
    <row r="151" spans="1:10" x14ac:dyDescent="0.25">
      <c r="A151" s="6"/>
      <c r="B151" s="6"/>
      <c r="C151" s="6"/>
      <c r="D151" s="6"/>
      <c r="E151" s="6"/>
      <c r="F151" s="6"/>
      <c r="G151" s="6"/>
      <c r="H151" s="6"/>
      <c r="I151" s="6"/>
      <c r="J151" s="6"/>
    </row>
    <row r="152" spans="1:10" x14ac:dyDescent="0.25">
      <c r="A152" s="6"/>
      <c r="B152" s="6"/>
      <c r="C152" s="6"/>
      <c r="D152" s="6"/>
      <c r="E152" s="6"/>
      <c r="F152" s="6"/>
      <c r="G152" s="6"/>
      <c r="H152" s="6"/>
      <c r="I152" s="6"/>
      <c r="J152" s="6"/>
    </row>
    <row r="153" spans="1:10" x14ac:dyDescent="0.25">
      <c r="A153" s="6"/>
      <c r="B153" s="6"/>
      <c r="C153" s="6"/>
      <c r="D153" s="6"/>
      <c r="E153" s="6"/>
      <c r="F153" s="6"/>
      <c r="G153" s="6"/>
      <c r="H153" s="6"/>
      <c r="I153" s="6"/>
      <c r="J153" s="6"/>
    </row>
    <row r="154" spans="1:10" x14ac:dyDescent="0.25">
      <c r="A154" s="6"/>
      <c r="B154" s="6"/>
      <c r="C154" s="6"/>
      <c r="D154" s="6"/>
      <c r="E154" s="6"/>
      <c r="F154" s="6"/>
      <c r="G154" s="6"/>
      <c r="H154" s="6"/>
      <c r="I154" s="6"/>
      <c r="J154" s="6"/>
    </row>
    <row r="155" spans="1:10" x14ac:dyDescent="0.25">
      <c r="A155" s="6"/>
      <c r="B155" s="6"/>
      <c r="C155" s="6"/>
      <c r="D155" s="6"/>
      <c r="E155" s="6"/>
      <c r="F155" s="6"/>
      <c r="G155" s="6"/>
      <c r="H155" s="6"/>
      <c r="I155" s="6"/>
      <c r="J155" s="6"/>
    </row>
    <row r="156" spans="1:10" x14ac:dyDescent="0.25">
      <c r="A156" s="6"/>
      <c r="B156" s="6"/>
      <c r="C156" s="6"/>
      <c r="D156" s="6"/>
      <c r="E156" s="6"/>
      <c r="F156" s="6"/>
      <c r="G156" s="6"/>
      <c r="H156" s="6"/>
      <c r="I156" s="6"/>
      <c r="J156" s="6"/>
    </row>
    <row r="157" spans="1:10" x14ac:dyDescent="0.25">
      <c r="A157" s="6"/>
      <c r="B157" s="6"/>
      <c r="C157" s="6"/>
      <c r="D157" s="6"/>
      <c r="E157" s="6"/>
      <c r="F157" s="6"/>
      <c r="G157" s="6"/>
      <c r="H157" s="6"/>
      <c r="I157" s="6"/>
      <c r="J157" s="6"/>
    </row>
    <row r="158" spans="1:10" x14ac:dyDescent="0.25">
      <c r="A158" s="6"/>
      <c r="B158" s="6"/>
      <c r="C158" s="6"/>
      <c r="D158" s="6"/>
      <c r="E158" s="6"/>
      <c r="F158" s="6"/>
      <c r="G158" s="6"/>
      <c r="H158" s="6"/>
      <c r="I158" s="6"/>
      <c r="J158" s="6"/>
    </row>
    <row r="159" spans="1:10" x14ac:dyDescent="0.25">
      <c r="A159" s="6"/>
      <c r="B159" s="6"/>
      <c r="C159" s="6"/>
      <c r="D159" s="6"/>
      <c r="E159" s="6"/>
      <c r="F159" s="6"/>
      <c r="G159" s="6"/>
      <c r="H159" s="6"/>
      <c r="I159" s="6"/>
      <c r="J159" s="6"/>
    </row>
    <row r="160" spans="1:10" x14ac:dyDescent="0.25">
      <c r="A160" s="6"/>
      <c r="B160" s="6"/>
      <c r="C160" s="6"/>
      <c r="D160" s="6"/>
      <c r="E160" s="6"/>
      <c r="F160" s="6"/>
      <c r="G160" s="6"/>
      <c r="H160" s="6"/>
      <c r="I160" s="6"/>
      <c r="J160" s="6"/>
    </row>
    <row r="161" spans="1:10" x14ac:dyDescent="0.25">
      <c r="A161" s="6"/>
      <c r="B161" s="6"/>
      <c r="C161" s="6"/>
      <c r="D161" s="6"/>
      <c r="E161" s="6"/>
      <c r="F161" s="6"/>
      <c r="G161" s="6"/>
      <c r="H161" s="6"/>
      <c r="I161" s="6"/>
      <c r="J161" s="6"/>
    </row>
    <row r="162" spans="1:10" x14ac:dyDescent="0.25">
      <c r="A162" s="6"/>
      <c r="B162" s="6"/>
      <c r="C162" s="6"/>
      <c r="D162" s="6"/>
      <c r="E162" s="6"/>
      <c r="F162" s="6"/>
      <c r="G162" s="6"/>
      <c r="H162" s="6"/>
      <c r="I162" s="6"/>
      <c r="J162" s="6"/>
    </row>
    <row r="163" spans="1:10" x14ac:dyDescent="0.25">
      <c r="A163" s="6"/>
      <c r="B163" s="6"/>
      <c r="C163" s="6"/>
      <c r="D163" s="6"/>
      <c r="E163" s="6"/>
      <c r="F163" s="6"/>
      <c r="G163" s="6"/>
      <c r="H163" s="6"/>
      <c r="I163" s="6"/>
      <c r="J163" s="6"/>
    </row>
    <row r="164" spans="1:10" x14ac:dyDescent="0.25">
      <c r="A164" s="6"/>
      <c r="B164" s="6"/>
      <c r="C164" s="6"/>
      <c r="D164" s="6"/>
      <c r="E164" s="6"/>
      <c r="F164" s="6"/>
      <c r="G164" s="6"/>
      <c r="H164" s="6"/>
      <c r="I164" s="6"/>
      <c r="J164" s="6"/>
    </row>
    <row r="165" spans="1:10" x14ac:dyDescent="0.25">
      <c r="A165" s="6"/>
      <c r="B165" s="6"/>
      <c r="C165" s="6"/>
      <c r="D165" s="6"/>
      <c r="E165" s="6"/>
      <c r="F165" s="6"/>
      <c r="G165" s="6"/>
      <c r="H165" s="6"/>
      <c r="I165" s="6"/>
      <c r="J165" s="6"/>
    </row>
    <row r="166" spans="1:10" x14ac:dyDescent="0.25">
      <c r="A166" s="6"/>
      <c r="B166" s="6"/>
      <c r="C166" s="6"/>
      <c r="D166" s="6"/>
      <c r="E166" s="6"/>
      <c r="F166" s="6"/>
      <c r="G166" s="6"/>
      <c r="H166" s="6"/>
      <c r="I166" s="6"/>
      <c r="J166" s="6"/>
    </row>
    <row r="167" spans="1:10" x14ac:dyDescent="0.25">
      <c r="A167" s="6"/>
      <c r="B167" s="6"/>
      <c r="C167" s="6"/>
      <c r="D167" s="6"/>
      <c r="E167" s="6"/>
      <c r="F167" s="6"/>
      <c r="G167" s="6"/>
      <c r="H167" s="6"/>
      <c r="I167" s="6"/>
      <c r="J167" s="6"/>
    </row>
    <row r="168" spans="1:10" x14ac:dyDescent="0.25">
      <c r="A168" s="6"/>
      <c r="B168" s="6"/>
      <c r="C168" s="6"/>
      <c r="D168" s="6"/>
      <c r="E168" s="6"/>
      <c r="F168" s="6"/>
      <c r="G168" s="6"/>
      <c r="H168" s="6"/>
      <c r="I168" s="6"/>
      <c r="J168" s="6"/>
    </row>
    <row r="169" spans="1:10" x14ac:dyDescent="0.25">
      <c r="A169" s="6"/>
      <c r="B169" s="6"/>
      <c r="C169" s="6"/>
      <c r="D169" s="6"/>
      <c r="E169" s="6"/>
      <c r="F169" s="6"/>
      <c r="G169" s="6"/>
      <c r="H169" s="6"/>
      <c r="I169" s="6"/>
      <c r="J169" s="6"/>
    </row>
    <row r="170" spans="1:10" x14ac:dyDescent="0.25">
      <c r="A170" s="6"/>
      <c r="B170" s="6"/>
      <c r="C170" s="6"/>
      <c r="D170" s="6"/>
      <c r="E170" s="6"/>
      <c r="F170" s="6"/>
      <c r="G170" s="6"/>
      <c r="H170" s="6"/>
      <c r="I170" s="6"/>
      <c r="J170" s="6"/>
    </row>
    <row r="171" spans="1:10" x14ac:dyDescent="0.25">
      <c r="A171" s="6"/>
      <c r="B171" s="6"/>
      <c r="C171" s="6"/>
      <c r="D171" s="6"/>
      <c r="E171" s="6"/>
      <c r="F171" s="6"/>
      <c r="G171" s="6"/>
      <c r="H171" s="6"/>
      <c r="I171" s="6"/>
      <c r="J171" s="6"/>
    </row>
    <row r="172" spans="1:10" x14ac:dyDescent="0.25">
      <c r="A172" s="6"/>
      <c r="B172" s="6"/>
      <c r="C172" s="6"/>
      <c r="D172" s="6"/>
      <c r="E172" s="6"/>
      <c r="F172" s="6"/>
      <c r="G172" s="6"/>
      <c r="H172" s="6"/>
      <c r="I172" s="6"/>
      <c r="J172" s="6"/>
    </row>
    <row r="173" spans="1:10" x14ac:dyDescent="0.25">
      <c r="A173" s="6"/>
      <c r="B173" s="6"/>
      <c r="C173" s="6"/>
      <c r="D173" s="6"/>
      <c r="E173" s="6"/>
      <c r="F173" s="6"/>
      <c r="G173" s="6"/>
      <c r="H173" s="6"/>
      <c r="I173" s="6"/>
      <c r="J173" s="6"/>
    </row>
    <row r="174" spans="1:10" x14ac:dyDescent="0.25">
      <c r="A174" s="6"/>
      <c r="B174" s="6"/>
      <c r="C174" s="6"/>
      <c r="D174" s="6"/>
      <c r="E174" s="6"/>
      <c r="F174" s="6"/>
      <c r="G174" s="6"/>
      <c r="H174" s="6"/>
      <c r="I174" s="6"/>
      <c r="J174" s="6"/>
    </row>
    <row r="175" spans="1:10" x14ac:dyDescent="0.25">
      <c r="A175" s="6"/>
      <c r="B175" s="6"/>
      <c r="C175" s="6"/>
      <c r="D175" s="6"/>
      <c r="E175" s="6"/>
      <c r="F175" s="6"/>
      <c r="G175" s="6"/>
      <c r="H175" s="6"/>
      <c r="I175" s="6"/>
      <c r="J175" s="6"/>
    </row>
    <row r="176" spans="1:10" x14ac:dyDescent="0.25">
      <c r="A176" s="6"/>
      <c r="B176" s="6"/>
      <c r="C176" s="6"/>
      <c r="D176" s="6"/>
      <c r="E176" s="6"/>
      <c r="F176" s="6"/>
      <c r="G176" s="6"/>
      <c r="H176" s="6"/>
      <c r="I176" s="6"/>
      <c r="J176" s="6"/>
    </row>
    <row r="177" spans="1:10" x14ac:dyDescent="0.25">
      <c r="A177" s="6"/>
      <c r="B177" s="6"/>
      <c r="C177" s="6"/>
      <c r="D177" s="6"/>
      <c r="E177" s="6"/>
      <c r="F177" s="6"/>
      <c r="G177" s="6"/>
      <c r="H177" s="6"/>
      <c r="I177" s="6"/>
      <c r="J177" s="6"/>
    </row>
    <row r="178" spans="1:10" x14ac:dyDescent="0.25">
      <c r="A178" s="6"/>
      <c r="B178" s="6"/>
      <c r="C178" s="6"/>
      <c r="D178" s="6"/>
      <c r="E178" s="6"/>
      <c r="F178" s="6"/>
      <c r="G178" s="6"/>
      <c r="H178" s="6"/>
      <c r="I178" s="6"/>
      <c r="J178" s="6"/>
    </row>
    <row r="179" spans="1:10" x14ac:dyDescent="0.25">
      <c r="A179" s="6"/>
      <c r="B179" s="6"/>
      <c r="C179" s="6"/>
      <c r="D179" s="6"/>
      <c r="E179" s="6"/>
      <c r="F179" s="6"/>
      <c r="G179" s="6"/>
      <c r="H179" s="6"/>
      <c r="I179" s="6"/>
      <c r="J179" s="6"/>
    </row>
    <row r="180" spans="1:10" x14ac:dyDescent="0.25">
      <c r="A180" s="6"/>
      <c r="B180" s="6"/>
      <c r="C180" s="6"/>
      <c r="D180" s="6"/>
      <c r="E180" s="6"/>
      <c r="F180" s="6"/>
      <c r="G180" s="6"/>
      <c r="H180" s="6"/>
      <c r="I180" s="6"/>
      <c r="J180" s="6"/>
    </row>
    <row r="181" spans="1:10" x14ac:dyDescent="0.25">
      <c r="A181" s="6"/>
      <c r="B181" s="6"/>
      <c r="C181" s="6"/>
      <c r="D181" s="6"/>
      <c r="E181" s="6"/>
      <c r="F181" s="6"/>
      <c r="G181" s="6"/>
      <c r="H181" s="6"/>
      <c r="I181" s="6"/>
      <c r="J181" s="6"/>
    </row>
    <row r="182" spans="1:10" x14ac:dyDescent="0.25">
      <c r="A182" s="6"/>
      <c r="B182" s="6"/>
      <c r="C182" s="6"/>
      <c r="D182" s="6"/>
      <c r="E182" s="6"/>
      <c r="F182" s="6"/>
      <c r="G182" s="6"/>
      <c r="H182" s="6"/>
      <c r="I182" s="6"/>
      <c r="J182" s="6"/>
    </row>
    <row r="183" spans="1:10" x14ac:dyDescent="0.25">
      <c r="A183" s="6"/>
      <c r="B183" s="6"/>
      <c r="C183" s="6"/>
      <c r="D183" s="6"/>
      <c r="E183" s="6"/>
      <c r="F183" s="6"/>
      <c r="G183" s="6"/>
      <c r="H183" s="6"/>
      <c r="I183" s="6"/>
      <c r="J183" s="6"/>
    </row>
    <row r="184" spans="1:10" x14ac:dyDescent="0.25">
      <c r="A184" s="6"/>
      <c r="B184" s="6"/>
      <c r="C184" s="6"/>
      <c r="D184" s="6"/>
      <c r="E184" s="6"/>
      <c r="F184" s="6"/>
      <c r="G184" s="6"/>
      <c r="H184" s="6"/>
      <c r="I184" s="6"/>
      <c r="J184" s="6"/>
    </row>
    <row r="185" spans="1:10" x14ac:dyDescent="0.25">
      <c r="A185" s="6"/>
      <c r="B185" s="6"/>
      <c r="C185" s="6"/>
      <c r="D185" s="6"/>
      <c r="E185" s="6"/>
      <c r="F185" s="6"/>
      <c r="G185" s="6"/>
      <c r="H185" s="6"/>
      <c r="I185" s="6"/>
      <c r="J185" s="6"/>
    </row>
    <row r="186" spans="1:10" x14ac:dyDescent="0.25">
      <c r="A186" s="6"/>
      <c r="B186" s="6"/>
      <c r="C186" s="6"/>
      <c r="D186" s="6"/>
      <c r="E186" s="6"/>
      <c r="F186" s="6"/>
      <c r="G186" s="6"/>
      <c r="H186" s="6"/>
      <c r="I186" s="6"/>
      <c r="J186" s="6"/>
    </row>
    <row r="187" spans="1:10" x14ac:dyDescent="0.25">
      <c r="A187" s="6"/>
      <c r="B187" s="6"/>
      <c r="C187" s="6"/>
      <c r="D187" s="6"/>
      <c r="E187" s="6"/>
      <c r="F187" s="6"/>
      <c r="G187" s="6"/>
      <c r="H187" s="6"/>
      <c r="I187" s="6"/>
      <c r="J187" s="6"/>
    </row>
    <row r="188" spans="1:10" x14ac:dyDescent="0.25">
      <c r="A188" s="6"/>
      <c r="B188" s="6"/>
      <c r="C188" s="6"/>
      <c r="D188" s="6"/>
      <c r="E188" s="6"/>
      <c r="F188" s="6"/>
      <c r="G188" s="6"/>
      <c r="H188" s="6"/>
      <c r="I188" s="6"/>
      <c r="J188" s="6"/>
    </row>
    <row r="189" spans="1:10" x14ac:dyDescent="0.25">
      <c r="A189" s="6"/>
      <c r="B189" s="6"/>
      <c r="C189" s="6"/>
      <c r="D189" s="6"/>
      <c r="E189" s="6"/>
      <c r="F189" s="6"/>
      <c r="G189" s="6"/>
      <c r="H189" s="6"/>
      <c r="I189" s="6"/>
      <c r="J189" s="6"/>
    </row>
    <row r="190" spans="1:10" x14ac:dyDescent="0.25">
      <c r="A190" s="6"/>
      <c r="B190" s="6"/>
      <c r="C190" s="6"/>
      <c r="D190" s="6"/>
      <c r="E190" s="6"/>
      <c r="F190" s="6"/>
      <c r="G190" s="6"/>
      <c r="H190" s="6"/>
      <c r="I190" s="6"/>
      <c r="J190" s="6"/>
    </row>
    <row r="191" spans="1:10" x14ac:dyDescent="0.25">
      <c r="A191" s="6"/>
      <c r="B191" s="6"/>
      <c r="C191" s="6"/>
      <c r="D191" s="6"/>
      <c r="E191" s="6"/>
      <c r="F191" s="6"/>
      <c r="G191" s="6"/>
      <c r="H191" s="6"/>
      <c r="I191" s="6"/>
      <c r="J191" s="6"/>
    </row>
    <row r="192" spans="1:10" x14ac:dyDescent="0.25">
      <c r="A192" s="6"/>
      <c r="B192" s="6"/>
      <c r="C192" s="6"/>
      <c r="D192" s="6"/>
      <c r="E192" s="6"/>
      <c r="F192" s="6"/>
      <c r="G192" s="6"/>
      <c r="H192" s="6"/>
      <c r="I192" s="6"/>
      <c r="J192" s="6"/>
    </row>
    <row r="193" spans="1:10" x14ac:dyDescent="0.25">
      <c r="A193" s="6"/>
      <c r="B193" s="6"/>
      <c r="C193" s="6"/>
      <c r="D193" s="6"/>
      <c r="E193" s="6"/>
      <c r="F193" s="6"/>
      <c r="G193" s="6"/>
      <c r="H193" s="6"/>
      <c r="I193" s="6"/>
      <c r="J193" s="6"/>
    </row>
    <row r="194" spans="1:10" x14ac:dyDescent="0.25">
      <c r="A194" s="6"/>
      <c r="B194" s="6"/>
      <c r="C194" s="6"/>
      <c r="D194" s="6"/>
      <c r="E194" s="6"/>
      <c r="F194" s="6"/>
      <c r="G194" s="6"/>
      <c r="H194" s="6"/>
      <c r="I194" s="6"/>
      <c r="J194" s="6"/>
    </row>
    <row r="195" spans="1:10" x14ac:dyDescent="0.25">
      <c r="A195" s="6"/>
      <c r="B195" s="6"/>
      <c r="C195" s="6"/>
      <c r="D195" s="6"/>
      <c r="E195" s="6"/>
      <c r="F195" s="6"/>
      <c r="G195" s="6"/>
      <c r="H195" s="6"/>
      <c r="I195" s="6"/>
      <c r="J195" s="6"/>
    </row>
    <row r="196" spans="1:10" x14ac:dyDescent="0.25">
      <c r="A196" s="6"/>
      <c r="B196" s="6"/>
      <c r="C196" s="6"/>
      <c r="D196" s="6"/>
      <c r="E196" s="6"/>
      <c r="F196" s="6"/>
      <c r="G196" s="6"/>
      <c r="H196" s="6"/>
      <c r="I196" s="6"/>
      <c r="J196" s="6"/>
    </row>
    <row r="197" spans="1:10" x14ac:dyDescent="0.25">
      <c r="A197" s="6"/>
      <c r="B197" s="6"/>
      <c r="C197" s="6"/>
      <c r="D197" s="6"/>
      <c r="E197" s="6"/>
      <c r="F197" s="6"/>
      <c r="G197" s="6"/>
      <c r="H197" s="6"/>
      <c r="I197" s="6"/>
      <c r="J197" s="6"/>
    </row>
    <row r="198" spans="1:10" x14ac:dyDescent="0.25">
      <c r="A198" s="6"/>
      <c r="B198" s="6"/>
      <c r="C198" s="6"/>
      <c r="D198" s="6"/>
      <c r="E198" s="6"/>
      <c r="F198" s="6"/>
      <c r="G198" s="6"/>
      <c r="H198" s="6"/>
      <c r="I198" s="6"/>
      <c r="J198" s="6"/>
    </row>
    <row r="199" spans="1:10" x14ac:dyDescent="0.25">
      <c r="A199" s="6"/>
      <c r="B199" s="6"/>
      <c r="C199" s="6"/>
      <c r="D199" s="6"/>
      <c r="E199" s="6"/>
      <c r="F199" s="6"/>
      <c r="G199" s="6"/>
      <c r="H199" s="6"/>
      <c r="I199" s="6"/>
      <c r="J199" s="6"/>
    </row>
    <row r="200" spans="1:10" x14ac:dyDescent="0.25">
      <c r="A200" s="6"/>
      <c r="B200" s="6"/>
      <c r="C200" s="6"/>
      <c r="D200" s="6"/>
      <c r="E200" s="6"/>
      <c r="F200" s="6"/>
      <c r="G200" s="6"/>
      <c r="H200" s="6"/>
      <c r="I200" s="6"/>
      <c r="J200" s="6"/>
    </row>
    <row r="201" spans="1:10" x14ac:dyDescent="0.25">
      <c r="A201" s="6"/>
      <c r="B201" s="6"/>
      <c r="C201" s="6"/>
      <c r="D201" s="6"/>
      <c r="E201" s="6"/>
      <c r="F201" s="6"/>
      <c r="G201" s="6"/>
      <c r="H201" s="6"/>
      <c r="I201" s="6"/>
      <c r="J201" s="6"/>
    </row>
    <row r="202" spans="1:10" x14ac:dyDescent="0.25">
      <c r="A202" s="6"/>
      <c r="B202" s="6"/>
      <c r="C202" s="6"/>
      <c r="D202" s="6"/>
      <c r="E202" s="6"/>
      <c r="F202" s="6"/>
      <c r="G202" s="6"/>
      <c r="H202" s="6"/>
      <c r="I202" s="6"/>
      <c r="J202" s="6"/>
    </row>
    <row r="203" spans="1:10" x14ac:dyDescent="0.25">
      <c r="A203" s="6"/>
      <c r="B203" s="6"/>
      <c r="C203" s="6"/>
      <c r="D203" s="6"/>
      <c r="E203" s="6"/>
      <c r="F203" s="6"/>
      <c r="G203" s="6"/>
      <c r="H203" s="6"/>
      <c r="I203" s="6"/>
      <c r="J203" s="6"/>
    </row>
    <row r="204" spans="1:10" x14ac:dyDescent="0.25">
      <c r="A204" s="6"/>
      <c r="B204" s="6"/>
      <c r="C204" s="6"/>
      <c r="D204" s="6"/>
      <c r="E204" s="6"/>
      <c r="F204" s="6"/>
      <c r="G204" s="6"/>
      <c r="H204" s="6"/>
      <c r="I204" s="6"/>
      <c r="J204" s="6"/>
    </row>
    <row r="205" spans="1:10" x14ac:dyDescent="0.25">
      <c r="A205" s="6"/>
      <c r="B205" s="6"/>
      <c r="C205" s="6"/>
      <c r="D205" s="6"/>
      <c r="E205" s="6"/>
      <c r="F205" s="6"/>
      <c r="G205" s="6"/>
      <c r="H205" s="6"/>
      <c r="I205" s="6"/>
      <c r="J205" s="6"/>
    </row>
    <row r="206" spans="1:10" x14ac:dyDescent="0.25">
      <c r="A206" s="6"/>
      <c r="B206" s="6"/>
      <c r="C206" s="6"/>
      <c r="D206" s="6"/>
      <c r="E206" s="6"/>
      <c r="F206" s="6"/>
      <c r="G206" s="6"/>
      <c r="H206" s="6"/>
      <c r="I206" s="6"/>
      <c r="J206" s="6"/>
    </row>
    <row r="207" spans="1:10" x14ac:dyDescent="0.25">
      <c r="A207" s="6"/>
      <c r="B207" s="6"/>
      <c r="C207" s="6"/>
      <c r="D207" s="6"/>
      <c r="E207" s="6"/>
      <c r="F207" s="6"/>
      <c r="G207" s="6"/>
      <c r="H207" s="6"/>
      <c r="I207" s="6"/>
      <c r="J207" s="6"/>
    </row>
    <row r="208" spans="1:10" x14ac:dyDescent="0.25">
      <c r="A208" s="6"/>
      <c r="B208" s="6"/>
      <c r="C208" s="6"/>
      <c r="D208" s="6"/>
      <c r="E208" s="6"/>
      <c r="F208" s="6"/>
      <c r="G208" s="6"/>
      <c r="H208" s="6"/>
      <c r="I208" s="6"/>
      <c r="J208" s="6"/>
    </row>
    <row r="209" spans="1:10" x14ac:dyDescent="0.25">
      <c r="A209" s="6"/>
      <c r="B209" s="6"/>
      <c r="C209" s="6"/>
      <c r="D209" s="6"/>
      <c r="E209" s="6"/>
      <c r="F209" s="6"/>
      <c r="G209" s="6"/>
      <c r="H209" s="6"/>
      <c r="I209" s="6"/>
      <c r="J209" s="6"/>
    </row>
    <row r="210" spans="1:10" x14ac:dyDescent="0.25">
      <c r="A210" s="6"/>
      <c r="B210" s="6"/>
      <c r="C210" s="6"/>
      <c r="D210" s="6"/>
      <c r="E210" s="6"/>
      <c r="F210" s="6"/>
      <c r="G210" s="6"/>
      <c r="H210" s="6"/>
      <c r="I210" s="6"/>
      <c r="J210" s="6"/>
    </row>
    <row r="211" spans="1:10" x14ac:dyDescent="0.25">
      <c r="A211" s="6"/>
      <c r="B211" s="6"/>
      <c r="C211" s="6"/>
      <c r="D211" s="6"/>
      <c r="E211" s="6"/>
      <c r="F211" s="6"/>
      <c r="G211" s="6"/>
      <c r="H211" s="6"/>
      <c r="I211" s="6"/>
      <c r="J211" s="6"/>
    </row>
    <row r="212" spans="1:10" x14ac:dyDescent="0.25">
      <c r="A212" s="6"/>
      <c r="B212" s="6"/>
      <c r="C212" s="6"/>
      <c r="D212" s="6"/>
      <c r="E212" s="6"/>
      <c r="F212" s="6"/>
      <c r="G212" s="6"/>
      <c r="H212" s="6"/>
      <c r="I212" s="6"/>
      <c r="J212" s="6"/>
    </row>
    <row r="213" spans="1:10" x14ac:dyDescent="0.25">
      <c r="A213" s="6"/>
      <c r="B213" s="6"/>
      <c r="C213" s="6"/>
      <c r="D213" s="6"/>
      <c r="E213" s="6"/>
      <c r="F213" s="6"/>
      <c r="G213" s="6"/>
      <c r="H213" s="6"/>
      <c r="I213" s="6"/>
      <c r="J213" s="6"/>
    </row>
    <row r="214" spans="1:10" x14ac:dyDescent="0.25">
      <c r="A214" s="6"/>
      <c r="B214" s="6"/>
      <c r="C214" s="6"/>
      <c r="D214" s="6"/>
      <c r="E214" s="6"/>
      <c r="F214" s="6"/>
      <c r="G214" s="6"/>
      <c r="H214" s="6"/>
      <c r="I214" s="6"/>
      <c r="J214" s="6"/>
    </row>
    <row r="215" spans="1:10" x14ac:dyDescent="0.25">
      <c r="A215" s="6"/>
      <c r="B215" s="6"/>
      <c r="C215" s="6"/>
      <c r="D215" s="6"/>
      <c r="E215" s="6"/>
      <c r="F215" s="6"/>
      <c r="G215" s="6"/>
      <c r="H215" s="6"/>
      <c r="I215" s="6"/>
      <c r="J215" s="6"/>
    </row>
    <row r="216" spans="1:10" x14ac:dyDescent="0.25">
      <c r="A216" s="6"/>
      <c r="B216" s="6"/>
      <c r="C216" s="6"/>
      <c r="D216" s="6"/>
      <c r="E216" s="6"/>
      <c r="F216" s="6"/>
      <c r="G216" s="6"/>
      <c r="H216" s="6"/>
      <c r="I216" s="6"/>
      <c r="J216" s="6"/>
    </row>
    <row r="217" spans="1:10" x14ac:dyDescent="0.25">
      <c r="A217" s="6"/>
      <c r="B217" s="6"/>
      <c r="C217" s="6"/>
      <c r="D217" s="6"/>
      <c r="E217" s="6"/>
      <c r="F217" s="6"/>
      <c r="G217" s="6"/>
      <c r="H217" s="6"/>
      <c r="I217" s="6"/>
      <c r="J217" s="6"/>
    </row>
    <row r="218" spans="1:10" x14ac:dyDescent="0.25">
      <c r="A218" s="6"/>
      <c r="B218" s="6"/>
      <c r="C218" s="6"/>
      <c r="D218" s="6"/>
      <c r="E218" s="6"/>
      <c r="F218" s="6"/>
      <c r="G218" s="6"/>
      <c r="H218" s="6"/>
      <c r="I218" s="6"/>
      <c r="J218" s="6"/>
    </row>
    <row r="219" spans="1:10" x14ac:dyDescent="0.25">
      <c r="A219" s="6"/>
      <c r="B219" s="6"/>
      <c r="C219" s="6"/>
      <c r="D219" s="6"/>
      <c r="E219" s="6"/>
      <c r="F219" s="6"/>
      <c r="G219" s="6"/>
      <c r="H219" s="6"/>
      <c r="I219" s="6"/>
      <c r="J219" s="6"/>
    </row>
    <row r="220" spans="1:10" x14ac:dyDescent="0.25">
      <c r="A220" s="6"/>
      <c r="B220" s="6"/>
      <c r="C220" s="6"/>
      <c r="D220" s="6"/>
      <c r="E220" s="6"/>
      <c r="F220" s="6"/>
      <c r="G220" s="6"/>
      <c r="H220" s="6"/>
      <c r="I220" s="6"/>
      <c r="J220" s="6"/>
    </row>
    <row r="221" spans="1:10" x14ac:dyDescent="0.25">
      <c r="A221" s="6"/>
      <c r="B221" s="6"/>
      <c r="C221" s="6"/>
      <c r="D221" s="6"/>
      <c r="E221" s="6"/>
      <c r="F221" s="6"/>
      <c r="G221" s="6"/>
      <c r="H221" s="6"/>
      <c r="I221" s="6"/>
      <c r="J221" s="6"/>
    </row>
    <row r="222" spans="1:10" x14ac:dyDescent="0.25">
      <c r="A222" s="6"/>
      <c r="B222" s="6"/>
      <c r="C222" s="6"/>
      <c r="D222" s="6"/>
      <c r="E222" s="6"/>
      <c r="F222" s="6"/>
      <c r="G222" s="6"/>
      <c r="H222" s="6"/>
      <c r="I222" s="6"/>
      <c r="J222" s="6"/>
    </row>
    <row r="223" spans="1:10" x14ac:dyDescent="0.25">
      <c r="A223" s="6"/>
      <c r="B223" s="6"/>
      <c r="C223" s="6"/>
      <c r="D223" s="6"/>
      <c r="E223" s="6"/>
      <c r="F223" s="6"/>
      <c r="G223" s="6"/>
      <c r="H223" s="6"/>
      <c r="I223" s="6"/>
      <c r="J223" s="6"/>
    </row>
    <row r="224" spans="1:10" x14ac:dyDescent="0.25">
      <c r="A224" s="6"/>
      <c r="B224" s="6"/>
      <c r="C224" s="6"/>
      <c r="D224" s="6"/>
      <c r="E224" s="6"/>
      <c r="F224" s="6"/>
      <c r="G224" s="6"/>
      <c r="H224" s="6"/>
      <c r="I224" s="6"/>
      <c r="J224" s="6"/>
    </row>
    <row r="225" spans="1:10" x14ac:dyDescent="0.25">
      <c r="A225" s="6"/>
      <c r="B225" s="6"/>
      <c r="C225" s="6"/>
      <c r="D225" s="6"/>
      <c r="E225" s="6"/>
      <c r="F225" s="6"/>
      <c r="G225" s="6"/>
      <c r="H225" s="6"/>
      <c r="I225" s="6"/>
      <c r="J225" s="6"/>
    </row>
    <row r="226" spans="1:10" x14ac:dyDescent="0.25">
      <c r="A226" s="6"/>
      <c r="B226" s="6"/>
      <c r="C226" s="6"/>
      <c r="D226" s="6"/>
      <c r="E226" s="6"/>
      <c r="F226" s="6"/>
      <c r="G226" s="6"/>
      <c r="H226" s="6"/>
      <c r="I226" s="6"/>
      <c r="J226" s="6"/>
    </row>
    <row r="227" spans="1:10" x14ac:dyDescent="0.25">
      <c r="A227" s="6"/>
      <c r="B227" s="6"/>
      <c r="C227" s="6"/>
      <c r="D227" s="6"/>
      <c r="E227" s="6"/>
      <c r="F227" s="6"/>
      <c r="G227" s="6"/>
      <c r="H227" s="6"/>
      <c r="I227" s="6"/>
      <c r="J227" s="6"/>
    </row>
    <row r="228" spans="1:10" x14ac:dyDescent="0.25">
      <c r="A228" s="6"/>
      <c r="B228" s="6"/>
      <c r="C228" s="6"/>
      <c r="D228" s="6"/>
      <c r="E228" s="6"/>
      <c r="F228" s="6"/>
      <c r="G228" s="6"/>
      <c r="H228" s="6"/>
      <c r="I228" s="6"/>
      <c r="J228" s="6"/>
    </row>
    <row r="229" spans="1:10" x14ac:dyDescent="0.25">
      <c r="A229" s="6"/>
      <c r="B229" s="6"/>
      <c r="C229" s="6"/>
      <c r="D229" s="6"/>
      <c r="E229" s="6"/>
      <c r="F229" s="6"/>
      <c r="G229" s="6"/>
      <c r="H229" s="6"/>
      <c r="I229" s="6"/>
      <c r="J229" s="6"/>
    </row>
    <row r="230" spans="1:10" x14ac:dyDescent="0.25">
      <c r="A230" s="6"/>
      <c r="B230" s="6"/>
      <c r="C230" s="6"/>
      <c r="D230" s="6"/>
      <c r="E230" s="6"/>
      <c r="F230" s="6"/>
      <c r="G230" s="6"/>
      <c r="H230" s="6"/>
      <c r="I230" s="6"/>
      <c r="J230" s="6"/>
    </row>
    <row r="231" spans="1:10" x14ac:dyDescent="0.25">
      <c r="A231" s="6"/>
      <c r="B231" s="6"/>
      <c r="C231" s="6"/>
      <c r="D231" s="6"/>
      <c r="E231" s="6"/>
      <c r="F231" s="6"/>
      <c r="G231" s="6"/>
      <c r="H231" s="6"/>
      <c r="I231" s="6"/>
      <c r="J231" s="6"/>
    </row>
    <row r="232" spans="1:10" x14ac:dyDescent="0.25">
      <c r="A232" s="6"/>
      <c r="B232" s="6"/>
      <c r="C232" s="6"/>
      <c r="D232" s="6"/>
      <c r="E232" s="6"/>
      <c r="F232" s="6"/>
      <c r="G232" s="6"/>
      <c r="H232" s="6"/>
      <c r="I232" s="6"/>
      <c r="J232" s="6"/>
    </row>
    <row r="233" spans="1:10" x14ac:dyDescent="0.25">
      <c r="A233" s="6"/>
      <c r="B233" s="6"/>
      <c r="C233" s="6"/>
      <c r="D233" s="6"/>
      <c r="E233" s="6"/>
      <c r="F233" s="6"/>
      <c r="G233" s="6"/>
      <c r="H233" s="6"/>
      <c r="I233" s="6"/>
      <c r="J233" s="6"/>
    </row>
    <row r="234" spans="1:10" x14ac:dyDescent="0.25">
      <c r="A234" s="6"/>
      <c r="B234" s="6"/>
      <c r="C234" s="6"/>
      <c r="D234" s="6"/>
      <c r="E234" s="6"/>
      <c r="F234" s="6"/>
      <c r="G234" s="6"/>
      <c r="H234" s="6"/>
      <c r="I234" s="6"/>
      <c r="J234" s="6"/>
    </row>
    <row r="235" spans="1:10" x14ac:dyDescent="0.25">
      <c r="A235" s="6"/>
      <c r="B235" s="6"/>
      <c r="C235" s="6"/>
      <c r="D235" s="6"/>
      <c r="E235" s="6"/>
      <c r="F235" s="6"/>
      <c r="G235" s="6"/>
      <c r="H235" s="6"/>
      <c r="I235" s="6"/>
      <c r="J235" s="6"/>
    </row>
    <row r="236" spans="1:10" x14ac:dyDescent="0.25">
      <c r="A236" s="6"/>
      <c r="B236" s="6"/>
      <c r="C236" s="6"/>
      <c r="D236" s="6"/>
      <c r="E236" s="6"/>
      <c r="F236" s="6"/>
      <c r="G236" s="6"/>
      <c r="H236" s="6"/>
      <c r="I236" s="6"/>
      <c r="J236" s="6"/>
    </row>
    <row r="237" spans="1:10" x14ac:dyDescent="0.25">
      <c r="A237" s="6"/>
      <c r="B237" s="6"/>
      <c r="C237" s="6"/>
      <c r="D237" s="6"/>
      <c r="E237" s="6"/>
      <c r="F237" s="6"/>
      <c r="G237" s="6"/>
      <c r="H237" s="6"/>
      <c r="I237" s="6"/>
      <c r="J237" s="6"/>
    </row>
    <row r="238" spans="1:10" x14ac:dyDescent="0.25">
      <c r="A238" s="6"/>
      <c r="B238" s="6"/>
      <c r="C238" s="6"/>
      <c r="D238" s="6"/>
      <c r="E238" s="6"/>
      <c r="F238" s="6"/>
      <c r="G238" s="6"/>
      <c r="H238" s="6"/>
      <c r="I238" s="6"/>
      <c r="J238" s="6"/>
    </row>
    <row r="239" spans="1:10" x14ac:dyDescent="0.25">
      <c r="A239" s="6"/>
      <c r="B239" s="6"/>
      <c r="C239" s="6"/>
      <c r="D239" s="6"/>
      <c r="E239" s="6"/>
      <c r="F239" s="6"/>
      <c r="G239" s="6"/>
      <c r="H239" s="6"/>
      <c r="I239" s="6"/>
      <c r="J239" s="6"/>
    </row>
    <row r="240" spans="1:10" x14ac:dyDescent="0.25">
      <c r="A240" s="6"/>
      <c r="B240" s="6"/>
      <c r="C240" s="6"/>
      <c r="D240" s="6"/>
      <c r="E240" s="6"/>
      <c r="F240" s="6"/>
      <c r="G240" s="6"/>
      <c r="H240" s="6"/>
      <c r="I240" s="6"/>
      <c r="J240" s="6"/>
    </row>
    <row r="241" spans="1:10" x14ac:dyDescent="0.25">
      <c r="A241" s="6"/>
      <c r="B241" s="6"/>
      <c r="C241" s="6"/>
      <c r="D241" s="6"/>
      <c r="E241" s="6"/>
      <c r="F241" s="6"/>
      <c r="G241" s="6"/>
      <c r="H241" s="6"/>
      <c r="I241" s="6"/>
      <c r="J241" s="6"/>
    </row>
    <row r="242" spans="1:10" x14ac:dyDescent="0.25">
      <c r="A242" s="6"/>
      <c r="B242" s="6"/>
      <c r="C242" s="6"/>
      <c r="D242" s="6"/>
      <c r="E242" s="6"/>
      <c r="F242" s="6"/>
      <c r="G242" s="6"/>
      <c r="H242" s="6"/>
      <c r="I242" s="6"/>
      <c r="J242" s="6"/>
    </row>
    <row r="243" spans="1:10" x14ac:dyDescent="0.25">
      <c r="A243" s="6"/>
      <c r="B243" s="6"/>
      <c r="C243" s="6"/>
      <c r="D243" s="6"/>
      <c r="E243" s="6"/>
      <c r="F243" s="6"/>
      <c r="G243" s="6"/>
      <c r="H243" s="6"/>
      <c r="I243" s="6"/>
      <c r="J243" s="6"/>
    </row>
    <row r="244" spans="1:10" x14ac:dyDescent="0.25">
      <c r="A244" s="6"/>
      <c r="B244" s="6"/>
      <c r="C244" s="6"/>
      <c r="D244" s="6"/>
      <c r="E244" s="6"/>
      <c r="F244" s="6"/>
      <c r="G244" s="6"/>
      <c r="H244" s="6"/>
      <c r="I244" s="6"/>
      <c r="J244" s="6"/>
    </row>
    <row r="245" spans="1:10" x14ac:dyDescent="0.25">
      <c r="A245" s="6"/>
      <c r="B245" s="6"/>
      <c r="C245" s="6"/>
      <c r="D245" s="6"/>
      <c r="E245" s="6"/>
      <c r="F245" s="6"/>
      <c r="G245" s="6"/>
      <c r="H245" s="6"/>
      <c r="I245" s="6"/>
      <c r="J245" s="6"/>
    </row>
    <row r="246" spans="1:10" x14ac:dyDescent="0.25">
      <c r="A246" s="6"/>
      <c r="B246" s="6"/>
      <c r="C246" s="6"/>
      <c r="D246" s="6"/>
      <c r="E246" s="6"/>
      <c r="F246" s="6"/>
      <c r="G246" s="6"/>
      <c r="H246" s="6"/>
      <c r="I246" s="6"/>
      <c r="J246" s="6"/>
    </row>
    <row r="247" spans="1:10" x14ac:dyDescent="0.25">
      <c r="A247" s="6"/>
      <c r="B247" s="6"/>
      <c r="C247" s="6"/>
      <c r="D247" s="6"/>
      <c r="E247" s="6"/>
      <c r="F247" s="6"/>
      <c r="G247" s="6"/>
      <c r="H247" s="6"/>
      <c r="I247" s="6"/>
      <c r="J247" s="6"/>
    </row>
    <row r="248" spans="1:10" x14ac:dyDescent="0.25">
      <c r="A248" s="6"/>
      <c r="B248" s="6"/>
      <c r="C248" s="6"/>
      <c r="D248" s="6"/>
      <c r="E248" s="6"/>
      <c r="F248" s="6"/>
      <c r="G248" s="6"/>
      <c r="H248" s="6"/>
      <c r="I248" s="6"/>
      <c r="J248" s="6"/>
    </row>
    <row r="249" spans="1:10" x14ac:dyDescent="0.25">
      <c r="A249" s="6"/>
      <c r="B249" s="6"/>
      <c r="C249" s="6"/>
      <c r="D249" s="6"/>
      <c r="E249" s="6"/>
      <c r="F249" s="6"/>
      <c r="G249" s="6"/>
      <c r="H249" s="6"/>
      <c r="I249" s="6"/>
      <c r="J249" s="6"/>
    </row>
    <row r="250" spans="1:10" x14ac:dyDescent="0.25">
      <c r="A250" s="6"/>
      <c r="B250" s="6"/>
      <c r="C250" s="6"/>
      <c r="D250" s="6"/>
      <c r="E250" s="6"/>
      <c r="F250" s="6"/>
      <c r="G250" s="6"/>
      <c r="H250" s="6"/>
      <c r="I250" s="6"/>
      <c r="J250" s="6"/>
    </row>
    <row r="251" spans="1:10" x14ac:dyDescent="0.25">
      <c r="A251" s="6"/>
      <c r="B251" s="6"/>
      <c r="C251" s="6"/>
      <c r="D251" s="6"/>
      <c r="E251" s="6"/>
      <c r="F251" s="6"/>
      <c r="G251" s="6"/>
      <c r="H251" s="6"/>
      <c r="I251" s="6"/>
      <c r="J251" s="6"/>
    </row>
    <row r="252" spans="1:10" x14ac:dyDescent="0.25">
      <c r="A252" s="6"/>
      <c r="B252" s="6"/>
      <c r="C252" s="6"/>
      <c r="D252" s="6"/>
      <c r="E252" s="6"/>
      <c r="F252" s="6"/>
      <c r="G252" s="6"/>
      <c r="H252" s="6"/>
      <c r="I252" s="6"/>
      <c r="J252" s="6"/>
    </row>
    <row r="253" spans="1:10" x14ac:dyDescent="0.25">
      <c r="A253" s="6"/>
      <c r="B253" s="6"/>
      <c r="C253" s="6"/>
      <c r="D253" s="6"/>
      <c r="E253" s="6"/>
      <c r="F253" s="6"/>
      <c r="G253" s="6"/>
      <c r="H253" s="6"/>
      <c r="I253" s="6"/>
      <c r="J253" s="6"/>
    </row>
    <row r="254" spans="1:10" x14ac:dyDescent="0.25">
      <c r="A254" s="6"/>
      <c r="B254" s="6"/>
      <c r="C254" s="6"/>
      <c r="D254" s="6"/>
      <c r="E254" s="6"/>
      <c r="F254" s="6"/>
      <c r="G254" s="6"/>
      <c r="H254" s="6"/>
      <c r="I254" s="6"/>
      <c r="J254" s="6"/>
    </row>
    <row r="255" spans="1:10" x14ac:dyDescent="0.25">
      <c r="A255" s="6"/>
      <c r="B255" s="6"/>
      <c r="C255" s="6"/>
      <c r="D255" s="6"/>
      <c r="E255" s="6"/>
      <c r="F255" s="6"/>
      <c r="G255" s="6"/>
      <c r="H255" s="6"/>
      <c r="I255" s="6"/>
      <c r="J255" s="6"/>
    </row>
    <row r="256" spans="1:10" x14ac:dyDescent="0.25">
      <c r="A256" s="6"/>
      <c r="B256" s="6"/>
      <c r="C256" s="6"/>
      <c r="D256" s="6"/>
      <c r="E256" s="6"/>
      <c r="F256" s="6"/>
      <c r="G256" s="6"/>
      <c r="H256" s="6"/>
      <c r="I256" s="6"/>
      <c r="J256" s="6"/>
    </row>
    <row r="257" spans="1:10" x14ac:dyDescent="0.25">
      <c r="A257" s="6"/>
      <c r="B257" s="6"/>
      <c r="C257" s="6"/>
      <c r="D257" s="6"/>
      <c r="E257" s="6"/>
      <c r="F257" s="6"/>
      <c r="G257" s="6"/>
      <c r="H257" s="6"/>
      <c r="I257" s="6"/>
      <c r="J257" s="6"/>
    </row>
    <row r="258" spans="1:10" x14ac:dyDescent="0.25">
      <c r="A258" s="6"/>
      <c r="B258" s="6"/>
      <c r="C258" s="6"/>
      <c r="D258" s="6"/>
      <c r="E258" s="6"/>
      <c r="F258" s="6"/>
      <c r="G258" s="6"/>
      <c r="H258" s="6"/>
      <c r="I258" s="6"/>
      <c r="J258" s="6"/>
    </row>
    <row r="259" spans="1:10" x14ac:dyDescent="0.25">
      <c r="A259" s="6"/>
      <c r="B259" s="6"/>
      <c r="C259" s="6"/>
      <c r="D259" s="6"/>
      <c r="E259" s="6"/>
      <c r="F259" s="6"/>
      <c r="G259" s="6"/>
      <c r="H259" s="6"/>
      <c r="I259" s="6"/>
      <c r="J259" s="6"/>
    </row>
    <row r="260" spans="1:10" x14ac:dyDescent="0.25">
      <c r="A260" s="6"/>
      <c r="B260" s="6"/>
      <c r="C260" s="6"/>
      <c r="D260" s="6"/>
      <c r="E260" s="6"/>
      <c r="F260" s="6"/>
      <c r="G260" s="6"/>
      <c r="H260" s="6"/>
      <c r="I260" s="6"/>
      <c r="J260" s="6"/>
    </row>
    <row r="261" spans="1:10" x14ac:dyDescent="0.25">
      <c r="A261" s="6"/>
      <c r="B261" s="6"/>
      <c r="C261" s="6"/>
      <c r="D261" s="6"/>
      <c r="E261" s="6"/>
      <c r="F261" s="6"/>
      <c r="G261" s="6"/>
      <c r="H261" s="6"/>
      <c r="I261" s="6"/>
      <c r="J261" s="6"/>
    </row>
    <row r="262" spans="1:10" x14ac:dyDescent="0.25">
      <c r="A262" s="6"/>
      <c r="B262" s="6"/>
      <c r="C262" s="6"/>
      <c r="D262" s="6"/>
      <c r="E262" s="6"/>
      <c r="F262" s="6"/>
      <c r="G262" s="6"/>
      <c r="H262" s="6"/>
      <c r="I262" s="6"/>
      <c r="J262" s="6"/>
    </row>
    <row r="263" spans="1:10" x14ac:dyDescent="0.25">
      <c r="A263" s="6"/>
      <c r="B263" s="6"/>
      <c r="C263" s="6"/>
      <c r="D263" s="6"/>
      <c r="E263" s="6"/>
      <c r="F263" s="6"/>
      <c r="G263" s="6"/>
      <c r="H263" s="6"/>
      <c r="I263" s="6"/>
      <c r="J263" s="6"/>
    </row>
    <row r="264" spans="1:10" x14ac:dyDescent="0.25">
      <c r="A264" s="6"/>
      <c r="B264" s="6"/>
      <c r="C264" s="6"/>
      <c r="D264" s="6"/>
      <c r="E264" s="6"/>
      <c r="F264" s="6"/>
      <c r="G264" s="6"/>
      <c r="H264" s="6"/>
      <c r="I264" s="6"/>
      <c r="J264" s="6"/>
    </row>
    <row r="265" spans="1:10" x14ac:dyDescent="0.25">
      <c r="A265" s="6"/>
      <c r="B265" s="6"/>
      <c r="C265" s="6"/>
      <c r="D265" s="6"/>
      <c r="E265" s="6"/>
      <c r="F265" s="6"/>
      <c r="G265" s="6"/>
      <c r="H265" s="6"/>
      <c r="I265" s="6"/>
      <c r="J265" s="6"/>
    </row>
    <row r="266" spans="1:10" x14ac:dyDescent="0.25">
      <c r="A266" s="6"/>
      <c r="B266" s="6"/>
      <c r="C266" s="6"/>
      <c r="D266" s="6"/>
      <c r="E266" s="6"/>
      <c r="F266" s="6"/>
      <c r="G266" s="6"/>
      <c r="H266" s="6"/>
      <c r="I266" s="6"/>
      <c r="J266" s="6"/>
    </row>
    <row r="267" spans="1:10" x14ac:dyDescent="0.25">
      <c r="A267" s="6"/>
      <c r="B267" s="6"/>
      <c r="C267" s="6"/>
      <c r="D267" s="6"/>
      <c r="E267" s="6"/>
      <c r="F267" s="6"/>
      <c r="G267" s="6"/>
      <c r="H267" s="6"/>
      <c r="I267" s="6"/>
      <c r="J267" s="6"/>
    </row>
    <row r="268" spans="1:10" x14ac:dyDescent="0.25">
      <c r="A268" s="6"/>
      <c r="B268" s="6"/>
      <c r="C268" s="6"/>
      <c r="D268" s="6"/>
      <c r="E268" s="6"/>
      <c r="F268" s="6"/>
      <c r="G268" s="6"/>
      <c r="H268" s="6"/>
      <c r="I268" s="6"/>
      <c r="J268" s="6"/>
    </row>
    <row r="269" spans="1:10" x14ac:dyDescent="0.25">
      <c r="A269" s="6"/>
      <c r="B269" s="6"/>
      <c r="C269" s="6"/>
      <c r="D269" s="6"/>
      <c r="E269" s="6"/>
      <c r="F269" s="6"/>
      <c r="G269" s="6"/>
      <c r="H269" s="6"/>
      <c r="I269" s="6"/>
      <c r="J269" s="6"/>
    </row>
    <row r="270" spans="1:10" x14ac:dyDescent="0.25">
      <c r="A270" s="6"/>
      <c r="B270" s="6"/>
      <c r="C270" s="6"/>
      <c r="D270" s="6"/>
      <c r="E270" s="6"/>
      <c r="F270" s="6"/>
      <c r="G270" s="6"/>
      <c r="H270" s="6"/>
      <c r="I270" s="6"/>
      <c r="J270" s="6"/>
    </row>
    <row r="271" spans="1:10" x14ac:dyDescent="0.25">
      <c r="A271" s="6"/>
      <c r="B271" s="6"/>
      <c r="C271" s="6"/>
      <c r="D271" s="6"/>
      <c r="E271" s="6"/>
      <c r="F271" s="6"/>
      <c r="G271" s="6"/>
      <c r="H271" s="6"/>
      <c r="I271" s="6"/>
      <c r="J271" s="6"/>
    </row>
    <row r="272" spans="1:10" x14ac:dyDescent="0.25">
      <c r="A272" s="6"/>
      <c r="B272" s="6"/>
      <c r="C272" s="6"/>
      <c r="D272" s="6"/>
      <c r="E272" s="6"/>
      <c r="F272" s="6"/>
      <c r="G272" s="6"/>
      <c r="H272" s="6"/>
      <c r="I272" s="6"/>
      <c r="J272" s="6"/>
    </row>
    <row r="273" spans="1:10" x14ac:dyDescent="0.25">
      <c r="A273" s="6"/>
      <c r="B273" s="6"/>
      <c r="C273" s="6"/>
      <c r="D273" s="6"/>
      <c r="E273" s="6"/>
      <c r="F273" s="6"/>
      <c r="G273" s="6"/>
      <c r="H273" s="6"/>
      <c r="I273" s="6"/>
      <c r="J273" s="6"/>
    </row>
    <row r="274" spans="1:10" x14ac:dyDescent="0.25">
      <c r="A274" s="6"/>
      <c r="B274" s="6"/>
      <c r="C274" s="6"/>
      <c r="D274" s="6"/>
      <c r="E274" s="6"/>
      <c r="F274" s="6"/>
      <c r="G274" s="6"/>
      <c r="H274" s="6"/>
      <c r="I274" s="6"/>
      <c r="J274" s="6"/>
    </row>
    <row r="275" spans="1:10" x14ac:dyDescent="0.25">
      <c r="A275" s="6"/>
      <c r="B275" s="6"/>
      <c r="C275" s="6"/>
      <c r="D275" s="6"/>
      <c r="E275" s="6"/>
      <c r="F275" s="6"/>
      <c r="G275" s="6"/>
      <c r="H275" s="6"/>
      <c r="I275" s="6"/>
      <c r="J275" s="6"/>
    </row>
    <row r="276" spans="1:10" x14ac:dyDescent="0.25">
      <c r="A276" s="6"/>
      <c r="B276" s="6"/>
      <c r="C276" s="6"/>
      <c r="D276" s="6"/>
      <c r="E276" s="6"/>
      <c r="F276" s="6"/>
      <c r="G276" s="6"/>
      <c r="H276" s="6"/>
      <c r="I276" s="6"/>
      <c r="J276" s="6"/>
    </row>
    <row r="277" spans="1:10" x14ac:dyDescent="0.25">
      <c r="A277" s="6"/>
      <c r="B277" s="6"/>
      <c r="C277" s="6"/>
      <c r="D277" s="6"/>
      <c r="E277" s="6"/>
      <c r="F277" s="6"/>
      <c r="G277" s="6"/>
      <c r="H277" s="6"/>
      <c r="I277" s="6"/>
      <c r="J277" s="6"/>
    </row>
    <row r="278" spans="1:10" x14ac:dyDescent="0.25">
      <c r="A278" s="6"/>
      <c r="B278" s="6"/>
      <c r="C278" s="6"/>
      <c r="D278" s="6"/>
      <c r="E278" s="6"/>
      <c r="F278" s="6"/>
      <c r="G278" s="6"/>
      <c r="H278" s="6"/>
      <c r="I278" s="6"/>
      <c r="J278" s="6"/>
    </row>
    <row r="279" spans="1:10" x14ac:dyDescent="0.25">
      <c r="A279" s="6"/>
      <c r="B279" s="6"/>
      <c r="C279" s="6"/>
      <c r="D279" s="6"/>
      <c r="E279" s="6"/>
      <c r="F279" s="6"/>
      <c r="G279" s="6"/>
      <c r="H279" s="6"/>
      <c r="I279" s="6"/>
      <c r="J279" s="6"/>
    </row>
    <row r="280" spans="1:10" x14ac:dyDescent="0.25">
      <c r="A280" s="6"/>
      <c r="B280" s="6"/>
      <c r="C280" s="6"/>
      <c r="D280" s="6"/>
      <c r="E280" s="6"/>
      <c r="F280" s="6"/>
      <c r="G280" s="6"/>
      <c r="H280" s="6"/>
      <c r="I280" s="6"/>
      <c r="J280" s="6"/>
    </row>
    <row r="281" spans="1:10" x14ac:dyDescent="0.25">
      <c r="A281" s="6"/>
      <c r="B281" s="6"/>
      <c r="C281" s="6"/>
      <c r="D281" s="6"/>
      <c r="E281" s="6"/>
      <c r="F281" s="6"/>
      <c r="G281" s="6"/>
      <c r="H281" s="6"/>
      <c r="I281" s="6"/>
      <c r="J281" s="6"/>
    </row>
    <row r="282" spans="1:10" x14ac:dyDescent="0.25">
      <c r="A282" s="6"/>
      <c r="B282" s="6"/>
      <c r="C282" s="6"/>
      <c r="D282" s="6"/>
      <c r="E282" s="6"/>
      <c r="F282" s="6"/>
      <c r="G282" s="6"/>
      <c r="H282" s="6"/>
      <c r="I282" s="6"/>
      <c r="J282" s="6"/>
    </row>
    <row r="283" spans="1:10" x14ac:dyDescent="0.25">
      <c r="A283" s="6"/>
      <c r="B283" s="6"/>
      <c r="C283" s="6"/>
      <c r="D283" s="6"/>
      <c r="E283" s="6"/>
      <c r="F283" s="6"/>
      <c r="G283" s="6"/>
      <c r="H283" s="6"/>
      <c r="I283" s="6"/>
      <c r="J283" s="6"/>
    </row>
    <row r="284" spans="1:10" x14ac:dyDescent="0.25">
      <c r="A284" s="6"/>
      <c r="B284" s="6"/>
      <c r="C284" s="6"/>
      <c r="D284" s="6"/>
      <c r="E284" s="6"/>
      <c r="F284" s="6"/>
      <c r="G284" s="6"/>
      <c r="H284" s="6"/>
      <c r="I284" s="6"/>
      <c r="J284" s="6"/>
    </row>
    <row r="285" spans="1:10" x14ac:dyDescent="0.25">
      <c r="A285" s="6"/>
      <c r="B285" s="6"/>
      <c r="C285" s="6"/>
      <c r="D285" s="6"/>
      <c r="E285" s="6"/>
      <c r="F285" s="6"/>
      <c r="G285" s="6"/>
      <c r="H285" s="6"/>
      <c r="I285" s="6"/>
      <c r="J285" s="6"/>
    </row>
    <row r="286" spans="1:10" x14ac:dyDescent="0.25">
      <c r="A286" s="6"/>
      <c r="B286" s="6"/>
      <c r="C286" s="6"/>
      <c r="D286" s="6"/>
      <c r="E286" s="6"/>
      <c r="F286" s="6"/>
      <c r="G286" s="6"/>
      <c r="H286" s="6"/>
      <c r="I286" s="6"/>
      <c r="J286" s="6"/>
    </row>
    <row r="287" spans="1:10" x14ac:dyDescent="0.25">
      <c r="A287" s="6"/>
      <c r="B287" s="6"/>
      <c r="C287" s="6"/>
      <c r="D287" s="6"/>
      <c r="E287" s="6"/>
      <c r="F287" s="6"/>
      <c r="G287" s="6"/>
      <c r="H287" s="6"/>
      <c r="I287" s="6"/>
      <c r="J287" s="6"/>
    </row>
    <row r="288" spans="1:10" x14ac:dyDescent="0.25">
      <c r="A288" s="6"/>
      <c r="B288" s="6"/>
      <c r="C288" s="6"/>
      <c r="D288" s="6"/>
      <c r="E288" s="6"/>
      <c r="F288" s="6"/>
      <c r="G288" s="6"/>
      <c r="H288" s="6"/>
      <c r="I288" s="6"/>
      <c r="J288" s="6"/>
    </row>
    <row r="289" spans="1:10" x14ac:dyDescent="0.25">
      <c r="A289" s="6"/>
      <c r="B289" s="6"/>
      <c r="C289" s="6"/>
      <c r="D289" s="6"/>
      <c r="E289" s="6"/>
      <c r="F289" s="6"/>
      <c r="G289" s="6"/>
      <c r="H289" s="6"/>
      <c r="I289" s="6"/>
      <c r="J289" s="6"/>
    </row>
    <row r="290" spans="1:10" x14ac:dyDescent="0.25">
      <c r="A290" s="6"/>
      <c r="B290" s="6"/>
      <c r="C290" s="6"/>
      <c r="D290" s="6"/>
      <c r="E290" s="6"/>
      <c r="F290" s="6"/>
      <c r="G290" s="6"/>
      <c r="H290" s="6"/>
      <c r="I290" s="6"/>
      <c r="J290" s="6"/>
    </row>
    <row r="291" spans="1:10" x14ac:dyDescent="0.25">
      <c r="A291" s="6"/>
      <c r="B291" s="6"/>
      <c r="C291" s="6"/>
      <c r="D291" s="6"/>
      <c r="E291" s="6"/>
      <c r="F291" s="6"/>
      <c r="G291" s="6"/>
      <c r="H291" s="6"/>
      <c r="I291" s="6"/>
      <c r="J291" s="6"/>
    </row>
    <row r="292" spans="1:10" x14ac:dyDescent="0.25">
      <c r="A292" s="6"/>
      <c r="B292" s="6"/>
      <c r="C292" s="6"/>
      <c r="D292" s="6"/>
      <c r="E292" s="6"/>
      <c r="F292" s="6"/>
      <c r="G292" s="6"/>
      <c r="H292" s="6"/>
      <c r="I292" s="6"/>
      <c r="J292" s="6"/>
    </row>
    <row r="293" spans="1:10" x14ac:dyDescent="0.25">
      <c r="A293" s="6"/>
      <c r="B293" s="6"/>
      <c r="C293" s="6"/>
      <c r="D293" s="6"/>
      <c r="E293" s="6"/>
      <c r="F293" s="6"/>
      <c r="G293" s="6"/>
      <c r="H293" s="6"/>
      <c r="I293" s="6"/>
      <c r="J293" s="6"/>
    </row>
    <row r="294" spans="1:10" x14ac:dyDescent="0.25">
      <c r="A294" s="6"/>
      <c r="B294" s="6"/>
      <c r="C294" s="6"/>
      <c r="D294" s="6"/>
      <c r="E294" s="6"/>
      <c r="F294" s="6"/>
      <c r="G294" s="6"/>
      <c r="H294" s="6"/>
      <c r="I294" s="6"/>
      <c r="J294" s="6"/>
    </row>
    <row r="295" spans="1:10" x14ac:dyDescent="0.25">
      <c r="A295" s="6"/>
      <c r="B295" s="6"/>
      <c r="C295" s="6"/>
      <c r="D295" s="6"/>
      <c r="E295" s="6"/>
      <c r="F295" s="6"/>
      <c r="G295" s="6"/>
      <c r="H295" s="6"/>
      <c r="I295" s="6"/>
      <c r="J295" s="6"/>
    </row>
    <row r="296" spans="1:10" x14ac:dyDescent="0.25">
      <c r="A296" s="6"/>
      <c r="B296" s="6"/>
      <c r="C296" s="6"/>
      <c r="D296" s="6"/>
      <c r="E296" s="6"/>
      <c r="F296" s="6"/>
      <c r="G296" s="6"/>
      <c r="H296" s="6"/>
      <c r="I296" s="6"/>
      <c r="J296" s="6"/>
    </row>
    <row r="297" spans="1:10" x14ac:dyDescent="0.25">
      <c r="A297" s="6"/>
      <c r="B297" s="6"/>
      <c r="C297" s="6"/>
      <c r="D297" s="6"/>
      <c r="E297" s="6"/>
      <c r="F297" s="6"/>
      <c r="G297" s="6"/>
      <c r="H297" s="6"/>
      <c r="I297" s="6"/>
      <c r="J297" s="6"/>
    </row>
    <row r="298" spans="1:10" x14ac:dyDescent="0.25">
      <c r="A298" s="6"/>
      <c r="B298" s="6"/>
      <c r="C298" s="6"/>
      <c r="D298" s="6"/>
      <c r="E298" s="6"/>
      <c r="F298" s="6"/>
      <c r="G298" s="6"/>
      <c r="H298" s="6"/>
      <c r="I298" s="6"/>
      <c r="J298" s="6"/>
    </row>
    <row r="299" spans="1:10" x14ac:dyDescent="0.25">
      <c r="A299" s="6"/>
      <c r="B299" s="6"/>
      <c r="C299" s="6"/>
      <c r="D299" s="6"/>
      <c r="E299" s="6"/>
      <c r="F299" s="6"/>
      <c r="G299" s="6"/>
      <c r="H299" s="6"/>
      <c r="I299" s="6"/>
      <c r="J299" s="6"/>
    </row>
    <row r="300" spans="1:10" x14ac:dyDescent="0.25">
      <c r="A300" s="6"/>
      <c r="B300" s="6"/>
      <c r="C300" s="6"/>
      <c r="D300" s="6"/>
      <c r="E300" s="6"/>
      <c r="F300" s="6"/>
      <c r="G300" s="6"/>
      <c r="H300" s="6"/>
      <c r="I300" s="6"/>
      <c r="J300" s="6"/>
    </row>
    <row r="301" spans="1:10" x14ac:dyDescent="0.25">
      <c r="A301" s="6"/>
      <c r="B301" s="6"/>
      <c r="C301" s="6"/>
      <c r="D301" s="6"/>
      <c r="E301" s="6"/>
      <c r="F301" s="6"/>
      <c r="G301" s="6"/>
      <c r="H301" s="6"/>
      <c r="I301" s="6"/>
      <c r="J301" s="6"/>
    </row>
    <row r="302" spans="1:10" x14ac:dyDescent="0.25">
      <c r="A302" s="6"/>
      <c r="B302" s="6"/>
      <c r="C302" s="6"/>
      <c r="D302" s="6"/>
      <c r="E302" s="6"/>
      <c r="F302" s="6"/>
      <c r="G302" s="6"/>
      <c r="H302" s="6"/>
      <c r="I302" s="6"/>
      <c r="J302" s="6"/>
    </row>
    <row r="303" spans="1:10" x14ac:dyDescent="0.25">
      <c r="A303" s="6"/>
      <c r="B303" s="6"/>
      <c r="C303" s="6"/>
      <c r="D303" s="6"/>
      <c r="E303" s="6"/>
      <c r="F303" s="6"/>
      <c r="G303" s="6"/>
      <c r="H303" s="6"/>
      <c r="I303" s="6"/>
      <c r="J303" s="6"/>
    </row>
    <row r="304" spans="1:10" x14ac:dyDescent="0.25">
      <c r="A304" s="6"/>
      <c r="B304" s="6"/>
      <c r="C304" s="6"/>
      <c r="D304" s="6"/>
      <c r="E304" s="6"/>
      <c r="F304" s="6"/>
      <c r="G304" s="6"/>
      <c r="H304" s="6"/>
      <c r="I304" s="6"/>
      <c r="J304" s="6"/>
    </row>
    <row r="305" spans="1:10" x14ac:dyDescent="0.25">
      <c r="A305" s="6"/>
      <c r="B305" s="6"/>
      <c r="C305" s="6"/>
      <c r="D305" s="6"/>
      <c r="E305" s="6"/>
      <c r="F305" s="6"/>
      <c r="G305" s="6"/>
      <c r="H305" s="6"/>
      <c r="I305" s="6"/>
      <c r="J305" s="6"/>
    </row>
    <row r="306" spans="1:10" x14ac:dyDescent="0.25">
      <c r="A306" s="6"/>
      <c r="B306" s="6"/>
      <c r="C306" s="6"/>
      <c r="D306" s="6"/>
      <c r="E306" s="6"/>
      <c r="F306" s="6"/>
      <c r="G306" s="6"/>
      <c r="H306" s="6"/>
      <c r="I306" s="6"/>
      <c r="J306" s="6"/>
    </row>
    <row r="307" spans="1:10" x14ac:dyDescent="0.25">
      <c r="A307" s="6"/>
      <c r="B307" s="6"/>
      <c r="C307" s="6"/>
      <c r="D307" s="6"/>
      <c r="E307" s="6"/>
      <c r="F307" s="6"/>
      <c r="G307" s="6"/>
      <c r="H307" s="6"/>
      <c r="I307" s="6"/>
      <c r="J307" s="6"/>
    </row>
    <row r="308" spans="1:10" x14ac:dyDescent="0.25">
      <c r="A308" s="6"/>
      <c r="B308" s="6"/>
      <c r="C308" s="6"/>
      <c r="D308" s="6"/>
      <c r="E308" s="6"/>
      <c r="F308" s="6"/>
      <c r="G308" s="6"/>
      <c r="H308" s="6"/>
      <c r="I308" s="6"/>
      <c r="J308" s="6"/>
    </row>
    <row r="309" spans="1:10" x14ac:dyDescent="0.25">
      <c r="A309" s="6"/>
      <c r="B309" s="6"/>
      <c r="C309" s="6"/>
      <c r="D309" s="6"/>
      <c r="E309" s="6"/>
      <c r="F309" s="6"/>
      <c r="G309" s="6"/>
      <c r="H309" s="6"/>
      <c r="I309" s="6"/>
      <c r="J309" s="6"/>
    </row>
    <row r="310" spans="1:10" x14ac:dyDescent="0.25">
      <c r="A310" s="6"/>
      <c r="B310" s="6"/>
      <c r="C310" s="6"/>
      <c r="D310" s="6"/>
      <c r="E310" s="6"/>
      <c r="F310" s="6"/>
      <c r="G310" s="6"/>
      <c r="H310" s="6"/>
      <c r="I310" s="6"/>
      <c r="J310" s="6"/>
    </row>
    <row r="311" spans="1:10" x14ac:dyDescent="0.25">
      <c r="A311" s="6"/>
      <c r="B311" s="6"/>
      <c r="C311" s="6"/>
      <c r="D311" s="6"/>
      <c r="E311" s="6"/>
      <c r="F311" s="6"/>
      <c r="G311" s="6"/>
      <c r="H311" s="6"/>
      <c r="I311" s="6"/>
      <c r="J311" s="6"/>
    </row>
    <row r="312" spans="1:10" x14ac:dyDescent="0.25">
      <c r="A312" s="6"/>
      <c r="B312" s="6"/>
      <c r="C312" s="6"/>
      <c r="D312" s="6"/>
      <c r="E312" s="6"/>
      <c r="F312" s="6"/>
      <c r="G312" s="6"/>
      <c r="H312" s="6"/>
      <c r="I312" s="6"/>
      <c r="J312" s="6"/>
    </row>
    <row r="313" spans="1:10" x14ac:dyDescent="0.25">
      <c r="A313" s="6"/>
      <c r="B313" s="6"/>
      <c r="C313" s="6"/>
      <c r="D313" s="6"/>
      <c r="E313" s="6"/>
      <c r="F313" s="6"/>
      <c r="G313" s="6"/>
      <c r="H313" s="6"/>
      <c r="I313" s="6"/>
      <c r="J313" s="6"/>
    </row>
    <row r="314" spans="1:10" x14ac:dyDescent="0.25">
      <c r="A314" s="6"/>
      <c r="B314" s="6"/>
      <c r="C314" s="6"/>
      <c r="D314" s="6"/>
      <c r="E314" s="6"/>
      <c r="F314" s="6"/>
      <c r="G314" s="6"/>
      <c r="H314" s="6"/>
      <c r="I314" s="6"/>
      <c r="J314" s="6"/>
    </row>
    <row r="315" spans="1:10" x14ac:dyDescent="0.25">
      <c r="A315" s="6"/>
      <c r="B315" s="6"/>
      <c r="C315" s="6"/>
      <c r="D315" s="6"/>
      <c r="E315" s="6"/>
      <c r="F315" s="6"/>
      <c r="G315" s="6"/>
      <c r="H315" s="6"/>
      <c r="I315" s="6"/>
      <c r="J315" s="6"/>
    </row>
    <row r="316" spans="1:10" x14ac:dyDescent="0.25">
      <c r="A316" s="6"/>
      <c r="B316" s="6"/>
      <c r="C316" s="6"/>
      <c r="D316" s="6"/>
      <c r="E316" s="6"/>
      <c r="F316" s="6"/>
      <c r="G316" s="6"/>
      <c r="H316" s="6"/>
      <c r="I316" s="6"/>
      <c r="J316" s="6"/>
    </row>
    <row r="317" spans="1:10" x14ac:dyDescent="0.25">
      <c r="A317" s="6"/>
      <c r="B317" s="6"/>
      <c r="C317" s="6"/>
      <c r="D317" s="6"/>
      <c r="E317" s="6"/>
      <c r="F317" s="6"/>
      <c r="G317" s="6"/>
      <c r="H317" s="6"/>
      <c r="I317" s="6"/>
      <c r="J317" s="6"/>
    </row>
    <row r="318" spans="1:10" x14ac:dyDescent="0.25">
      <c r="A318" s="6"/>
      <c r="B318" s="6"/>
      <c r="C318" s="6"/>
      <c r="D318" s="6"/>
      <c r="E318" s="6"/>
      <c r="F318" s="6"/>
      <c r="G318" s="6"/>
      <c r="H318" s="6"/>
      <c r="I318" s="6"/>
      <c r="J318" s="6"/>
    </row>
    <row r="319" spans="1:10" x14ac:dyDescent="0.25">
      <c r="A319" s="6"/>
      <c r="B319" s="6"/>
      <c r="C319" s="6"/>
      <c r="D319" s="6"/>
      <c r="E319" s="6"/>
      <c r="F319" s="6"/>
      <c r="G319" s="6"/>
      <c r="H319" s="6"/>
      <c r="I319" s="6"/>
      <c r="J319" s="6"/>
    </row>
    <row r="320" spans="1:10" x14ac:dyDescent="0.25">
      <c r="A320" s="6"/>
      <c r="B320" s="6"/>
      <c r="C320" s="6"/>
      <c r="D320" s="6"/>
      <c r="E320" s="6"/>
      <c r="F320" s="6"/>
      <c r="G320" s="6"/>
      <c r="H320" s="6"/>
      <c r="I320" s="6"/>
      <c r="J320" s="6"/>
    </row>
    <row r="321" spans="1:10" x14ac:dyDescent="0.25">
      <c r="A321" s="6"/>
      <c r="B321" s="6"/>
      <c r="C321" s="6"/>
      <c r="D321" s="6"/>
      <c r="E321" s="6"/>
      <c r="F321" s="6"/>
      <c r="G321" s="6"/>
      <c r="H321" s="6"/>
      <c r="I321" s="6"/>
      <c r="J321" s="6"/>
    </row>
    <row r="322" spans="1:10" x14ac:dyDescent="0.25">
      <c r="A322" s="6"/>
      <c r="B322" s="6"/>
      <c r="C322" s="6"/>
      <c r="D322" s="6"/>
      <c r="E322" s="6"/>
      <c r="F322" s="6"/>
      <c r="G322" s="6"/>
      <c r="H322" s="6"/>
      <c r="I322" s="6"/>
      <c r="J322" s="6"/>
    </row>
    <row r="323" spans="1:10" x14ac:dyDescent="0.25">
      <c r="A323" s="6"/>
      <c r="B323" s="6"/>
      <c r="C323" s="6"/>
      <c r="D323" s="6"/>
      <c r="E323" s="6"/>
      <c r="F323" s="6"/>
      <c r="G323" s="6"/>
      <c r="H323" s="6"/>
      <c r="I323" s="6"/>
      <c r="J323" s="6"/>
    </row>
    <row r="324" spans="1:10" x14ac:dyDescent="0.25">
      <c r="A324" s="6"/>
      <c r="B324" s="6"/>
      <c r="C324" s="6"/>
      <c r="D324" s="6"/>
      <c r="E324" s="6"/>
      <c r="F324" s="6"/>
      <c r="G324" s="6"/>
      <c r="H324" s="6"/>
      <c r="I324" s="6"/>
      <c r="J324" s="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39"/>
  <sheetViews>
    <sheetView zoomScale="115" zoomScaleNormal="115" workbookViewId="0"/>
  </sheetViews>
  <sheetFormatPr defaultRowHeight="15" x14ac:dyDescent="0.25"/>
  <cols>
    <col min="3" max="3" width="21.5703125" customWidth="1"/>
    <col min="4" max="4" width="17.140625" customWidth="1"/>
    <col min="5" max="5" width="34.140625" customWidth="1"/>
    <col min="6" max="6" width="12" customWidth="1"/>
    <col min="7" max="7" width="34.28515625" customWidth="1"/>
    <col min="9" max="9" width="22" customWidth="1"/>
    <col min="10" max="10" width="34.5703125" customWidth="1"/>
  </cols>
  <sheetData>
    <row r="1" spans="1:17" s="3" customFormat="1" ht="33" x14ac:dyDescent="0.25">
      <c r="A1" s="7" t="s">
        <v>0</v>
      </c>
      <c r="B1" s="8" t="s">
        <v>1</v>
      </c>
      <c r="C1" s="7" t="s">
        <v>2</v>
      </c>
      <c r="D1" s="7" t="s">
        <v>3</v>
      </c>
      <c r="E1" s="7" t="s">
        <v>4</v>
      </c>
      <c r="F1" s="7" t="s">
        <v>5</v>
      </c>
      <c r="G1" s="7" t="s">
        <v>6</v>
      </c>
      <c r="H1" s="7" t="s">
        <v>7</v>
      </c>
      <c r="I1" s="7" t="s">
        <v>8</v>
      </c>
      <c r="J1" s="7" t="s">
        <v>9</v>
      </c>
      <c r="K1" s="7" t="s">
        <v>10</v>
      </c>
      <c r="L1" s="7" t="s">
        <v>11</v>
      </c>
      <c r="M1" s="7" t="s">
        <v>12</v>
      </c>
      <c r="N1" s="7" t="s">
        <v>13</v>
      </c>
      <c r="O1" s="7" t="s">
        <v>14</v>
      </c>
      <c r="P1" s="7" t="s">
        <v>15</v>
      </c>
      <c r="Q1" s="7" t="s">
        <v>16</v>
      </c>
    </row>
    <row r="2" spans="1:17" ht="78.75" x14ac:dyDescent="0.25">
      <c r="A2" s="65"/>
      <c r="B2" s="65"/>
      <c r="C2" s="66" t="s">
        <v>167</v>
      </c>
      <c r="D2" s="67" t="s">
        <v>168</v>
      </c>
      <c r="E2" s="68" t="s">
        <v>178</v>
      </c>
      <c r="F2" s="69" t="s">
        <v>17</v>
      </c>
      <c r="G2" s="70" t="s">
        <v>603</v>
      </c>
      <c r="H2" s="65"/>
      <c r="I2" s="70" t="s">
        <v>523</v>
      </c>
      <c r="J2" s="65"/>
      <c r="K2" s="65"/>
      <c r="L2" s="65"/>
      <c r="M2" s="65"/>
      <c r="N2" s="65"/>
      <c r="O2" s="65"/>
      <c r="P2" s="65"/>
      <c r="Q2" s="65"/>
    </row>
    <row r="3" spans="1:17" x14ac:dyDescent="0.25">
      <c r="A3" s="65"/>
      <c r="B3" s="65"/>
      <c r="C3" s="66"/>
      <c r="D3" s="67"/>
      <c r="E3" s="68"/>
      <c r="F3" s="71" t="s">
        <v>19</v>
      </c>
      <c r="G3" s="72" t="s">
        <v>18</v>
      </c>
      <c r="H3" s="65"/>
      <c r="I3" s="73"/>
      <c r="J3" s="72" t="s">
        <v>20</v>
      </c>
      <c r="K3" s="65"/>
      <c r="L3" s="65"/>
      <c r="M3" s="65"/>
      <c r="N3" s="65"/>
      <c r="O3" s="65"/>
      <c r="P3" s="65"/>
      <c r="Q3" s="65"/>
    </row>
    <row r="4" spans="1:17" ht="22.5" x14ac:dyDescent="0.25">
      <c r="A4" s="65"/>
      <c r="B4" s="65"/>
      <c r="C4" s="74"/>
      <c r="D4" s="65"/>
      <c r="E4" s="75"/>
      <c r="F4" s="71" t="s">
        <v>26</v>
      </c>
      <c r="G4" s="72" t="s">
        <v>21</v>
      </c>
      <c r="H4" s="65"/>
      <c r="I4" s="73"/>
      <c r="J4" s="72" t="s">
        <v>22</v>
      </c>
      <c r="K4" s="65"/>
      <c r="L4" s="65"/>
      <c r="M4" s="65"/>
      <c r="N4" s="65"/>
      <c r="O4" s="65"/>
      <c r="P4" s="65"/>
      <c r="Q4" s="65"/>
    </row>
    <row r="5" spans="1:17" ht="33.75" x14ac:dyDescent="0.25">
      <c r="A5" s="65"/>
      <c r="B5" s="65"/>
      <c r="C5" s="74"/>
      <c r="D5" s="65"/>
      <c r="E5" s="75"/>
      <c r="F5" s="71" t="s">
        <v>28</v>
      </c>
      <c r="G5" s="72" t="s">
        <v>155</v>
      </c>
      <c r="H5" s="65"/>
      <c r="I5" s="73"/>
      <c r="J5" s="72" t="s">
        <v>156</v>
      </c>
      <c r="K5" s="65"/>
      <c r="L5" s="65"/>
      <c r="M5" s="65"/>
      <c r="N5" s="65"/>
      <c r="O5" s="65"/>
      <c r="P5" s="65"/>
      <c r="Q5" s="65"/>
    </row>
    <row r="6" spans="1:17" ht="22.5" x14ac:dyDescent="0.25">
      <c r="A6" s="65"/>
      <c r="B6" s="65"/>
      <c r="C6" s="74"/>
      <c r="D6" s="65"/>
      <c r="E6" s="75"/>
      <c r="F6" s="71" t="s">
        <v>29</v>
      </c>
      <c r="G6" s="68" t="s">
        <v>169</v>
      </c>
      <c r="H6" s="65"/>
      <c r="I6" s="73"/>
      <c r="J6" s="68" t="s">
        <v>170</v>
      </c>
      <c r="K6" s="65"/>
      <c r="L6" s="65"/>
      <c r="M6" s="65"/>
      <c r="N6" s="65"/>
      <c r="O6" s="65"/>
      <c r="P6" s="65"/>
      <c r="Q6" s="65"/>
    </row>
    <row r="7" spans="1:17" ht="22.5" x14ac:dyDescent="0.25">
      <c r="A7" s="65"/>
      <c r="B7" s="65"/>
      <c r="C7" s="74"/>
      <c r="D7" s="65"/>
      <c r="E7" s="75"/>
      <c r="F7" s="71" t="s">
        <v>30</v>
      </c>
      <c r="G7" s="68" t="s">
        <v>171</v>
      </c>
      <c r="H7" s="65"/>
      <c r="I7" s="73"/>
      <c r="J7" s="68" t="s">
        <v>172</v>
      </c>
      <c r="K7" s="65"/>
      <c r="L7" s="65"/>
      <c r="M7" s="65"/>
      <c r="N7" s="65"/>
      <c r="O7" s="65"/>
      <c r="P7" s="65"/>
      <c r="Q7" s="65"/>
    </row>
    <row r="8" spans="1:17" s="3" customFormat="1" ht="22.5" x14ac:dyDescent="0.25">
      <c r="A8" s="65"/>
      <c r="B8" s="65"/>
      <c r="C8" s="74"/>
      <c r="D8" s="65"/>
      <c r="E8" s="75"/>
      <c r="F8" s="71" t="s">
        <v>31</v>
      </c>
      <c r="G8" s="68" t="s">
        <v>174</v>
      </c>
      <c r="H8" s="65"/>
      <c r="I8" s="73"/>
      <c r="J8" s="68" t="s">
        <v>175</v>
      </c>
      <c r="K8" s="65"/>
      <c r="L8" s="65"/>
      <c r="M8" s="65"/>
      <c r="N8" s="65"/>
      <c r="O8" s="65"/>
      <c r="P8" s="65"/>
      <c r="Q8" s="65"/>
    </row>
    <row r="9" spans="1:17" s="3" customFormat="1" ht="33.75" x14ac:dyDescent="0.25">
      <c r="A9" s="65"/>
      <c r="B9" s="65"/>
      <c r="C9" s="74"/>
      <c r="D9" s="65"/>
      <c r="E9" s="75"/>
      <c r="F9" s="71" t="s">
        <v>32</v>
      </c>
      <c r="G9" s="68" t="s">
        <v>50</v>
      </c>
      <c r="H9" s="75"/>
      <c r="I9" s="68"/>
      <c r="J9" s="68" t="s">
        <v>51</v>
      </c>
      <c r="K9" s="65"/>
      <c r="L9" s="65"/>
      <c r="M9" s="65"/>
      <c r="N9" s="65"/>
      <c r="O9" s="65"/>
      <c r="P9" s="65"/>
      <c r="Q9" s="65"/>
    </row>
    <row r="10" spans="1:17" s="3" customFormat="1" ht="90" x14ac:dyDescent="0.25">
      <c r="A10" s="65"/>
      <c r="B10" s="65"/>
      <c r="C10" s="74"/>
      <c r="D10" s="65"/>
      <c r="E10" s="75"/>
      <c r="F10" s="71" t="s">
        <v>33</v>
      </c>
      <c r="G10" s="66" t="s">
        <v>566</v>
      </c>
      <c r="H10" s="65"/>
      <c r="I10" s="66" t="s">
        <v>119</v>
      </c>
      <c r="J10" s="66" t="s">
        <v>120</v>
      </c>
      <c r="K10" s="65"/>
      <c r="L10" s="65"/>
      <c r="M10" s="65"/>
      <c r="N10" s="65"/>
      <c r="O10" s="65"/>
      <c r="P10" s="65"/>
      <c r="Q10" s="65"/>
    </row>
    <row r="11" spans="1:17" ht="33.75" x14ac:dyDescent="0.25">
      <c r="A11" s="65"/>
      <c r="B11" s="65"/>
      <c r="C11" s="74"/>
      <c r="D11" s="65"/>
      <c r="E11" s="75"/>
      <c r="F11" s="71" t="s">
        <v>49</v>
      </c>
      <c r="G11" s="68" t="s">
        <v>549</v>
      </c>
      <c r="H11" s="65"/>
      <c r="I11" s="73"/>
      <c r="J11" s="68" t="s">
        <v>157</v>
      </c>
      <c r="K11" s="65"/>
      <c r="L11" s="65"/>
      <c r="M11" s="65"/>
      <c r="N11" s="65"/>
      <c r="O11" s="65"/>
      <c r="P11" s="65"/>
      <c r="Q11" s="65"/>
    </row>
    <row r="12" spans="1:17" ht="33.75" x14ac:dyDescent="0.25">
      <c r="A12" s="65"/>
      <c r="B12" s="65"/>
      <c r="C12" s="74"/>
      <c r="D12" s="65"/>
      <c r="E12" s="75"/>
      <c r="F12" s="71" t="s">
        <v>56</v>
      </c>
      <c r="G12" s="68" t="s">
        <v>176</v>
      </c>
      <c r="H12" s="65"/>
      <c r="I12" s="73" t="s">
        <v>159</v>
      </c>
      <c r="J12" s="75"/>
      <c r="K12" s="65"/>
      <c r="L12" s="65"/>
      <c r="M12" s="65"/>
      <c r="N12" s="65"/>
      <c r="O12" s="65"/>
      <c r="P12" s="65"/>
      <c r="Q12" s="65"/>
    </row>
    <row r="13" spans="1:17" ht="23.25" x14ac:dyDescent="0.25">
      <c r="A13" s="65"/>
      <c r="B13" s="65"/>
      <c r="C13" s="74"/>
      <c r="D13" s="65"/>
      <c r="E13" s="75"/>
      <c r="F13" s="71" t="s">
        <v>57</v>
      </c>
      <c r="G13" s="68" t="s">
        <v>160</v>
      </c>
      <c r="H13" s="65"/>
      <c r="I13" s="73" t="s">
        <v>161</v>
      </c>
      <c r="J13" s="68" t="s">
        <v>172</v>
      </c>
      <c r="K13" s="65"/>
      <c r="L13" s="65"/>
      <c r="M13" s="65"/>
      <c r="N13" s="65"/>
      <c r="O13" s="65"/>
      <c r="P13" s="65"/>
      <c r="Q13" s="65"/>
    </row>
    <row r="14" spans="1:17" ht="22.5" x14ac:dyDescent="0.25">
      <c r="A14" s="65"/>
      <c r="B14" s="65"/>
      <c r="C14" s="74"/>
      <c r="D14" s="65"/>
      <c r="E14" s="75"/>
      <c r="F14" s="71" t="s">
        <v>58</v>
      </c>
      <c r="G14" s="68" t="s">
        <v>162</v>
      </c>
      <c r="H14" s="65"/>
      <c r="I14" s="73"/>
      <c r="J14" s="68" t="s">
        <v>163</v>
      </c>
      <c r="K14" s="65"/>
      <c r="L14" s="65"/>
      <c r="M14" s="65"/>
      <c r="N14" s="65"/>
      <c r="O14" s="65"/>
      <c r="P14" s="65"/>
      <c r="Q14" s="65"/>
    </row>
    <row r="15" spans="1:17" ht="23.25" x14ac:dyDescent="0.25">
      <c r="A15" s="65"/>
      <c r="B15" s="65"/>
      <c r="C15" s="74"/>
      <c r="D15" s="65"/>
      <c r="E15" s="75"/>
      <c r="F15" s="71" t="s">
        <v>59</v>
      </c>
      <c r="G15" s="73" t="s">
        <v>180</v>
      </c>
      <c r="H15" s="65"/>
      <c r="I15" s="73"/>
      <c r="J15" s="73" t="s">
        <v>181</v>
      </c>
      <c r="K15" s="65"/>
      <c r="L15" s="65"/>
      <c r="M15" s="65"/>
      <c r="N15" s="65"/>
      <c r="O15" s="65"/>
      <c r="P15" s="65"/>
      <c r="Q15" s="65"/>
    </row>
    <row r="16" spans="1:17" ht="45.75" x14ac:dyDescent="0.25">
      <c r="A16" s="65"/>
      <c r="B16" s="65"/>
      <c r="C16" s="74"/>
      <c r="D16" s="65"/>
      <c r="E16" s="75"/>
      <c r="F16" s="71" t="s">
        <v>60</v>
      </c>
      <c r="G16" s="70" t="s">
        <v>165</v>
      </c>
      <c r="H16" s="65"/>
      <c r="I16" s="73" t="s">
        <v>166</v>
      </c>
      <c r="J16" s="68" t="s">
        <v>182</v>
      </c>
      <c r="K16" s="65"/>
      <c r="L16" s="65"/>
      <c r="M16" s="65"/>
      <c r="N16" s="65"/>
      <c r="O16" s="65"/>
      <c r="P16" s="65"/>
      <c r="Q16" s="65"/>
    </row>
    <row r="17" spans="1:17" ht="78.75" x14ac:dyDescent="0.25">
      <c r="A17" s="65"/>
      <c r="B17" s="65"/>
      <c r="C17" s="76" t="s">
        <v>177</v>
      </c>
      <c r="D17" s="67" t="s">
        <v>168</v>
      </c>
      <c r="E17" s="68" t="s">
        <v>179</v>
      </c>
      <c r="F17" s="69" t="s">
        <v>17</v>
      </c>
      <c r="G17" s="73" t="s">
        <v>604</v>
      </c>
      <c r="H17" s="65"/>
      <c r="I17" s="70" t="s">
        <v>523</v>
      </c>
      <c r="J17" s="65"/>
      <c r="K17" s="65"/>
      <c r="L17" s="65"/>
      <c r="M17" s="65"/>
      <c r="N17" s="65"/>
      <c r="O17" s="65"/>
      <c r="P17" s="65"/>
      <c r="Q17" s="65"/>
    </row>
    <row r="18" spans="1:17" x14ac:dyDescent="0.25">
      <c r="A18" s="65"/>
      <c r="B18" s="65"/>
      <c r="C18" s="66"/>
      <c r="D18" s="67"/>
      <c r="E18" s="68"/>
      <c r="F18" s="71" t="s">
        <v>19</v>
      </c>
      <c r="G18" s="72" t="s">
        <v>18</v>
      </c>
      <c r="H18" s="65"/>
      <c r="I18" s="73"/>
      <c r="J18" s="72" t="s">
        <v>20</v>
      </c>
      <c r="K18" s="65"/>
      <c r="L18" s="65"/>
      <c r="M18" s="65"/>
      <c r="N18" s="65"/>
      <c r="O18" s="65"/>
      <c r="P18" s="65"/>
      <c r="Q18" s="65"/>
    </row>
    <row r="19" spans="1:17" ht="22.5" x14ac:dyDescent="0.25">
      <c r="A19" s="65"/>
      <c r="B19" s="65"/>
      <c r="C19" s="74"/>
      <c r="D19" s="65"/>
      <c r="E19" s="75"/>
      <c r="F19" s="71" t="s">
        <v>26</v>
      </c>
      <c r="G19" s="72" t="s">
        <v>21</v>
      </c>
      <c r="H19" s="65"/>
      <c r="I19" s="73"/>
      <c r="J19" s="72" t="s">
        <v>22</v>
      </c>
      <c r="K19" s="65"/>
      <c r="L19" s="65"/>
      <c r="M19" s="65"/>
      <c r="N19" s="65"/>
      <c r="O19" s="65"/>
      <c r="P19" s="65"/>
      <c r="Q19" s="65"/>
    </row>
    <row r="20" spans="1:17" ht="33.75" x14ac:dyDescent="0.25">
      <c r="A20" s="65"/>
      <c r="B20" s="65"/>
      <c r="C20" s="74"/>
      <c r="D20" s="65"/>
      <c r="E20" s="75"/>
      <c r="F20" s="71" t="s">
        <v>28</v>
      </c>
      <c r="G20" s="72" t="s">
        <v>155</v>
      </c>
      <c r="H20" s="65"/>
      <c r="I20" s="73"/>
      <c r="J20" s="72" t="s">
        <v>156</v>
      </c>
      <c r="K20" s="65"/>
      <c r="L20" s="65"/>
      <c r="M20" s="65"/>
      <c r="N20" s="65"/>
      <c r="O20" s="65"/>
      <c r="P20" s="65"/>
      <c r="Q20" s="65"/>
    </row>
    <row r="21" spans="1:17" ht="22.5" x14ac:dyDescent="0.25">
      <c r="A21" s="65"/>
      <c r="B21" s="65"/>
      <c r="C21" s="74"/>
      <c r="D21" s="65"/>
      <c r="E21" s="75"/>
      <c r="F21" s="71" t="s">
        <v>29</v>
      </c>
      <c r="G21" s="68" t="s">
        <v>169</v>
      </c>
      <c r="H21" s="65"/>
      <c r="I21" s="73"/>
      <c r="J21" s="68" t="s">
        <v>170</v>
      </c>
      <c r="K21" s="65"/>
      <c r="L21" s="65"/>
      <c r="M21" s="65"/>
      <c r="N21" s="65"/>
      <c r="O21" s="65"/>
      <c r="P21" s="65"/>
      <c r="Q21" s="65"/>
    </row>
    <row r="22" spans="1:17" ht="22.5" x14ac:dyDescent="0.25">
      <c r="A22" s="65"/>
      <c r="B22" s="65"/>
      <c r="C22" s="74"/>
      <c r="D22" s="65"/>
      <c r="E22" s="75"/>
      <c r="F22" s="71" t="s">
        <v>30</v>
      </c>
      <c r="G22" s="68" t="s">
        <v>171</v>
      </c>
      <c r="H22" s="65"/>
      <c r="I22" s="73"/>
      <c r="J22" s="68" t="s">
        <v>172</v>
      </c>
      <c r="K22" s="65"/>
      <c r="L22" s="65"/>
      <c r="M22" s="65"/>
      <c r="N22" s="65"/>
      <c r="O22" s="65"/>
      <c r="P22" s="65"/>
      <c r="Q22" s="65"/>
    </row>
    <row r="23" spans="1:17" ht="22.5" x14ac:dyDescent="0.25">
      <c r="A23" s="65"/>
      <c r="B23" s="65"/>
      <c r="C23" s="74"/>
      <c r="D23" s="65"/>
      <c r="E23" s="75"/>
      <c r="F23" s="71" t="s">
        <v>31</v>
      </c>
      <c r="G23" s="68" t="s">
        <v>174</v>
      </c>
      <c r="H23" s="65"/>
      <c r="I23" s="73"/>
      <c r="J23" s="68" t="s">
        <v>175</v>
      </c>
      <c r="K23" s="65"/>
      <c r="L23" s="65"/>
      <c r="M23" s="65"/>
      <c r="N23" s="65"/>
      <c r="O23" s="65"/>
      <c r="P23" s="65"/>
      <c r="Q23" s="65"/>
    </row>
    <row r="24" spans="1:17" ht="23.25" x14ac:dyDescent="0.25">
      <c r="A24" s="65"/>
      <c r="B24" s="65"/>
      <c r="C24" s="74"/>
      <c r="D24" s="65"/>
      <c r="E24" s="75"/>
      <c r="F24" s="71" t="s">
        <v>32</v>
      </c>
      <c r="G24" s="73" t="s">
        <v>180</v>
      </c>
      <c r="H24" s="65"/>
      <c r="I24" s="73"/>
      <c r="J24" s="73" t="s">
        <v>181</v>
      </c>
      <c r="K24" s="65"/>
      <c r="L24" s="65"/>
      <c r="M24" s="65"/>
      <c r="N24" s="65"/>
      <c r="O24" s="65"/>
      <c r="P24" s="65"/>
      <c r="Q24" s="65"/>
    </row>
    <row r="25" spans="1:17" ht="45.75" x14ac:dyDescent="0.25">
      <c r="A25" s="65"/>
      <c r="B25" s="65"/>
      <c r="C25" s="74"/>
      <c r="D25" s="65"/>
      <c r="E25" s="75"/>
      <c r="F25" s="71" t="s">
        <v>33</v>
      </c>
      <c r="G25" s="73" t="s">
        <v>165</v>
      </c>
      <c r="H25" s="65"/>
      <c r="I25" s="73" t="s">
        <v>166</v>
      </c>
      <c r="J25" s="68" t="s">
        <v>182</v>
      </c>
      <c r="K25" s="65"/>
      <c r="L25" s="65"/>
      <c r="M25" s="65"/>
      <c r="N25" s="65"/>
      <c r="O25" s="65"/>
      <c r="P25" s="65"/>
      <c r="Q25" s="65"/>
    </row>
    <row r="26" spans="1:17" ht="22.5" x14ac:dyDescent="0.25">
      <c r="A26" s="65"/>
      <c r="B26" s="65"/>
      <c r="C26" s="74"/>
      <c r="D26" s="65"/>
      <c r="E26" s="75"/>
      <c r="F26" s="71" t="s">
        <v>49</v>
      </c>
      <c r="G26" s="68" t="s">
        <v>550</v>
      </c>
      <c r="H26" s="65"/>
      <c r="I26" s="73"/>
      <c r="J26" s="68" t="s">
        <v>157</v>
      </c>
      <c r="K26" s="65"/>
      <c r="L26" s="65"/>
      <c r="M26" s="65"/>
      <c r="N26" s="65"/>
      <c r="O26" s="65"/>
      <c r="P26" s="65"/>
      <c r="Q26" s="65"/>
    </row>
    <row r="27" spans="1:17" ht="33.75" x14ac:dyDescent="0.25">
      <c r="A27" s="65"/>
      <c r="B27" s="65"/>
      <c r="C27" s="74"/>
      <c r="D27" s="65"/>
      <c r="E27" s="75"/>
      <c r="F27" s="71" t="s">
        <v>56</v>
      </c>
      <c r="G27" s="68" t="s">
        <v>185</v>
      </c>
      <c r="H27" s="65"/>
      <c r="I27" s="73" t="s">
        <v>159</v>
      </c>
      <c r="J27" s="75"/>
      <c r="K27" s="65"/>
      <c r="L27" s="65"/>
      <c r="M27" s="65"/>
      <c r="N27" s="65"/>
      <c r="O27" s="65"/>
      <c r="P27" s="65"/>
      <c r="Q27" s="65"/>
    </row>
    <row r="28" spans="1:17" x14ac:dyDescent="0.25">
      <c r="A28" s="65"/>
      <c r="B28" s="65"/>
      <c r="C28" s="74"/>
      <c r="D28" s="65"/>
      <c r="E28" s="75"/>
      <c r="F28" s="71" t="s">
        <v>57</v>
      </c>
      <c r="G28" s="77" t="s">
        <v>18</v>
      </c>
      <c r="H28" s="74"/>
      <c r="I28" s="74"/>
      <c r="J28" s="77" t="s">
        <v>20</v>
      </c>
      <c r="K28" s="65"/>
      <c r="L28" s="65"/>
      <c r="M28" s="65"/>
      <c r="N28" s="65"/>
      <c r="O28" s="65"/>
      <c r="P28" s="65"/>
      <c r="Q28" s="65"/>
    </row>
    <row r="29" spans="1:17" ht="22.5" x14ac:dyDescent="0.25">
      <c r="A29" s="65"/>
      <c r="B29" s="65"/>
      <c r="C29" s="74"/>
      <c r="D29" s="65"/>
      <c r="E29" s="75"/>
      <c r="F29" s="71" t="s">
        <v>58</v>
      </c>
      <c r="G29" s="77" t="s">
        <v>21</v>
      </c>
      <c r="H29" s="74"/>
      <c r="I29" s="74"/>
      <c r="J29" s="77" t="s">
        <v>22</v>
      </c>
      <c r="K29" s="65"/>
      <c r="L29" s="65"/>
      <c r="M29" s="65"/>
      <c r="N29" s="65"/>
      <c r="O29" s="65"/>
      <c r="P29" s="65"/>
      <c r="Q29" s="65"/>
    </row>
    <row r="30" spans="1:17" ht="33.75" x14ac:dyDescent="0.25">
      <c r="A30" s="65"/>
      <c r="B30" s="65"/>
      <c r="C30" s="74"/>
      <c r="D30" s="65"/>
      <c r="E30" s="75"/>
      <c r="F30" s="71" t="s">
        <v>59</v>
      </c>
      <c r="G30" s="77" t="s">
        <v>23</v>
      </c>
      <c r="H30" s="74"/>
      <c r="I30" s="74"/>
      <c r="J30" s="77" t="s">
        <v>41</v>
      </c>
      <c r="K30" s="65"/>
      <c r="L30" s="65"/>
      <c r="M30" s="65"/>
      <c r="N30" s="65"/>
      <c r="O30" s="65"/>
      <c r="P30" s="65"/>
      <c r="Q30" s="65"/>
    </row>
    <row r="31" spans="1:17" ht="22.5" x14ac:dyDescent="0.25">
      <c r="A31" s="65"/>
      <c r="B31" s="65"/>
      <c r="C31" s="74"/>
      <c r="D31" s="65"/>
      <c r="E31" s="75"/>
      <c r="F31" s="71" t="s">
        <v>60</v>
      </c>
      <c r="G31" s="75" t="s">
        <v>76</v>
      </c>
      <c r="H31" s="75"/>
      <c r="I31" s="75"/>
      <c r="J31" s="68" t="s">
        <v>44</v>
      </c>
      <c r="K31" s="65"/>
      <c r="L31" s="65"/>
      <c r="M31" s="65"/>
      <c r="N31" s="65"/>
      <c r="O31" s="65"/>
      <c r="P31" s="65"/>
      <c r="Q31" s="65"/>
    </row>
    <row r="32" spans="1:17" ht="22.5" x14ac:dyDescent="0.25">
      <c r="A32" s="65"/>
      <c r="B32" s="65"/>
      <c r="C32" s="65"/>
      <c r="D32" s="65"/>
      <c r="E32" s="65"/>
      <c r="F32" s="71" t="s">
        <v>69</v>
      </c>
      <c r="G32" s="78" t="s">
        <v>25</v>
      </c>
      <c r="H32" s="78"/>
      <c r="I32" s="78"/>
      <c r="J32" s="78" t="s">
        <v>27</v>
      </c>
      <c r="K32" s="65"/>
      <c r="L32" s="65"/>
      <c r="M32" s="65"/>
      <c r="N32" s="65"/>
      <c r="O32" s="65"/>
      <c r="P32" s="65"/>
      <c r="Q32" s="65"/>
    </row>
    <row r="33" spans="1:17" ht="22.5" x14ac:dyDescent="0.25">
      <c r="A33" s="65"/>
      <c r="B33" s="65"/>
      <c r="C33" s="65"/>
      <c r="D33" s="65"/>
      <c r="E33" s="65"/>
      <c r="F33" s="71" t="s">
        <v>71</v>
      </c>
      <c r="G33" s="78" t="s">
        <v>45</v>
      </c>
      <c r="H33" s="78"/>
      <c r="I33" s="74"/>
      <c r="J33" s="78" t="s">
        <v>42</v>
      </c>
      <c r="K33" s="65"/>
      <c r="L33" s="65"/>
      <c r="M33" s="65"/>
      <c r="N33" s="65"/>
      <c r="O33" s="65"/>
      <c r="P33" s="65"/>
      <c r="Q33" s="65"/>
    </row>
    <row r="34" spans="1:17" ht="67.5" x14ac:dyDescent="0.25">
      <c r="A34" s="65"/>
      <c r="B34" s="65"/>
      <c r="C34" s="65"/>
      <c r="D34" s="65"/>
      <c r="E34" s="65"/>
      <c r="F34" s="71" t="s">
        <v>72</v>
      </c>
      <c r="G34" s="68" t="s">
        <v>568</v>
      </c>
      <c r="H34" s="75"/>
      <c r="I34" s="68" t="s">
        <v>78</v>
      </c>
      <c r="J34" s="68" t="s">
        <v>262</v>
      </c>
      <c r="K34" s="65"/>
      <c r="L34" s="65"/>
      <c r="M34" s="65"/>
      <c r="N34" s="65"/>
      <c r="O34" s="65"/>
      <c r="P34" s="65"/>
      <c r="Q34" s="65"/>
    </row>
    <row r="35" spans="1:17" ht="78.75" x14ac:dyDescent="0.25">
      <c r="A35" s="65"/>
      <c r="B35" s="65"/>
      <c r="C35" s="66" t="s">
        <v>183</v>
      </c>
      <c r="D35" s="67" t="s">
        <v>168</v>
      </c>
      <c r="E35" s="68" t="s">
        <v>184</v>
      </c>
      <c r="F35" s="69" t="s">
        <v>17</v>
      </c>
      <c r="G35" s="73" t="s">
        <v>604</v>
      </c>
      <c r="H35" s="65"/>
      <c r="I35" s="70" t="s">
        <v>523</v>
      </c>
      <c r="J35" s="65"/>
      <c r="K35" s="65"/>
      <c r="L35" s="65"/>
      <c r="M35" s="65"/>
      <c r="N35" s="65"/>
      <c r="O35" s="65"/>
      <c r="P35" s="65"/>
      <c r="Q35" s="65"/>
    </row>
    <row r="36" spans="1:17" x14ac:dyDescent="0.25">
      <c r="A36" s="65"/>
      <c r="B36" s="65"/>
      <c r="C36" s="66"/>
      <c r="D36" s="67"/>
      <c r="E36" s="68"/>
      <c r="F36" s="71" t="s">
        <v>19</v>
      </c>
      <c r="G36" s="72" t="s">
        <v>18</v>
      </c>
      <c r="H36" s="65"/>
      <c r="I36" s="73"/>
      <c r="J36" s="72" t="s">
        <v>20</v>
      </c>
      <c r="K36" s="65"/>
      <c r="L36" s="65"/>
      <c r="M36" s="65"/>
      <c r="N36" s="65"/>
      <c r="O36" s="65"/>
      <c r="P36" s="65"/>
      <c r="Q36" s="65"/>
    </row>
    <row r="37" spans="1:17" ht="22.5" x14ac:dyDescent="0.25">
      <c r="A37" s="65"/>
      <c r="B37" s="65"/>
      <c r="C37" s="74"/>
      <c r="D37" s="65"/>
      <c r="E37" s="75"/>
      <c r="F37" s="71" t="s">
        <v>26</v>
      </c>
      <c r="G37" s="72" t="s">
        <v>21</v>
      </c>
      <c r="H37" s="65"/>
      <c r="I37" s="73"/>
      <c r="J37" s="72" t="s">
        <v>22</v>
      </c>
      <c r="K37" s="65"/>
      <c r="L37" s="65"/>
      <c r="M37" s="65"/>
      <c r="N37" s="65"/>
      <c r="O37" s="65"/>
      <c r="P37" s="65"/>
      <c r="Q37" s="65"/>
    </row>
    <row r="38" spans="1:17" ht="33.75" x14ac:dyDescent="0.25">
      <c r="A38" s="65"/>
      <c r="B38" s="65"/>
      <c r="C38" s="74"/>
      <c r="D38" s="65"/>
      <c r="E38" s="75"/>
      <c r="F38" s="71" t="s">
        <v>28</v>
      </c>
      <c r="G38" s="72" t="s">
        <v>155</v>
      </c>
      <c r="H38" s="65"/>
      <c r="I38" s="73"/>
      <c r="J38" s="72" t="s">
        <v>156</v>
      </c>
      <c r="K38" s="65"/>
      <c r="L38" s="65"/>
      <c r="M38" s="65"/>
      <c r="N38" s="65"/>
      <c r="O38" s="65"/>
      <c r="P38" s="65"/>
      <c r="Q38" s="65"/>
    </row>
    <row r="39" spans="1:17" ht="22.5" x14ac:dyDescent="0.25">
      <c r="A39" s="65"/>
      <c r="B39" s="65"/>
      <c r="C39" s="74"/>
      <c r="D39" s="65"/>
      <c r="E39" s="75"/>
      <c r="F39" s="71" t="s">
        <v>29</v>
      </c>
      <c r="G39" s="68" t="s">
        <v>169</v>
      </c>
      <c r="H39" s="65"/>
      <c r="I39" s="73"/>
      <c r="J39" s="68" t="s">
        <v>170</v>
      </c>
      <c r="K39" s="65"/>
      <c r="L39" s="65"/>
      <c r="M39" s="65"/>
      <c r="N39" s="65"/>
      <c r="O39" s="65"/>
      <c r="P39" s="65"/>
      <c r="Q39" s="65"/>
    </row>
    <row r="40" spans="1:17" ht="22.5" x14ac:dyDescent="0.25">
      <c r="A40" s="65"/>
      <c r="B40" s="65"/>
      <c r="C40" s="74"/>
      <c r="D40" s="65"/>
      <c r="E40" s="75"/>
      <c r="F40" s="71" t="s">
        <v>30</v>
      </c>
      <c r="G40" s="68" t="s">
        <v>171</v>
      </c>
      <c r="H40" s="65"/>
      <c r="I40" s="73"/>
      <c r="J40" s="68" t="s">
        <v>172</v>
      </c>
      <c r="K40" s="65"/>
      <c r="L40" s="65"/>
      <c r="M40" s="65"/>
      <c r="N40" s="65"/>
      <c r="O40" s="65"/>
      <c r="P40" s="65"/>
      <c r="Q40" s="65"/>
    </row>
    <row r="41" spans="1:17" ht="22.5" x14ac:dyDescent="0.25">
      <c r="A41" s="65"/>
      <c r="B41" s="65"/>
      <c r="C41" s="74"/>
      <c r="D41" s="65"/>
      <c r="E41" s="75"/>
      <c r="F41" s="71" t="s">
        <v>31</v>
      </c>
      <c r="G41" s="68" t="s">
        <v>174</v>
      </c>
      <c r="H41" s="65"/>
      <c r="I41" s="73"/>
      <c r="J41" s="68" t="s">
        <v>175</v>
      </c>
      <c r="K41" s="65"/>
      <c r="L41" s="65"/>
      <c r="M41" s="65"/>
      <c r="N41" s="65"/>
      <c r="O41" s="65"/>
      <c r="P41" s="65"/>
      <c r="Q41" s="65"/>
    </row>
    <row r="42" spans="1:17" ht="23.25" x14ac:dyDescent="0.25">
      <c r="A42" s="65"/>
      <c r="B42" s="65"/>
      <c r="C42" s="74"/>
      <c r="D42" s="65"/>
      <c r="E42" s="75"/>
      <c r="F42" s="71" t="s">
        <v>32</v>
      </c>
      <c r="G42" s="73" t="s">
        <v>180</v>
      </c>
      <c r="H42" s="65"/>
      <c r="I42" s="73"/>
      <c r="J42" s="73" t="s">
        <v>181</v>
      </c>
      <c r="K42" s="65"/>
      <c r="L42" s="65"/>
      <c r="M42" s="65"/>
      <c r="N42" s="65"/>
      <c r="O42" s="65"/>
      <c r="P42" s="65"/>
      <c r="Q42" s="65"/>
    </row>
    <row r="43" spans="1:17" ht="45.75" x14ac:dyDescent="0.25">
      <c r="A43" s="65"/>
      <c r="B43" s="65"/>
      <c r="C43" s="74"/>
      <c r="D43" s="65"/>
      <c r="E43" s="75"/>
      <c r="F43" s="71" t="s">
        <v>33</v>
      </c>
      <c r="G43" s="73" t="s">
        <v>165</v>
      </c>
      <c r="H43" s="65"/>
      <c r="I43" s="73" t="s">
        <v>166</v>
      </c>
      <c r="J43" s="68" t="s">
        <v>182</v>
      </c>
      <c r="K43" s="65"/>
      <c r="L43" s="65"/>
      <c r="M43" s="65"/>
      <c r="N43" s="65"/>
      <c r="O43" s="65"/>
      <c r="P43" s="65"/>
      <c r="Q43" s="65"/>
    </row>
    <row r="44" spans="1:17" ht="22.5" x14ac:dyDescent="0.25">
      <c r="A44" s="65"/>
      <c r="B44" s="65"/>
      <c r="C44" s="74"/>
      <c r="D44" s="65"/>
      <c r="E44" s="75"/>
      <c r="F44" s="71" t="s">
        <v>49</v>
      </c>
      <c r="G44" s="68" t="s">
        <v>550</v>
      </c>
      <c r="H44" s="65"/>
      <c r="I44" s="73"/>
      <c r="J44" s="68" t="s">
        <v>157</v>
      </c>
      <c r="K44" s="65"/>
      <c r="L44" s="65"/>
      <c r="M44" s="65"/>
      <c r="N44" s="65"/>
      <c r="O44" s="65"/>
      <c r="P44" s="65"/>
      <c r="Q44" s="65"/>
    </row>
    <row r="45" spans="1:17" ht="33.75" x14ac:dyDescent="0.25">
      <c r="A45" s="65"/>
      <c r="B45" s="65"/>
      <c r="C45" s="74"/>
      <c r="D45" s="65"/>
      <c r="E45" s="75"/>
      <c r="F45" s="71" t="s">
        <v>56</v>
      </c>
      <c r="G45" s="68" t="s">
        <v>158</v>
      </c>
      <c r="H45" s="65"/>
      <c r="I45" s="73" t="s">
        <v>159</v>
      </c>
      <c r="J45" s="75"/>
      <c r="K45" s="65"/>
      <c r="L45" s="65"/>
      <c r="M45" s="65"/>
      <c r="N45" s="65"/>
      <c r="O45" s="65"/>
      <c r="P45" s="65"/>
      <c r="Q45" s="65"/>
    </row>
    <row r="46" spans="1:17" x14ac:dyDescent="0.25">
      <c r="A46" s="65"/>
      <c r="B46" s="65"/>
      <c r="C46" s="74"/>
      <c r="D46" s="65"/>
      <c r="E46" s="75"/>
      <c r="F46" s="71" t="s">
        <v>57</v>
      </c>
      <c r="G46" s="77" t="s">
        <v>18</v>
      </c>
      <c r="H46" s="74"/>
      <c r="I46" s="74"/>
      <c r="J46" s="77" t="s">
        <v>20</v>
      </c>
      <c r="K46" s="65"/>
      <c r="L46" s="65"/>
      <c r="M46" s="65"/>
      <c r="N46" s="65"/>
      <c r="O46" s="65"/>
      <c r="P46" s="65"/>
      <c r="Q46" s="65"/>
    </row>
    <row r="47" spans="1:17" ht="22.5" x14ac:dyDescent="0.25">
      <c r="A47" s="65"/>
      <c r="B47" s="65"/>
      <c r="C47" s="74"/>
      <c r="D47" s="65"/>
      <c r="E47" s="75"/>
      <c r="F47" s="71" t="s">
        <v>58</v>
      </c>
      <c r="G47" s="77" t="s">
        <v>21</v>
      </c>
      <c r="H47" s="74"/>
      <c r="I47" s="74"/>
      <c r="J47" s="77" t="s">
        <v>22</v>
      </c>
      <c r="K47" s="65"/>
      <c r="L47" s="65"/>
      <c r="M47" s="65"/>
      <c r="N47" s="65"/>
      <c r="O47" s="65"/>
      <c r="P47" s="65"/>
      <c r="Q47" s="65"/>
    </row>
    <row r="48" spans="1:17" ht="33.75" x14ac:dyDescent="0.25">
      <c r="A48" s="65"/>
      <c r="B48" s="65"/>
      <c r="C48" s="74"/>
      <c r="D48" s="65"/>
      <c r="E48" s="75"/>
      <c r="F48" s="71" t="s">
        <v>59</v>
      </c>
      <c r="G48" s="77" t="s">
        <v>23</v>
      </c>
      <c r="H48" s="74"/>
      <c r="I48" s="74"/>
      <c r="J48" s="77" t="s">
        <v>41</v>
      </c>
      <c r="K48" s="65"/>
      <c r="L48" s="65"/>
      <c r="M48" s="65"/>
      <c r="N48" s="65"/>
      <c r="O48" s="65"/>
      <c r="P48" s="65"/>
      <c r="Q48" s="65"/>
    </row>
    <row r="49" spans="1:17" ht="22.5" x14ac:dyDescent="0.25">
      <c r="A49" s="65"/>
      <c r="B49" s="65"/>
      <c r="C49" s="74"/>
      <c r="D49" s="65"/>
      <c r="E49" s="75"/>
      <c r="F49" s="71" t="s">
        <v>60</v>
      </c>
      <c r="G49" s="75" t="s">
        <v>76</v>
      </c>
      <c r="H49" s="75"/>
      <c r="I49" s="75"/>
      <c r="J49" s="68" t="s">
        <v>44</v>
      </c>
      <c r="K49" s="65"/>
      <c r="L49" s="65"/>
      <c r="M49" s="65"/>
      <c r="N49" s="65"/>
      <c r="O49" s="65"/>
      <c r="P49" s="65"/>
      <c r="Q49" s="65"/>
    </row>
    <row r="50" spans="1:17" ht="22.5" x14ac:dyDescent="0.25">
      <c r="A50" s="65"/>
      <c r="B50" s="65"/>
      <c r="C50" s="65"/>
      <c r="D50" s="65"/>
      <c r="E50" s="65"/>
      <c r="F50" s="71" t="s">
        <v>69</v>
      </c>
      <c r="G50" s="78" t="s">
        <v>25</v>
      </c>
      <c r="H50" s="78"/>
      <c r="I50" s="78"/>
      <c r="J50" s="78" t="s">
        <v>27</v>
      </c>
      <c r="K50" s="65"/>
      <c r="L50" s="65"/>
      <c r="M50" s="65"/>
      <c r="N50" s="65"/>
      <c r="O50" s="65"/>
      <c r="P50" s="65"/>
      <c r="Q50" s="65"/>
    </row>
    <row r="51" spans="1:17" ht="22.5" x14ac:dyDescent="0.25">
      <c r="A51" s="65"/>
      <c r="B51" s="65"/>
      <c r="C51" s="65"/>
      <c r="D51" s="65"/>
      <c r="E51" s="65"/>
      <c r="F51" s="71" t="s">
        <v>71</v>
      </c>
      <c r="G51" s="78" t="s">
        <v>45</v>
      </c>
      <c r="H51" s="78"/>
      <c r="I51" s="74"/>
      <c r="J51" s="78" t="s">
        <v>42</v>
      </c>
      <c r="K51" s="65"/>
      <c r="L51" s="65"/>
      <c r="M51" s="65"/>
      <c r="N51" s="65"/>
      <c r="O51" s="65"/>
      <c r="P51" s="65"/>
      <c r="Q51" s="65"/>
    </row>
    <row r="52" spans="1:17" ht="33.75" x14ac:dyDescent="0.25">
      <c r="A52" s="65"/>
      <c r="B52" s="65"/>
      <c r="C52" s="65"/>
      <c r="D52" s="65"/>
      <c r="E52" s="65"/>
      <c r="F52" s="71" t="s">
        <v>72</v>
      </c>
      <c r="G52" s="68" t="s">
        <v>50</v>
      </c>
      <c r="H52" s="75"/>
      <c r="I52" s="68"/>
      <c r="J52" s="68" t="s">
        <v>51</v>
      </c>
      <c r="K52" s="65"/>
      <c r="L52" s="65"/>
      <c r="M52" s="65"/>
      <c r="N52" s="65"/>
      <c r="O52" s="65"/>
      <c r="P52" s="65"/>
      <c r="Q52" s="65"/>
    </row>
    <row r="53" spans="1:17" ht="90" x14ac:dyDescent="0.25">
      <c r="A53" s="65"/>
      <c r="B53" s="65"/>
      <c r="C53" s="65"/>
      <c r="D53" s="65"/>
      <c r="E53" s="65"/>
      <c r="F53" s="71" t="s">
        <v>73</v>
      </c>
      <c r="G53" s="66" t="s">
        <v>566</v>
      </c>
      <c r="H53" s="65"/>
      <c r="I53" s="66" t="s">
        <v>119</v>
      </c>
      <c r="J53" s="66" t="s">
        <v>120</v>
      </c>
      <c r="K53" s="65"/>
      <c r="L53" s="65"/>
      <c r="M53" s="65"/>
      <c r="N53" s="65"/>
      <c r="O53" s="65"/>
      <c r="P53" s="65"/>
      <c r="Q53" s="65"/>
    </row>
    <row r="54" spans="1:17" ht="67.5" x14ac:dyDescent="0.25">
      <c r="A54" s="65"/>
      <c r="B54" s="65"/>
      <c r="C54" s="79" t="s">
        <v>186</v>
      </c>
      <c r="D54" s="67" t="s">
        <v>168</v>
      </c>
      <c r="E54" s="80" t="s">
        <v>187</v>
      </c>
      <c r="F54" s="69" t="s">
        <v>17</v>
      </c>
      <c r="G54" s="70" t="s">
        <v>605</v>
      </c>
      <c r="H54" s="65"/>
      <c r="I54" s="70" t="s">
        <v>523</v>
      </c>
      <c r="J54" s="65"/>
      <c r="K54" s="65"/>
      <c r="L54" s="65"/>
      <c r="M54" s="65"/>
      <c r="N54" s="65"/>
      <c r="O54" s="65"/>
      <c r="P54" s="65"/>
      <c r="Q54" s="65"/>
    </row>
    <row r="55" spans="1:17" x14ac:dyDescent="0.25">
      <c r="A55" s="65"/>
      <c r="B55" s="65"/>
      <c r="C55" s="66"/>
      <c r="D55" s="67"/>
      <c r="E55" s="68"/>
      <c r="F55" s="71" t="s">
        <v>19</v>
      </c>
      <c r="G55" s="72" t="s">
        <v>18</v>
      </c>
      <c r="H55" s="65"/>
      <c r="I55" s="73"/>
      <c r="J55" s="72" t="s">
        <v>20</v>
      </c>
      <c r="K55" s="65"/>
      <c r="L55" s="65"/>
      <c r="M55" s="65"/>
      <c r="N55" s="65"/>
      <c r="O55" s="65"/>
      <c r="P55" s="65"/>
      <c r="Q55" s="65"/>
    </row>
    <row r="56" spans="1:17" ht="22.5" x14ac:dyDescent="0.25">
      <c r="A56" s="65"/>
      <c r="B56" s="65"/>
      <c r="C56" s="74"/>
      <c r="D56" s="65"/>
      <c r="E56" s="75"/>
      <c r="F56" s="71" t="s">
        <v>26</v>
      </c>
      <c r="G56" s="72" t="s">
        <v>21</v>
      </c>
      <c r="H56" s="65"/>
      <c r="I56" s="73"/>
      <c r="J56" s="72" t="s">
        <v>22</v>
      </c>
      <c r="K56" s="65"/>
      <c r="L56" s="65"/>
      <c r="M56" s="65"/>
      <c r="N56" s="65"/>
      <c r="O56" s="65"/>
      <c r="P56" s="65"/>
      <c r="Q56" s="65"/>
    </row>
    <row r="57" spans="1:17" ht="33.75" x14ac:dyDescent="0.25">
      <c r="A57" s="65"/>
      <c r="B57" s="65"/>
      <c r="C57" s="74"/>
      <c r="D57" s="65"/>
      <c r="E57" s="75"/>
      <c r="F57" s="71" t="s">
        <v>28</v>
      </c>
      <c r="G57" s="72" t="s">
        <v>155</v>
      </c>
      <c r="H57" s="65"/>
      <c r="I57" s="73"/>
      <c r="J57" s="72" t="s">
        <v>156</v>
      </c>
      <c r="K57" s="65"/>
      <c r="L57" s="65"/>
      <c r="M57" s="65"/>
      <c r="N57" s="65"/>
      <c r="O57" s="65"/>
      <c r="P57" s="65"/>
      <c r="Q57" s="65"/>
    </row>
    <row r="58" spans="1:17" ht="22.5" x14ac:dyDescent="0.25">
      <c r="A58" s="65"/>
      <c r="B58" s="65"/>
      <c r="C58" s="74"/>
      <c r="D58" s="65"/>
      <c r="E58" s="75"/>
      <c r="F58" s="71" t="s">
        <v>29</v>
      </c>
      <c r="G58" s="68" t="s">
        <v>169</v>
      </c>
      <c r="H58" s="65"/>
      <c r="I58" s="73"/>
      <c r="J58" s="68" t="s">
        <v>170</v>
      </c>
      <c r="K58" s="65"/>
      <c r="L58" s="65"/>
      <c r="M58" s="65"/>
      <c r="N58" s="65"/>
      <c r="O58" s="65"/>
      <c r="P58" s="65"/>
      <c r="Q58" s="65"/>
    </row>
    <row r="59" spans="1:17" ht="22.5" x14ac:dyDescent="0.25">
      <c r="A59" s="65"/>
      <c r="B59" s="65"/>
      <c r="C59" s="74"/>
      <c r="D59" s="65"/>
      <c r="E59" s="75"/>
      <c r="F59" s="71" t="s">
        <v>30</v>
      </c>
      <c r="G59" s="68" t="s">
        <v>171</v>
      </c>
      <c r="H59" s="65"/>
      <c r="I59" s="73"/>
      <c r="J59" s="68" t="s">
        <v>172</v>
      </c>
      <c r="K59" s="65"/>
      <c r="L59" s="65"/>
      <c r="M59" s="65"/>
      <c r="N59" s="65"/>
      <c r="O59" s="65"/>
      <c r="P59" s="65"/>
      <c r="Q59" s="65"/>
    </row>
    <row r="60" spans="1:17" ht="22.5" x14ac:dyDescent="0.25">
      <c r="A60" s="65"/>
      <c r="B60" s="65"/>
      <c r="C60" s="74"/>
      <c r="D60" s="65"/>
      <c r="E60" s="75"/>
      <c r="F60" s="71" t="s">
        <v>31</v>
      </c>
      <c r="G60" s="68" t="s">
        <v>174</v>
      </c>
      <c r="H60" s="65"/>
      <c r="I60" s="73"/>
      <c r="J60" s="68" t="s">
        <v>175</v>
      </c>
      <c r="K60" s="65"/>
      <c r="L60" s="65"/>
      <c r="M60" s="65"/>
      <c r="N60" s="65"/>
      <c r="O60" s="65"/>
      <c r="P60" s="65"/>
      <c r="Q60" s="65"/>
    </row>
    <row r="61" spans="1:17" s="3" customFormat="1" ht="67.5" x14ac:dyDescent="0.25">
      <c r="A61" s="65"/>
      <c r="B61" s="65"/>
      <c r="C61" s="74"/>
      <c r="D61" s="65"/>
      <c r="E61" s="75"/>
      <c r="F61" s="71" t="s">
        <v>32</v>
      </c>
      <c r="G61" s="68" t="s">
        <v>568</v>
      </c>
      <c r="H61" s="75"/>
      <c r="I61" s="68" t="s">
        <v>78</v>
      </c>
      <c r="J61" s="80" t="s">
        <v>151</v>
      </c>
      <c r="K61" s="65"/>
      <c r="L61" s="65"/>
      <c r="M61" s="65"/>
      <c r="N61" s="65"/>
      <c r="O61" s="65"/>
      <c r="P61" s="65"/>
      <c r="Q61" s="65"/>
    </row>
    <row r="62" spans="1:17" ht="33.75" x14ac:dyDescent="0.25">
      <c r="A62" s="65"/>
      <c r="B62" s="65"/>
      <c r="C62" s="74"/>
      <c r="D62" s="65"/>
      <c r="E62" s="75"/>
      <c r="F62" s="71" t="s">
        <v>33</v>
      </c>
      <c r="G62" s="68" t="s">
        <v>50</v>
      </c>
      <c r="H62" s="75"/>
      <c r="I62" s="68"/>
      <c r="J62" s="68" t="s">
        <v>51</v>
      </c>
      <c r="K62" s="65"/>
      <c r="L62" s="65"/>
      <c r="M62" s="65"/>
      <c r="N62" s="65"/>
      <c r="O62" s="65"/>
      <c r="P62" s="65"/>
      <c r="Q62" s="65"/>
    </row>
    <row r="63" spans="1:17" ht="90" x14ac:dyDescent="0.25">
      <c r="A63" s="65"/>
      <c r="B63" s="65"/>
      <c r="C63" s="74"/>
      <c r="D63" s="65"/>
      <c r="E63" s="75"/>
      <c r="F63" s="71" t="s">
        <v>49</v>
      </c>
      <c r="G63" s="66" t="s">
        <v>566</v>
      </c>
      <c r="H63" s="65"/>
      <c r="I63" s="66" t="s">
        <v>119</v>
      </c>
      <c r="J63" s="76" t="s">
        <v>120</v>
      </c>
      <c r="K63" s="65"/>
      <c r="L63" s="65"/>
      <c r="M63" s="65"/>
      <c r="N63" s="65"/>
      <c r="O63" s="65"/>
      <c r="P63" s="65"/>
      <c r="Q63" s="65"/>
    </row>
    <row r="64" spans="1:17" ht="78.75" x14ac:dyDescent="0.25">
      <c r="A64" s="65"/>
      <c r="B64" s="65"/>
      <c r="C64" s="66" t="s">
        <v>188</v>
      </c>
      <c r="D64" s="67" t="s">
        <v>168</v>
      </c>
      <c r="E64" s="68" t="s">
        <v>189</v>
      </c>
      <c r="F64" s="69" t="s">
        <v>17</v>
      </c>
      <c r="G64" s="70" t="s">
        <v>606</v>
      </c>
      <c r="H64" s="65"/>
      <c r="I64" s="70" t="s">
        <v>523</v>
      </c>
      <c r="J64" s="65"/>
      <c r="K64" s="65"/>
      <c r="L64" s="65"/>
      <c r="M64" s="65"/>
      <c r="N64" s="65"/>
      <c r="O64" s="65"/>
      <c r="P64" s="65"/>
      <c r="Q64" s="65"/>
    </row>
    <row r="65" spans="1:17" x14ac:dyDescent="0.25">
      <c r="A65" s="65"/>
      <c r="B65" s="65"/>
      <c r="C65" s="66"/>
      <c r="D65" s="67"/>
      <c r="E65" s="68"/>
      <c r="F65" s="71" t="s">
        <v>19</v>
      </c>
      <c r="G65" s="72" t="s">
        <v>18</v>
      </c>
      <c r="H65" s="65"/>
      <c r="I65" s="73"/>
      <c r="J65" s="72" t="s">
        <v>20</v>
      </c>
      <c r="K65" s="65"/>
      <c r="L65" s="65"/>
      <c r="M65" s="65"/>
      <c r="N65" s="65"/>
      <c r="O65" s="65"/>
      <c r="P65" s="65"/>
      <c r="Q65" s="65"/>
    </row>
    <row r="66" spans="1:17" ht="22.5" x14ac:dyDescent="0.25">
      <c r="A66" s="65"/>
      <c r="B66" s="65"/>
      <c r="C66" s="74"/>
      <c r="D66" s="65"/>
      <c r="E66" s="75"/>
      <c r="F66" s="71" t="s">
        <v>26</v>
      </c>
      <c r="G66" s="72" t="s">
        <v>21</v>
      </c>
      <c r="H66" s="65"/>
      <c r="I66" s="73"/>
      <c r="J66" s="72" t="s">
        <v>22</v>
      </c>
      <c r="K66" s="65"/>
      <c r="L66" s="65"/>
      <c r="M66" s="65"/>
      <c r="N66" s="65"/>
      <c r="O66" s="65"/>
      <c r="P66" s="65"/>
      <c r="Q66" s="65"/>
    </row>
    <row r="67" spans="1:17" ht="33.75" x14ac:dyDescent="0.25">
      <c r="A67" s="65"/>
      <c r="B67" s="65"/>
      <c r="C67" s="74"/>
      <c r="D67" s="65"/>
      <c r="E67" s="75"/>
      <c r="F67" s="71" t="s">
        <v>28</v>
      </c>
      <c r="G67" s="72" t="s">
        <v>155</v>
      </c>
      <c r="H67" s="65"/>
      <c r="I67" s="73"/>
      <c r="J67" s="72" t="s">
        <v>156</v>
      </c>
      <c r="K67" s="65"/>
      <c r="L67" s="65"/>
      <c r="M67" s="65"/>
      <c r="N67" s="65"/>
      <c r="O67" s="65"/>
      <c r="P67" s="65"/>
      <c r="Q67" s="65"/>
    </row>
    <row r="68" spans="1:17" ht="22.5" x14ac:dyDescent="0.25">
      <c r="A68" s="65"/>
      <c r="B68" s="65"/>
      <c r="C68" s="74"/>
      <c r="D68" s="65"/>
      <c r="E68" s="75"/>
      <c r="F68" s="71" t="s">
        <v>29</v>
      </c>
      <c r="G68" s="68" t="s">
        <v>169</v>
      </c>
      <c r="H68" s="65"/>
      <c r="I68" s="73"/>
      <c r="J68" s="68" t="s">
        <v>170</v>
      </c>
      <c r="K68" s="65"/>
      <c r="L68" s="65"/>
      <c r="M68" s="65"/>
      <c r="N68" s="65"/>
      <c r="O68" s="65"/>
      <c r="P68" s="65"/>
      <c r="Q68" s="65"/>
    </row>
    <row r="69" spans="1:17" ht="22.5" x14ac:dyDescent="0.25">
      <c r="A69" s="65"/>
      <c r="B69" s="65"/>
      <c r="C69" s="74"/>
      <c r="D69" s="65"/>
      <c r="E69" s="75"/>
      <c r="F69" s="71" t="s">
        <v>30</v>
      </c>
      <c r="G69" s="68" t="s">
        <v>171</v>
      </c>
      <c r="H69" s="65"/>
      <c r="I69" s="73"/>
      <c r="J69" s="68" t="s">
        <v>172</v>
      </c>
      <c r="K69" s="65"/>
      <c r="L69" s="65"/>
      <c r="M69" s="65"/>
      <c r="N69" s="65"/>
      <c r="O69" s="65"/>
      <c r="P69" s="65"/>
      <c r="Q69" s="65"/>
    </row>
    <row r="70" spans="1:17" ht="22.5" x14ac:dyDescent="0.25">
      <c r="A70" s="65"/>
      <c r="B70" s="65"/>
      <c r="C70" s="74"/>
      <c r="D70" s="65"/>
      <c r="E70" s="75"/>
      <c r="F70" s="71" t="s">
        <v>31</v>
      </c>
      <c r="G70" s="78" t="s">
        <v>45</v>
      </c>
      <c r="H70" s="78"/>
      <c r="I70" s="74"/>
      <c r="J70" s="78" t="s">
        <v>42</v>
      </c>
      <c r="K70" s="65"/>
      <c r="L70" s="65"/>
      <c r="M70" s="65"/>
      <c r="N70" s="65"/>
      <c r="O70" s="65"/>
      <c r="P70" s="65"/>
      <c r="Q70" s="65"/>
    </row>
    <row r="71" spans="1:17" ht="67.5" x14ac:dyDescent="0.25">
      <c r="A71" s="65"/>
      <c r="B71" s="65"/>
      <c r="C71" s="74"/>
      <c r="D71" s="65"/>
      <c r="E71" s="75"/>
      <c r="F71" s="71" t="s">
        <v>32</v>
      </c>
      <c r="G71" s="68" t="s">
        <v>568</v>
      </c>
      <c r="H71" s="75"/>
      <c r="I71" s="68" t="s">
        <v>78</v>
      </c>
      <c r="J71" s="68" t="s">
        <v>151</v>
      </c>
      <c r="K71" s="65"/>
      <c r="L71" s="65"/>
      <c r="M71" s="65"/>
      <c r="N71" s="65"/>
      <c r="O71" s="65"/>
      <c r="P71" s="65"/>
      <c r="Q71" s="65"/>
    </row>
    <row r="72" spans="1:17" ht="22.5" x14ac:dyDescent="0.25">
      <c r="A72" s="65"/>
      <c r="B72" s="65"/>
      <c r="C72" s="74"/>
      <c r="D72" s="65"/>
      <c r="E72" s="75"/>
      <c r="F72" s="71" t="s">
        <v>33</v>
      </c>
      <c r="G72" s="68" t="s">
        <v>551</v>
      </c>
      <c r="H72" s="65"/>
      <c r="I72" s="73"/>
      <c r="J72" s="68" t="s">
        <v>157</v>
      </c>
      <c r="K72" s="65"/>
      <c r="L72" s="65"/>
      <c r="M72" s="65"/>
      <c r="N72" s="65"/>
      <c r="O72" s="65"/>
      <c r="P72" s="65"/>
      <c r="Q72" s="65"/>
    </row>
    <row r="73" spans="1:17" ht="33.75" x14ac:dyDescent="0.25">
      <c r="A73" s="65"/>
      <c r="B73" s="65"/>
      <c r="C73" s="74"/>
      <c r="D73" s="65"/>
      <c r="E73" s="75"/>
      <c r="F73" s="71" t="s">
        <v>49</v>
      </c>
      <c r="G73" s="68" t="s">
        <v>190</v>
      </c>
      <c r="H73" s="65"/>
      <c r="I73" s="73" t="s">
        <v>159</v>
      </c>
      <c r="J73" s="75"/>
      <c r="K73" s="65"/>
      <c r="L73" s="65"/>
      <c r="M73" s="65"/>
      <c r="N73" s="65"/>
      <c r="O73" s="65"/>
      <c r="P73" s="65"/>
      <c r="Q73" s="65"/>
    </row>
    <row r="74" spans="1:17" x14ac:dyDescent="0.25">
      <c r="A74" s="65"/>
      <c r="B74" s="65"/>
      <c r="C74" s="74"/>
      <c r="D74" s="65"/>
      <c r="E74" s="75"/>
      <c r="F74" s="71" t="s">
        <v>56</v>
      </c>
      <c r="G74" s="77" t="s">
        <v>18</v>
      </c>
      <c r="H74" s="74"/>
      <c r="I74" s="74"/>
      <c r="J74" s="77" t="s">
        <v>20</v>
      </c>
      <c r="K74" s="65"/>
      <c r="L74" s="65"/>
      <c r="M74" s="65"/>
      <c r="N74" s="65"/>
      <c r="O74" s="65"/>
      <c r="P74" s="65"/>
      <c r="Q74" s="65"/>
    </row>
    <row r="75" spans="1:17" ht="22.5" x14ac:dyDescent="0.25">
      <c r="A75" s="65"/>
      <c r="B75" s="65"/>
      <c r="C75" s="74"/>
      <c r="D75" s="65"/>
      <c r="E75" s="75"/>
      <c r="F75" s="71" t="s">
        <v>57</v>
      </c>
      <c r="G75" s="77" t="s">
        <v>21</v>
      </c>
      <c r="H75" s="74"/>
      <c r="I75" s="74"/>
      <c r="J75" s="77" t="s">
        <v>22</v>
      </c>
      <c r="K75" s="65"/>
      <c r="L75" s="65"/>
      <c r="M75" s="65"/>
      <c r="N75" s="65"/>
      <c r="O75" s="65"/>
      <c r="P75" s="65"/>
      <c r="Q75" s="65"/>
    </row>
    <row r="76" spans="1:17" ht="33.75" x14ac:dyDescent="0.25">
      <c r="A76" s="65"/>
      <c r="B76" s="65"/>
      <c r="C76" s="74"/>
      <c r="D76" s="65"/>
      <c r="E76" s="75"/>
      <c r="F76" s="71" t="s">
        <v>58</v>
      </c>
      <c r="G76" s="77" t="s">
        <v>23</v>
      </c>
      <c r="H76" s="74"/>
      <c r="I76" s="74"/>
      <c r="J76" s="77" t="s">
        <v>41</v>
      </c>
      <c r="K76" s="65"/>
      <c r="L76" s="65"/>
      <c r="M76" s="65"/>
      <c r="N76" s="65"/>
      <c r="O76" s="65"/>
      <c r="P76" s="65"/>
      <c r="Q76" s="65"/>
    </row>
    <row r="77" spans="1:17" ht="22.5" x14ac:dyDescent="0.25">
      <c r="A77" s="65"/>
      <c r="B77" s="65"/>
      <c r="C77" s="74"/>
      <c r="D77" s="65"/>
      <c r="E77" s="75"/>
      <c r="F77" s="71" t="s">
        <v>59</v>
      </c>
      <c r="G77" s="75" t="s">
        <v>76</v>
      </c>
      <c r="H77" s="75"/>
      <c r="I77" s="75"/>
      <c r="J77" s="68" t="s">
        <v>44</v>
      </c>
      <c r="K77" s="65"/>
      <c r="L77" s="65"/>
      <c r="M77" s="65"/>
      <c r="N77" s="65"/>
      <c r="O77" s="65"/>
      <c r="P77" s="65"/>
      <c r="Q77" s="65"/>
    </row>
    <row r="78" spans="1:17" ht="22.5" x14ac:dyDescent="0.25">
      <c r="A78" s="65"/>
      <c r="B78" s="65"/>
      <c r="C78" s="65"/>
      <c r="D78" s="65"/>
      <c r="E78" s="65"/>
      <c r="F78" s="71" t="s">
        <v>60</v>
      </c>
      <c r="G78" s="78" t="s">
        <v>25</v>
      </c>
      <c r="H78" s="78"/>
      <c r="I78" s="78"/>
      <c r="J78" s="78" t="s">
        <v>27</v>
      </c>
      <c r="K78" s="65"/>
      <c r="L78" s="65"/>
      <c r="M78" s="65"/>
      <c r="N78" s="65"/>
      <c r="O78" s="65"/>
      <c r="P78" s="65"/>
      <c r="Q78" s="65"/>
    </row>
    <row r="79" spans="1:17" ht="22.5" x14ac:dyDescent="0.25">
      <c r="A79" s="65"/>
      <c r="B79" s="65"/>
      <c r="C79" s="65"/>
      <c r="D79" s="65"/>
      <c r="E79" s="65"/>
      <c r="F79" s="71" t="s">
        <v>69</v>
      </c>
      <c r="G79" s="78" t="s">
        <v>45</v>
      </c>
      <c r="H79" s="78"/>
      <c r="I79" s="74"/>
      <c r="J79" s="78" t="s">
        <v>42</v>
      </c>
      <c r="K79" s="65"/>
      <c r="L79" s="65"/>
      <c r="M79" s="65"/>
      <c r="N79" s="65"/>
      <c r="O79" s="65"/>
      <c r="P79" s="65"/>
      <c r="Q79" s="65"/>
    </row>
    <row r="80" spans="1:17" ht="23.25" x14ac:dyDescent="0.25">
      <c r="A80" s="65"/>
      <c r="B80" s="65"/>
      <c r="C80" s="65"/>
      <c r="D80" s="65"/>
      <c r="E80" s="65"/>
      <c r="F80" s="71" t="s">
        <v>71</v>
      </c>
      <c r="G80" s="73" t="s">
        <v>180</v>
      </c>
      <c r="H80" s="65"/>
      <c r="I80" s="73"/>
      <c r="J80" s="73" t="s">
        <v>181</v>
      </c>
      <c r="K80" s="65"/>
      <c r="L80" s="65"/>
      <c r="M80" s="65"/>
      <c r="N80" s="65"/>
      <c r="O80" s="65"/>
      <c r="P80" s="65"/>
      <c r="Q80" s="65"/>
    </row>
    <row r="81" spans="1:17" ht="45.75" x14ac:dyDescent="0.25">
      <c r="A81" s="65"/>
      <c r="B81" s="65"/>
      <c r="C81" s="65"/>
      <c r="D81" s="65"/>
      <c r="E81" s="65"/>
      <c r="F81" s="71" t="s">
        <v>72</v>
      </c>
      <c r="G81" s="73" t="s">
        <v>165</v>
      </c>
      <c r="H81" s="65"/>
      <c r="I81" s="73" t="s">
        <v>166</v>
      </c>
      <c r="J81" s="68" t="s">
        <v>182</v>
      </c>
      <c r="K81" s="65"/>
      <c r="L81" s="65"/>
      <c r="M81" s="65"/>
      <c r="N81" s="65"/>
      <c r="O81" s="65"/>
      <c r="P81" s="65"/>
      <c r="Q81" s="65"/>
    </row>
    <row r="82" spans="1:17" ht="78.75" x14ac:dyDescent="0.25">
      <c r="A82" s="65"/>
      <c r="B82" s="65"/>
      <c r="C82" s="66" t="s">
        <v>192</v>
      </c>
      <c r="D82" s="67" t="s">
        <v>168</v>
      </c>
      <c r="E82" s="68" t="s">
        <v>193</v>
      </c>
      <c r="F82" s="69" t="s">
        <v>17</v>
      </c>
      <c r="G82" s="70" t="s">
        <v>606</v>
      </c>
      <c r="H82" s="65"/>
      <c r="I82" s="70" t="s">
        <v>523</v>
      </c>
      <c r="J82" s="65"/>
      <c r="K82" s="65"/>
      <c r="L82" s="65"/>
      <c r="M82" s="65"/>
      <c r="N82" s="65"/>
      <c r="O82" s="65"/>
      <c r="P82" s="65"/>
      <c r="Q82" s="65"/>
    </row>
    <row r="83" spans="1:17" x14ac:dyDescent="0.25">
      <c r="A83" s="65"/>
      <c r="B83" s="65"/>
      <c r="C83" s="66"/>
      <c r="D83" s="67"/>
      <c r="E83" s="68"/>
      <c r="F83" s="71" t="s">
        <v>19</v>
      </c>
      <c r="G83" s="72" t="s">
        <v>18</v>
      </c>
      <c r="H83" s="65"/>
      <c r="I83" s="73"/>
      <c r="J83" s="72" t="s">
        <v>20</v>
      </c>
      <c r="K83" s="65"/>
      <c r="L83" s="65"/>
      <c r="M83" s="65"/>
      <c r="N83" s="65"/>
      <c r="O83" s="65"/>
      <c r="P83" s="65"/>
      <c r="Q83" s="65"/>
    </row>
    <row r="84" spans="1:17" ht="22.5" x14ac:dyDescent="0.25">
      <c r="A84" s="65"/>
      <c r="B84" s="65"/>
      <c r="C84" s="74"/>
      <c r="D84" s="65"/>
      <c r="E84" s="75"/>
      <c r="F84" s="71" t="s">
        <v>26</v>
      </c>
      <c r="G84" s="72" t="s">
        <v>21</v>
      </c>
      <c r="H84" s="65"/>
      <c r="I84" s="73"/>
      <c r="J84" s="72" t="s">
        <v>22</v>
      </c>
      <c r="K84" s="65"/>
      <c r="L84" s="65"/>
      <c r="M84" s="65"/>
      <c r="N84" s="65"/>
      <c r="O84" s="65"/>
      <c r="P84" s="65"/>
      <c r="Q84" s="65"/>
    </row>
    <row r="85" spans="1:17" ht="33.75" x14ac:dyDescent="0.25">
      <c r="A85" s="65"/>
      <c r="B85" s="65"/>
      <c r="C85" s="74"/>
      <c r="D85" s="65"/>
      <c r="E85" s="75"/>
      <c r="F85" s="71" t="s">
        <v>28</v>
      </c>
      <c r="G85" s="72" t="s">
        <v>155</v>
      </c>
      <c r="H85" s="65"/>
      <c r="I85" s="73"/>
      <c r="J85" s="72" t="s">
        <v>156</v>
      </c>
      <c r="K85" s="65"/>
      <c r="L85" s="65"/>
      <c r="M85" s="65"/>
      <c r="N85" s="65"/>
      <c r="O85" s="65"/>
      <c r="P85" s="65"/>
      <c r="Q85" s="65"/>
    </row>
    <row r="86" spans="1:17" ht="22.5" x14ac:dyDescent="0.25">
      <c r="A86" s="65"/>
      <c r="B86" s="65"/>
      <c r="C86" s="74"/>
      <c r="D86" s="65"/>
      <c r="E86" s="75"/>
      <c r="F86" s="71" t="s">
        <v>29</v>
      </c>
      <c r="G86" s="68" t="s">
        <v>169</v>
      </c>
      <c r="H86" s="65"/>
      <c r="I86" s="73"/>
      <c r="J86" s="68" t="s">
        <v>170</v>
      </c>
      <c r="K86" s="65"/>
      <c r="L86" s="65"/>
      <c r="M86" s="65"/>
      <c r="N86" s="65"/>
      <c r="O86" s="65"/>
      <c r="P86" s="65"/>
      <c r="Q86" s="65"/>
    </row>
    <row r="87" spans="1:17" ht="22.5" x14ac:dyDescent="0.25">
      <c r="A87" s="65"/>
      <c r="B87" s="65"/>
      <c r="C87" s="74"/>
      <c r="D87" s="65"/>
      <c r="E87" s="75"/>
      <c r="F87" s="71" t="s">
        <v>30</v>
      </c>
      <c r="G87" s="68" t="s">
        <v>171</v>
      </c>
      <c r="H87" s="65"/>
      <c r="I87" s="73"/>
      <c r="J87" s="68" t="s">
        <v>172</v>
      </c>
      <c r="K87" s="65"/>
      <c r="L87" s="65"/>
      <c r="M87" s="65"/>
      <c r="N87" s="65"/>
      <c r="O87" s="65"/>
      <c r="P87" s="65"/>
      <c r="Q87" s="65"/>
    </row>
    <row r="88" spans="1:17" ht="22.5" x14ac:dyDescent="0.25">
      <c r="A88" s="65"/>
      <c r="B88" s="65"/>
      <c r="C88" s="74"/>
      <c r="D88" s="65"/>
      <c r="E88" s="75"/>
      <c r="F88" s="71" t="s">
        <v>31</v>
      </c>
      <c r="G88" s="78" t="s">
        <v>45</v>
      </c>
      <c r="H88" s="78"/>
      <c r="I88" s="74"/>
      <c r="J88" s="78" t="s">
        <v>42</v>
      </c>
      <c r="K88" s="65"/>
      <c r="L88" s="65"/>
      <c r="M88" s="65"/>
      <c r="N88" s="65"/>
      <c r="O88" s="65"/>
      <c r="P88" s="65"/>
      <c r="Q88" s="65"/>
    </row>
    <row r="89" spans="1:17" ht="67.5" x14ac:dyDescent="0.25">
      <c r="A89" s="65"/>
      <c r="B89" s="65"/>
      <c r="C89" s="74"/>
      <c r="D89" s="65"/>
      <c r="E89" s="75"/>
      <c r="F89" s="71" t="s">
        <v>32</v>
      </c>
      <c r="G89" s="68" t="s">
        <v>568</v>
      </c>
      <c r="H89" s="75"/>
      <c r="I89" s="68" t="s">
        <v>78</v>
      </c>
      <c r="J89" s="81" t="s">
        <v>262</v>
      </c>
      <c r="K89" s="65"/>
      <c r="L89" s="65"/>
      <c r="M89" s="65"/>
      <c r="N89" s="65"/>
      <c r="O89" s="65"/>
      <c r="P89" s="65"/>
      <c r="Q89" s="65"/>
    </row>
    <row r="90" spans="1:17" ht="22.5" x14ac:dyDescent="0.25">
      <c r="A90" s="65"/>
      <c r="B90" s="65"/>
      <c r="C90" s="74"/>
      <c r="D90" s="65"/>
      <c r="E90" s="75"/>
      <c r="F90" s="71" t="s">
        <v>33</v>
      </c>
      <c r="G90" s="68" t="s">
        <v>552</v>
      </c>
      <c r="H90" s="65"/>
      <c r="I90" s="73"/>
      <c r="J90" s="68" t="s">
        <v>157</v>
      </c>
      <c r="K90" s="65"/>
      <c r="L90" s="65"/>
      <c r="M90" s="65"/>
      <c r="N90" s="65"/>
      <c r="O90" s="65"/>
      <c r="P90" s="65"/>
      <c r="Q90" s="65"/>
    </row>
    <row r="91" spans="1:17" ht="33.75" x14ac:dyDescent="0.25">
      <c r="A91" s="65"/>
      <c r="B91" s="65"/>
      <c r="C91" s="74"/>
      <c r="D91" s="65"/>
      <c r="E91" s="75"/>
      <c r="F91" s="71" t="s">
        <v>49</v>
      </c>
      <c r="G91" s="68" t="s">
        <v>194</v>
      </c>
      <c r="H91" s="65"/>
      <c r="I91" s="73" t="s">
        <v>159</v>
      </c>
      <c r="J91" s="75"/>
      <c r="K91" s="65"/>
      <c r="L91" s="65"/>
      <c r="M91" s="65"/>
      <c r="N91" s="65"/>
      <c r="O91" s="65"/>
      <c r="P91" s="65"/>
      <c r="Q91" s="65"/>
    </row>
    <row r="92" spans="1:17" x14ac:dyDescent="0.25">
      <c r="A92" s="65"/>
      <c r="B92" s="65"/>
      <c r="C92" s="74"/>
      <c r="D92" s="65"/>
      <c r="E92" s="75"/>
      <c r="F92" s="71" t="s">
        <v>56</v>
      </c>
      <c r="G92" s="77" t="s">
        <v>18</v>
      </c>
      <c r="H92" s="74"/>
      <c r="I92" s="74"/>
      <c r="J92" s="77" t="s">
        <v>20</v>
      </c>
      <c r="K92" s="65"/>
      <c r="L92" s="65"/>
      <c r="M92" s="65"/>
      <c r="N92" s="65"/>
      <c r="O92" s="65"/>
      <c r="P92" s="65"/>
      <c r="Q92" s="65"/>
    </row>
    <row r="93" spans="1:17" ht="22.5" x14ac:dyDescent="0.25">
      <c r="A93" s="65"/>
      <c r="B93" s="65"/>
      <c r="C93" s="74"/>
      <c r="D93" s="65"/>
      <c r="E93" s="75"/>
      <c r="F93" s="71" t="s">
        <v>57</v>
      </c>
      <c r="G93" s="77" t="s">
        <v>21</v>
      </c>
      <c r="H93" s="74"/>
      <c r="I93" s="74"/>
      <c r="J93" s="77" t="s">
        <v>22</v>
      </c>
      <c r="K93" s="65"/>
      <c r="L93" s="65"/>
      <c r="M93" s="65"/>
      <c r="N93" s="65"/>
      <c r="O93" s="65"/>
      <c r="P93" s="65"/>
      <c r="Q93" s="65"/>
    </row>
    <row r="94" spans="1:17" ht="33.75" x14ac:dyDescent="0.25">
      <c r="A94" s="65"/>
      <c r="B94" s="65"/>
      <c r="C94" s="74"/>
      <c r="D94" s="65"/>
      <c r="E94" s="75"/>
      <c r="F94" s="71" t="s">
        <v>58</v>
      </c>
      <c r="G94" s="77" t="s">
        <v>23</v>
      </c>
      <c r="H94" s="74"/>
      <c r="I94" s="74"/>
      <c r="J94" s="77" t="s">
        <v>41</v>
      </c>
      <c r="K94" s="65"/>
      <c r="L94" s="65"/>
      <c r="M94" s="65"/>
      <c r="N94" s="65"/>
      <c r="O94" s="65"/>
      <c r="P94" s="65"/>
      <c r="Q94" s="65"/>
    </row>
    <row r="95" spans="1:17" ht="22.5" x14ac:dyDescent="0.25">
      <c r="A95" s="65"/>
      <c r="B95" s="65"/>
      <c r="C95" s="74"/>
      <c r="D95" s="65"/>
      <c r="E95" s="75"/>
      <c r="F95" s="71" t="s">
        <v>59</v>
      </c>
      <c r="G95" s="75" t="s">
        <v>76</v>
      </c>
      <c r="H95" s="75"/>
      <c r="I95" s="75"/>
      <c r="J95" s="68" t="s">
        <v>44</v>
      </c>
      <c r="K95" s="65"/>
      <c r="L95" s="65"/>
      <c r="M95" s="65"/>
      <c r="N95" s="65"/>
      <c r="O95" s="65"/>
      <c r="P95" s="65"/>
      <c r="Q95" s="65"/>
    </row>
    <row r="96" spans="1:17" ht="22.5" x14ac:dyDescent="0.25">
      <c r="A96" s="65"/>
      <c r="B96" s="65"/>
      <c r="C96" s="65"/>
      <c r="D96" s="65"/>
      <c r="E96" s="65"/>
      <c r="F96" s="71" t="s">
        <v>60</v>
      </c>
      <c r="G96" s="78" t="s">
        <v>25</v>
      </c>
      <c r="H96" s="78"/>
      <c r="I96" s="78"/>
      <c r="J96" s="78" t="s">
        <v>27</v>
      </c>
      <c r="K96" s="65"/>
      <c r="L96" s="65"/>
      <c r="M96" s="65"/>
      <c r="N96" s="65"/>
      <c r="O96" s="65"/>
      <c r="P96" s="65"/>
      <c r="Q96" s="65"/>
    </row>
    <row r="97" spans="1:17" ht="22.5" x14ac:dyDescent="0.25">
      <c r="A97" s="65"/>
      <c r="B97" s="65"/>
      <c r="C97" s="65"/>
      <c r="D97" s="65"/>
      <c r="E97" s="65"/>
      <c r="F97" s="71" t="s">
        <v>69</v>
      </c>
      <c r="G97" s="78" t="s">
        <v>45</v>
      </c>
      <c r="H97" s="78"/>
      <c r="I97" s="74"/>
      <c r="J97" s="78" t="s">
        <v>42</v>
      </c>
      <c r="K97" s="65"/>
      <c r="L97" s="65"/>
      <c r="M97" s="65"/>
      <c r="N97" s="65"/>
      <c r="O97" s="65"/>
      <c r="P97" s="65"/>
      <c r="Q97" s="65"/>
    </row>
    <row r="98" spans="1:17" ht="23.25" x14ac:dyDescent="0.25">
      <c r="A98" s="65"/>
      <c r="B98" s="65"/>
      <c r="C98" s="65"/>
      <c r="D98" s="65"/>
      <c r="E98" s="65"/>
      <c r="F98" s="71" t="s">
        <v>71</v>
      </c>
      <c r="G98" s="73" t="s">
        <v>164</v>
      </c>
      <c r="H98" s="65"/>
      <c r="I98" s="73"/>
      <c r="J98" s="73" t="s">
        <v>195</v>
      </c>
      <c r="K98" s="65"/>
      <c r="L98" s="65"/>
      <c r="M98" s="65"/>
      <c r="N98" s="65"/>
      <c r="O98" s="65"/>
      <c r="P98" s="65"/>
      <c r="Q98" s="65"/>
    </row>
    <row r="99" spans="1:17" ht="45.75" x14ac:dyDescent="0.25">
      <c r="A99" s="65"/>
      <c r="B99" s="65"/>
      <c r="C99" s="65"/>
      <c r="D99" s="65"/>
      <c r="E99" s="65"/>
      <c r="F99" s="71" t="s">
        <v>72</v>
      </c>
      <c r="G99" s="70" t="s">
        <v>165</v>
      </c>
      <c r="H99" s="65"/>
      <c r="I99" s="73" t="s">
        <v>166</v>
      </c>
      <c r="J99" s="68" t="s">
        <v>173</v>
      </c>
      <c r="K99" s="65"/>
      <c r="L99" s="65"/>
      <c r="M99" s="65"/>
      <c r="N99" s="65"/>
      <c r="O99" s="65"/>
      <c r="P99" s="65"/>
      <c r="Q99" s="65"/>
    </row>
    <row r="100" spans="1:17" ht="78.75" x14ac:dyDescent="0.25">
      <c r="A100" s="65"/>
      <c r="B100" s="65"/>
      <c r="C100" s="79" t="s">
        <v>198</v>
      </c>
      <c r="D100" s="67" t="s">
        <v>168</v>
      </c>
      <c r="E100" s="68" t="s">
        <v>196</v>
      </c>
      <c r="F100" s="69" t="s">
        <v>17</v>
      </c>
      <c r="G100" s="84" t="s">
        <v>607</v>
      </c>
      <c r="H100" s="65"/>
      <c r="I100" s="70" t="s">
        <v>523</v>
      </c>
      <c r="J100" s="65"/>
      <c r="K100" s="65"/>
      <c r="L100" s="65"/>
      <c r="M100" s="65"/>
      <c r="N100" s="65"/>
      <c r="O100" s="65"/>
      <c r="P100" s="65"/>
      <c r="Q100" s="65"/>
    </row>
    <row r="101" spans="1:17" x14ac:dyDescent="0.25">
      <c r="A101" s="65"/>
      <c r="B101" s="65"/>
      <c r="C101" s="66"/>
      <c r="D101" s="67"/>
      <c r="E101" s="68"/>
      <c r="F101" s="71" t="s">
        <v>19</v>
      </c>
      <c r="G101" s="72" t="s">
        <v>18</v>
      </c>
      <c r="H101" s="65"/>
      <c r="I101" s="73"/>
      <c r="J101" s="72" t="s">
        <v>20</v>
      </c>
      <c r="K101" s="65"/>
      <c r="L101" s="65"/>
      <c r="M101" s="65"/>
      <c r="N101" s="65"/>
      <c r="O101" s="65"/>
      <c r="P101" s="65"/>
      <c r="Q101" s="65"/>
    </row>
    <row r="102" spans="1:17" ht="22.5" x14ac:dyDescent="0.25">
      <c r="A102" s="65"/>
      <c r="B102" s="65"/>
      <c r="C102" s="74"/>
      <c r="D102" s="65"/>
      <c r="E102" s="75"/>
      <c r="F102" s="71" t="s">
        <v>26</v>
      </c>
      <c r="G102" s="72" t="s">
        <v>21</v>
      </c>
      <c r="H102" s="65"/>
      <c r="I102" s="73"/>
      <c r="J102" s="72" t="s">
        <v>22</v>
      </c>
      <c r="K102" s="65"/>
      <c r="L102" s="65"/>
      <c r="M102" s="65"/>
      <c r="N102" s="65"/>
      <c r="O102" s="65"/>
      <c r="P102" s="65"/>
      <c r="Q102" s="65"/>
    </row>
    <row r="103" spans="1:17" ht="33.75" x14ac:dyDescent="0.25">
      <c r="A103" s="65"/>
      <c r="B103" s="65"/>
      <c r="C103" s="74"/>
      <c r="D103" s="65"/>
      <c r="E103" s="75"/>
      <c r="F103" s="71" t="s">
        <v>28</v>
      </c>
      <c r="G103" s="72" t="s">
        <v>155</v>
      </c>
      <c r="H103" s="65"/>
      <c r="I103" s="73"/>
      <c r="J103" s="72" t="s">
        <v>156</v>
      </c>
      <c r="K103" s="65"/>
      <c r="L103" s="65"/>
      <c r="M103" s="65"/>
      <c r="N103" s="65"/>
      <c r="O103" s="65"/>
      <c r="P103" s="65"/>
      <c r="Q103" s="65"/>
    </row>
    <row r="104" spans="1:17" ht="22.5" x14ac:dyDescent="0.25">
      <c r="A104" s="65"/>
      <c r="B104" s="65"/>
      <c r="C104" s="74"/>
      <c r="D104" s="65"/>
      <c r="E104" s="75"/>
      <c r="F104" s="71" t="s">
        <v>29</v>
      </c>
      <c r="G104" s="68" t="s">
        <v>169</v>
      </c>
      <c r="H104" s="65"/>
      <c r="I104" s="73"/>
      <c r="J104" s="68" t="s">
        <v>170</v>
      </c>
      <c r="K104" s="65"/>
      <c r="L104" s="65"/>
      <c r="M104" s="65"/>
      <c r="N104" s="65"/>
      <c r="O104" s="65"/>
      <c r="P104" s="65"/>
      <c r="Q104" s="65"/>
    </row>
    <row r="105" spans="1:17" ht="22.5" x14ac:dyDescent="0.25">
      <c r="A105" s="65"/>
      <c r="B105" s="65"/>
      <c r="C105" s="74"/>
      <c r="D105" s="65"/>
      <c r="E105" s="75"/>
      <c r="F105" s="71" t="s">
        <v>30</v>
      </c>
      <c r="G105" s="68" t="s">
        <v>171</v>
      </c>
      <c r="H105" s="65"/>
      <c r="I105" s="73"/>
      <c r="J105" s="68" t="s">
        <v>172</v>
      </c>
      <c r="K105" s="65"/>
      <c r="L105" s="65"/>
      <c r="M105" s="65"/>
      <c r="N105" s="65"/>
      <c r="O105" s="65"/>
      <c r="P105" s="65"/>
      <c r="Q105" s="65"/>
    </row>
    <row r="106" spans="1:17" ht="22.5" x14ac:dyDescent="0.25">
      <c r="A106" s="65"/>
      <c r="B106" s="65"/>
      <c r="C106" s="74"/>
      <c r="D106" s="65"/>
      <c r="E106" s="75"/>
      <c r="F106" s="71" t="s">
        <v>31</v>
      </c>
      <c r="G106" s="68" t="s">
        <v>174</v>
      </c>
      <c r="H106" s="65"/>
      <c r="I106" s="73"/>
      <c r="J106" s="68" t="s">
        <v>175</v>
      </c>
      <c r="K106" s="65"/>
      <c r="L106" s="65"/>
      <c r="M106" s="65"/>
      <c r="N106" s="65"/>
      <c r="O106" s="65"/>
      <c r="P106" s="65"/>
      <c r="Q106" s="65"/>
    </row>
    <row r="107" spans="1:17" ht="67.5" x14ac:dyDescent="0.25">
      <c r="A107" s="65"/>
      <c r="B107" s="65"/>
      <c r="C107" s="74"/>
      <c r="D107" s="65"/>
      <c r="E107" s="75"/>
      <c r="F107" s="71" t="s">
        <v>32</v>
      </c>
      <c r="G107" s="68" t="s">
        <v>568</v>
      </c>
      <c r="H107" s="75"/>
      <c r="I107" s="68" t="s">
        <v>78</v>
      </c>
      <c r="J107" s="68" t="s">
        <v>151</v>
      </c>
      <c r="K107" s="65"/>
      <c r="L107" s="65"/>
      <c r="M107" s="65"/>
      <c r="N107" s="65"/>
      <c r="O107" s="65"/>
      <c r="P107" s="65"/>
      <c r="Q107" s="65"/>
    </row>
    <row r="108" spans="1:17" ht="33.75" x14ac:dyDescent="0.25">
      <c r="A108" s="65"/>
      <c r="B108" s="65"/>
      <c r="C108" s="74"/>
      <c r="D108" s="65"/>
      <c r="E108" s="75"/>
      <c r="F108" s="71" t="s">
        <v>33</v>
      </c>
      <c r="G108" s="68" t="s">
        <v>50</v>
      </c>
      <c r="H108" s="75"/>
      <c r="I108" s="68"/>
      <c r="J108" s="68" t="s">
        <v>51</v>
      </c>
      <c r="K108" s="65"/>
      <c r="L108" s="65"/>
      <c r="M108" s="65"/>
      <c r="N108" s="65"/>
      <c r="O108" s="65"/>
      <c r="P108" s="65"/>
      <c r="Q108" s="65"/>
    </row>
    <row r="109" spans="1:17" ht="90" x14ac:dyDescent="0.25">
      <c r="A109" s="65"/>
      <c r="B109" s="65"/>
      <c r="C109" s="74"/>
      <c r="D109" s="65"/>
      <c r="E109" s="75"/>
      <c r="F109" s="71" t="s">
        <v>49</v>
      </c>
      <c r="G109" s="66" t="s">
        <v>566</v>
      </c>
      <c r="H109" s="65"/>
      <c r="I109" s="66" t="s">
        <v>119</v>
      </c>
      <c r="J109" s="66" t="s">
        <v>120</v>
      </c>
      <c r="K109" s="65"/>
      <c r="L109" s="65"/>
      <c r="M109" s="65"/>
      <c r="N109" s="65"/>
      <c r="O109" s="65"/>
      <c r="P109" s="65"/>
      <c r="Q109" s="65"/>
    </row>
    <row r="110" spans="1:17" ht="33.75" x14ac:dyDescent="0.25">
      <c r="A110" s="65"/>
      <c r="B110" s="65"/>
      <c r="C110" s="65"/>
      <c r="D110" s="65"/>
      <c r="E110" s="65"/>
      <c r="F110" s="71" t="s">
        <v>56</v>
      </c>
      <c r="G110" s="81" t="s">
        <v>608</v>
      </c>
      <c r="H110" s="65"/>
      <c r="I110" s="73"/>
      <c r="J110" s="68" t="s">
        <v>157</v>
      </c>
      <c r="K110" s="65"/>
      <c r="L110" s="65"/>
      <c r="M110" s="65"/>
      <c r="N110" s="65"/>
      <c r="O110" s="65"/>
      <c r="P110" s="65"/>
      <c r="Q110" s="65"/>
    </row>
    <row r="111" spans="1:17" ht="45" x14ac:dyDescent="0.25">
      <c r="A111" s="65"/>
      <c r="B111" s="65"/>
      <c r="C111" s="65"/>
      <c r="D111" s="65"/>
      <c r="E111" s="65"/>
      <c r="F111" s="71" t="s">
        <v>57</v>
      </c>
      <c r="G111" s="80" t="s">
        <v>609</v>
      </c>
      <c r="H111" s="65"/>
      <c r="I111" s="73" t="s">
        <v>159</v>
      </c>
      <c r="J111" s="75"/>
      <c r="K111" s="65"/>
      <c r="L111" s="65"/>
      <c r="M111" s="65"/>
      <c r="N111" s="65"/>
      <c r="O111" s="65"/>
      <c r="P111" s="65"/>
      <c r="Q111" s="65"/>
    </row>
    <row r="112" spans="1:17" x14ac:dyDescent="0.25">
      <c r="A112" s="65"/>
      <c r="B112" s="65"/>
      <c r="C112" s="65"/>
      <c r="D112" s="65"/>
      <c r="E112" s="65"/>
      <c r="F112" s="71" t="s">
        <v>58</v>
      </c>
      <c r="G112" s="77" t="s">
        <v>18</v>
      </c>
      <c r="H112" s="74"/>
      <c r="I112" s="74"/>
      <c r="J112" s="77" t="s">
        <v>20</v>
      </c>
      <c r="K112" s="65"/>
      <c r="L112" s="65"/>
      <c r="M112" s="65"/>
      <c r="N112" s="65"/>
      <c r="O112" s="65"/>
      <c r="P112" s="65"/>
      <c r="Q112" s="65"/>
    </row>
    <row r="113" spans="1:17" ht="22.5" x14ac:dyDescent="0.25">
      <c r="A113" s="65"/>
      <c r="B113" s="65"/>
      <c r="C113" s="65"/>
      <c r="D113" s="65"/>
      <c r="E113" s="65"/>
      <c r="F113" s="71" t="s">
        <v>59</v>
      </c>
      <c r="G113" s="77" t="s">
        <v>21</v>
      </c>
      <c r="H113" s="74"/>
      <c r="I113" s="74"/>
      <c r="J113" s="77" t="s">
        <v>22</v>
      </c>
      <c r="K113" s="65"/>
      <c r="L113" s="65"/>
      <c r="M113" s="65"/>
      <c r="N113" s="65"/>
      <c r="O113" s="65"/>
      <c r="P113" s="65"/>
      <c r="Q113" s="65"/>
    </row>
    <row r="114" spans="1:17" ht="33.75" x14ac:dyDescent="0.25">
      <c r="A114" s="65"/>
      <c r="B114" s="65"/>
      <c r="C114" s="65"/>
      <c r="D114" s="65"/>
      <c r="E114" s="65"/>
      <c r="F114" s="71" t="s">
        <v>60</v>
      </c>
      <c r="G114" s="77" t="s">
        <v>23</v>
      </c>
      <c r="H114" s="74"/>
      <c r="I114" s="74"/>
      <c r="J114" s="77" t="s">
        <v>41</v>
      </c>
      <c r="K114" s="65"/>
      <c r="L114" s="65"/>
      <c r="M114" s="65"/>
      <c r="N114" s="65"/>
      <c r="O114" s="65"/>
      <c r="P114" s="65"/>
      <c r="Q114" s="65"/>
    </row>
    <row r="115" spans="1:17" ht="22.5" x14ac:dyDescent="0.25">
      <c r="A115" s="65"/>
      <c r="B115" s="65"/>
      <c r="C115" s="65"/>
      <c r="D115" s="65"/>
      <c r="E115" s="65"/>
      <c r="F115" s="71" t="s">
        <v>69</v>
      </c>
      <c r="G115" s="75" t="s">
        <v>76</v>
      </c>
      <c r="H115" s="75"/>
      <c r="I115" s="75"/>
      <c r="J115" s="68" t="s">
        <v>44</v>
      </c>
      <c r="K115" s="65"/>
      <c r="L115" s="65"/>
      <c r="M115" s="65"/>
      <c r="N115" s="65"/>
      <c r="O115" s="65"/>
      <c r="P115" s="65"/>
      <c r="Q115" s="65"/>
    </row>
    <row r="116" spans="1:17" ht="22.5" x14ac:dyDescent="0.25">
      <c r="A116" s="65"/>
      <c r="B116" s="65"/>
      <c r="C116" s="65"/>
      <c r="D116" s="65"/>
      <c r="E116" s="65"/>
      <c r="F116" s="71" t="s">
        <v>71</v>
      </c>
      <c r="G116" s="78" t="s">
        <v>25</v>
      </c>
      <c r="H116" s="78"/>
      <c r="I116" s="78"/>
      <c r="J116" s="78" t="s">
        <v>27</v>
      </c>
      <c r="K116" s="65"/>
      <c r="L116" s="65"/>
      <c r="M116" s="65"/>
      <c r="N116" s="65"/>
      <c r="O116" s="65"/>
      <c r="P116" s="65"/>
      <c r="Q116" s="65"/>
    </row>
    <row r="117" spans="1:17" ht="22.5" x14ac:dyDescent="0.25">
      <c r="A117" s="65"/>
      <c r="B117" s="65"/>
      <c r="C117" s="65"/>
      <c r="D117" s="65"/>
      <c r="E117" s="65"/>
      <c r="F117" s="71" t="s">
        <v>72</v>
      </c>
      <c r="G117" s="78" t="s">
        <v>45</v>
      </c>
      <c r="H117" s="78"/>
      <c r="I117" s="74"/>
      <c r="J117" s="78" t="s">
        <v>42</v>
      </c>
      <c r="K117" s="65"/>
      <c r="L117" s="65"/>
      <c r="M117" s="65"/>
      <c r="N117" s="65"/>
      <c r="O117" s="65"/>
      <c r="P117" s="65"/>
      <c r="Q117" s="65"/>
    </row>
    <row r="118" spans="1:17" ht="23.25" x14ac:dyDescent="0.25">
      <c r="A118" s="65"/>
      <c r="B118" s="65"/>
      <c r="C118" s="65"/>
      <c r="D118" s="65"/>
      <c r="E118" s="65"/>
      <c r="F118" s="71" t="s">
        <v>73</v>
      </c>
      <c r="G118" s="73" t="s">
        <v>164</v>
      </c>
      <c r="H118" s="65"/>
      <c r="I118" s="73"/>
      <c r="J118" s="73" t="s">
        <v>195</v>
      </c>
      <c r="K118" s="65"/>
      <c r="L118" s="65"/>
      <c r="M118" s="65"/>
      <c r="N118" s="65"/>
      <c r="O118" s="65"/>
      <c r="P118" s="65"/>
      <c r="Q118" s="65"/>
    </row>
    <row r="119" spans="1:17" ht="45.75" x14ac:dyDescent="0.25">
      <c r="A119" s="65"/>
      <c r="B119" s="65"/>
      <c r="C119" s="65"/>
      <c r="D119" s="65"/>
      <c r="E119" s="65"/>
      <c r="F119" s="71" t="s">
        <v>197</v>
      </c>
      <c r="G119" s="70" t="s">
        <v>165</v>
      </c>
      <c r="H119" s="65"/>
      <c r="I119" s="73" t="s">
        <v>166</v>
      </c>
      <c r="J119" s="68" t="s">
        <v>173</v>
      </c>
      <c r="K119" s="65"/>
      <c r="L119" s="65"/>
      <c r="M119" s="65"/>
      <c r="N119" s="65"/>
      <c r="O119" s="65"/>
      <c r="P119" s="65"/>
      <c r="Q119" s="65"/>
    </row>
    <row r="120" spans="1:17" ht="89.25" customHeight="1" x14ac:dyDescent="0.25">
      <c r="A120" s="65"/>
      <c r="B120" s="65"/>
      <c r="C120" s="82" t="s">
        <v>204</v>
      </c>
      <c r="D120" s="66" t="s">
        <v>205</v>
      </c>
      <c r="E120" s="83" t="s">
        <v>524</v>
      </c>
      <c r="F120" s="69" t="s">
        <v>17</v>
      </c>
      <c r="G120" s="80" t="s">
        <v>610</v>
      </c>
      <c r="H120" s="65"/>
      <c r="I120" s="70" t="s">
        <v>523</v>
      </c>
      <c r="J120" s="75"/>
      <c r="K120" s="65"/>
      <c r="L120" s="65"/>
      <c r="M120" s="65"/>
      <c r="N120" s="65"/>
      <c r="O120" s="65"/>
      <c r="P120" s="65"/>
      <c r="Q120" s="65"/>
    </row>
    <row r="121" spans="1:17" ht="41.25" customHeight="1" x14ac:dyDescent="0.25">
      <c r="A121" s="65"/>
      <c r="B121" s="65"/>
      <c r="C121" s="74"/>
      <c r="D121" s="75"/>
      <c r="E121" s="75"/>
      <c r="F121" s="75" t="s">
        <v>19</v>
      </c>
      <c r="G121" s="72" t="s">
        <v>18</v>
      </c>
      <c r="H121" s="65"/>
      <c r="I121" s="73"/>
      <c r="J121" s="72" t="s">
        <v>20</v>
      </c>
      <c r="K121" s="65"/>
      <c r="L121" s="65"/>
      <c r="M121" s="65"/>
      <c r="N121" s="65"/>
      <c r="O121" s="65"/>
      <c r="P121" s="65"/>
      <c r="Q121" s="65"/>
    </row>
    <row r="122" spans="1:17" ht="22.5" x14ac:dyDescent="0.25">
      <c r="A122" s="65"/>
      <c r="B122" s="65"/>
      <c r="C122" s="74"/>
      <c r="D122" s="75"/>
      <c r="E122" s="75"/>
      <c r="F122" s="75" t="s">
        <v>26</v>
      </c>
      <c r="G122" s="72" t="s">
        <v>21</v>
      </c>
      <c r="H122" s="65"/>
      <c r="I122" s="73"/>
      <c r="J122" s="72" t="s">
        <v>22</v>
      </c>
      <c r="K122" s="65"/>
      <c r="L122" s="65"/>
      <c r="M122" s="65"/>
      <c r="N122" s="65"/>
      <c r="O122" s="65"/>
      <c r="P122" s="65"/>
      <c r="Q122" s="65"/>
    </row>
    <row r="123" spans="1:17" ht="33.75" x14ac:dyDescent="0.25">
      <c r="A123" s="65"/>
      <c r="B123" s="65"/>
      <c r="C123" s="74"/>
      <c r="D123" s="75"/>
      <c r="E123" s="75"/>
      <c r="F123" s="75" t="s">
        <v>28</v>
      </c>
      <c r="G123" s="72" t="s">
        <v>155</v>
      </c>
      <c r="H123" s="65"/>
      <c r="I123" s="73"/>
      <c r="J123" s="72" t="s">
        <v>156</v>
      </c>
      <c r="K123" s="65"/>
      <c r="L123" s="65"/>
      <c r="M123" s="65"/>
      <c r="N123" s="65"/>
      <c r="O123" s="65"/>
      <c r="P123" s="65"/>
      <c r="Q123" s="65"/>
    </row>
    <row r="124" spans="1:17" ht="22.5" x14ac:dyDescent="0.25">
      <c r="A124" s="65"/>
      <c r="B124" s="65"/>
      <c r="C124" s="74"/>
      <c r="D124" s="75"/>
      <c r="E124" s="75"/>
      <c r="F124" s="75" t="s">
        <v>29</v>
      </c>
      <c r="G124" s="68" t="s">
        <v>169</v>
      </c>
      <c r="H124" s="65"/>
      <c r="I124" s="73"/>
      <c r="J124" s="68" t="s">
        <v>170</v>
      </c>
      <c r="K124" s="65"/>
      <c r="L124" s="65"/>
      <c r="M124" s="65"/>
      <c r="N124" s="65"/>
      <c r="O124" s="65"/>
      <c r="P124" s="65"/>
      <c r="Q124" s="65"/>
    </row>
    <row r="125" spans="1:17" ht="22.5" x14ac:dyDescent="0.25">
      <c r="A125" s="65"/>
      <c r="B125" s="65"/>
      <c r="C125" s="74"/>
      <c r="D125" s="75"/>
      <c r="E125" s="75"/>
      <c r="F125" s="75" t="s">
        <v>30</v>
      </c>
      <c r="G125" s="68" t="s">
        <v>171</v>
      </c>
      <c r="H125" s="65"/>
      <c r="I125" s="73"/>
      <c r="J125" s="68" t="s">
        <v>172</v>
      </c>
      <c r="K125" s="65"/>
      <c r="L125" s="65"/>
      <c r="M125" s="65"/>
      <c r="N125" s="65"/>
      <c r="O125" s="65"/>
      <c r="P125" s="65"/>
      <c r="Q125" s="65"/>
    </row>
    <row r="126" spans="1:17" ht="22.5" x14ac:dyDescent="0.25">
      <c r="A126" s="65"/>
      <c r="B126" s="65"/>
      <c r="C126" s="74"/>
      <c r="D126" s="75"/>
      <c r="E126" s="75"/>
      <c r="F126" s="75" t="s">
        <v>31</v>
      </c>
      <c r="G126" s="68" t="s">
        <v>201</v>
      </c>
      <c r="H126" s="65"/>
      <c r="I126" s="73"/>
      <c r="J126" s="68" t="s">
        <v>163</v>
      </c>
      <c r="K126" s="65"/>
      <c r="L126" s="65"/>
      <c r="M126" s="65"/>
      <c r="N126" s="65"/>
      <c r="O126" s="65"/>
      <c r="P126" s="65"/>
      <c r="Q126" s="65"/>
    </row>
    <row r="127" spans="1:17" ht="119.25" customHeight="1" x14ac:dyDescent="0.25">
      <c r="A127" s="65"/>
      <c r="B127" s="65"/>
      <c r="C127" s="74"/>
      <c r="D127" s="75"/>
      <c r="E127" s="75"/>
      <c r="F127" s="75" t="s">
        <v>32</v>
      </c>
      <c r="G127" s="68" t="s">
        <v>208</v>
      </c>
      <c r="H127" s="65"/>
      <c r="I127" s="73" t="s">
        <v>209</v>
      </c>
      <c r="J127" s="68" t="s">
        <v>528</v>
      </c>
      <c r="K127" s="65"/>
      <c r="L127" s="65"/>
      <c r="M127" s="65"/>
      <c r="N127" s="65"/>
      <c r="O127" s="65"/>
      <c r="P127" s="65"/>
      <c r="Q127" s="65"/>
    </row>
    <row r="128" spans="1:17" ht="107.25" customHeight="1" x14ac:dyDescent="0.25">
      <c r="A128" s="65"/>
      <c r="B128" s="65"/>
      <c r="C128" s="74"/>
      <c r="D128" s="75"/>
      <c r="E128" s="75"/>
      <c r="F128" s="75" t="s">
        <v>33</v>
      </c>
      <c r="G128" s="80" t="s">
        <v>211</v>
      </c>
      <c r="H128" s="65"/>
      <c r="I128" s="68" t="s">
        <v>212</v>
      </c>
      <c r="J128" s="81" t="s">
        <v>526</v>
      </c>
      <c r="K128" s="65"/>
      <c r="L128" s="65"/>
      <c r="M128" s="65"/>
      <c r="N128" s="65"/>
      <c r="O128" s="65"/>
      <c r="P128" s="65"/>
      <c r="Q128" s="65"/>
    </row>
    <row r="129" spans="1:17" ht="92.25" customHeight="1" x14ac:dyDescent="0.25">
      <c r="A129" s="65"/>
      <c r="B129" s="65"/>
      <c r="C129" s="74"/>
      <c r="D129" s="75"/>
      <c r="E129" s="75"/>
      <c r="F129" s="75" t="s">
        <v>49</v>
      </c>
      <c r="G129" s="80" t="s">
        <v>202</v>
      </c>
      <c r="H129" s="65"/>
      <c r="I129" s="73" t="s">
        <v>203</v>
      </c>
      <c r="J129" s="81" t="s">
        <v>529</v>
      </c>
      <c r="K129" s="65"/>
      <c r="L129" s="65"/>
      <c r="M129" s="65"/>
      <c r="N129" s="65"/>
      <c r="O129" s="65"/>
      <c r="P129" s="65"/>
      <c r="Q129" s="65"/>
    </row>
    <row r="130" spans="1:17" ht="67.5" x14ac:dyDescent="0.25">
      <c r="A130" s="65"/>
      <c r="B130" s="65"/>
      <c r="C130" s="82" t="s">
        <v>206</v>
      </c>
      <c r="D130" s="66" t="s">
        <v>205</v>
      </c>
      <c r="E130" s="83" t="s">
        <v>525</v>
      </c>
      <c r="F130" s="69" t="s">
        <v>17</v>
      </c>
      <c r="G130" s="80" t="s">
        <v>611</v>
      </c>
      <c r="H130" s="65"/>
      <c r="I130" s="68" t="s">
        <v>200</v>
      </c>
      <c r="J130" s="75"/>
      <c r="K130" s="65"/>
      <c r="L130" s="65"/>
      <c r="M130" s="65"/>
      <c r="N130" s="65"/>
      <c r="O130" s="65"/>
      <c r="P130" s="65"/>
      <c r="Q130" s="65"/>
    </row>
    <row r="131" spans="1:17" ht="34.5" customHeight="1" x14ac:dyDescent="0.25">
      <c r="A131" s="65"/>
      <c r="B131" s="65"/>
      <c r="C131" s="74"/>
      <c r="D131" s="75"/>
      <c r="E131" s="75"/>
      <c r="F131" s="75" t="s">
        <v>19</v>
      </c>
      <c r="G131" s="72" t="s">
        <v>18</v>
      </c>
      <c r="H131" s="65"/>
      <c r="I131" s="73"/>
      <c r="J131" s="72" t="s">
        <v>20</v>
      </c>
      <c r="K131" s="65"/>
      <c r="L131" s="65"/>
      <c r="M131" s="65"/>
      <c r="N131" s="65"/>
      <c r="O131" s="65"/>
      <c r="P131" s="65"/>
      <c r="Q131" s="65"/>
    </row>
    <row r="132" spans="1:17" ht="22.5" x14ac:dyDescent="0.25">
      <c r="A132" s="65"/>
      <c r="B132" s="65"/>
      <c r="C132" s="74"/>
      <c r="D132" s="75"/>
      <c r="E132" s="75"/>
      <c r="F132" s="75" t="s">
        <v>26</v>
      </c>
      <c r="G132" s="72" t="s">
        <v>21</v>
      </c>
      <c r="H132" s="65"/>
      <c r="I132" s="73"/>
      <c r="J132" s="72" t="s">
        <v>22</v>
      </c>
      <c r="K132" s="65"/>
      <c r="L132" s="65"/>
      <c r="M132" s="65"/>
      <c r="N132" s="65"/>
      <c r="O132" s="65"/>
      <c r="P132" s="65"/>
      <c r="Q132" s="65"/>
    </row>
    <row r="133" spans="1:17" ht="33.75" x14ac:dyDescent="0.25">
      <c r="A133" s="65"/>
      <c r="B133" s="65"/>
      <c r="C133" s="74"/>
      <c r="D133" s="75"/>
      <c r="E133" s="75"/>
      <c r="F133" s="75" t="s">
        <v>28</v>
      </c>
      <c r="G133" s="72" t="s">
        <v>155</v>
      </c>
      <c r="H133" s="65"/>
      <c r="I133" s="73"/>
      <c r="J133" s="72" t="s">
        <v>156</v>
      </c>
      <c r="K133" s="65"/>
      <c r="L133" s="65"/>
      <c r="M133" s="65"/>
      <c r="N133" s="65"/>
      <c r="O133" s="65"/>
      <c r="P133" s="65"/>
      <c r="Q133" s="65"/>
    </row>
    <row r="134" spans="1:17" ht="22.5" x14ac:dyDescent="0.25">
      <c r="A134" s="65"/>
      <c r="B134" s="65"/>
      <c r="C134" s="74"/>
      <c r="D134" s="75"/>
      <c r="E134" s="75"/>
      <c r="F134" s="75" t="s">
        <v>29</v>
      </c>
      <c r="G134" s="68" t="s">
        <v>169</v>
      </c>
      <c r="H134" s="65"/>
      <c r="I134" s="73"/>
      <c r="J134" s="68" t="s">
        <v>170</v>
      </c>
      <c r="K134" s="65"/>
      <c r="L134" s="65"/>
      <c r="M134" s="65"/>
      <c r="N134" s="65"/>
      <c r="O134" s="65"/>
      <c r="P134" s="65"/>
      <c r="Q134" s="65"/>
    </row>
    <row r="135" spans="1:17" ht="22.5" x14ac:dyDescent="0.25">
      <c r="A135" s="65"/>
      <c r="B135" s="65"/>
      <c r="C135" s="74"/>
      <c r="D135" s="75"/>
      <c r="E135" s="75"/>
      <c r="F135" s="75" t="s">
        <v>30</v>
      </c>
      <c r="G135" s="68" t="s">
        <v>171</v>
      </c>
      <c r="H135" s="65"/>
      <c r="I135" s="73"/>
      <c r="J135" s="68" t="s">
        <v>172</v>
      </c>
      <c r="K135" s="65"/>
      <c r="L135" s="65"/>
      <c r="M135" s="65"/>
      <c r="N135" s="65"/>
      <c r="O135" s="65"/>
      <c r="P135" s="65"/>
      <c r="Q135" s="65"/>
    </row>
    <row r="136" spans="1:17" ht="22.5" x14ac:dyDescent="0.25">
      <c r="A136" s="65"/>
      <c r="B136" s="65"/>
      <c r="C136" s="74"/>
      <c r="D136" s="75"/>
      <c r="E136" s="75"/>
      <c r="F136" s="75" t="s">
        <v>31</v>
      </c>
      <c r="G136" s="68" t="s">
        <v>201</v>
      </c>
      <c r="H136" s="65"/>
      <c r="I136" s="73"/>
      <c r="J136" s="68" t="s">
        <v>163</v>
      </c>
      <c r="K136" s="65"/>
      <c r="L136" s="65"/>
      <c r="M136" s="65"/>
      <c r="N136" s="65"/>
      <c r="O136" s="65"/>
      <c r="P136" s="65"/>
      <c r="Q136" s="65"/>
    </row>
    <row r="137" spans="1:17" ht="88.5" customHeight="1" x14ac:dyDescent="0.25">
      <c r="A137" s="65"/>
      <c r="B137" s="65"/>
      <c r="C137" s="74"/>
      <c r="D137" s="75"/>
      <c r="E137" s="75"/>
      <c r="F137" s="75" t="s">
        <v>32</v>
      </c>
      <c r="G137" s="68" t="s">
        <v>208</v>
      </c>
      <c r="H137" s="65"/>
      <c r="I137" s="73" t="s">
        <v>209</v>
      </c>
      <c r="J137" s="68" t="s">
        <v>210</v>
      </c>
      <c r="K137" s="65"/>
      <c r="L137" s="65"/>
      <c r="M137" s="65"/>
      <c r="N137" s="65"/>
      <c r="O137" s="65"/>
      <c r="P137" s="65"/>
      <c r="Q137" s="65"/>
    </row>
    <row r="138" spans="1:17" ht="128.25" customHeight="1" x14ac:dyDescent="0.25">
      <c r="A138" s="65"/>
      <c r="B138" s="65"/>
      <c r="C138" s="74"/>
      <c r="D138" s="75"/>
      <c r="E138" s="75"/>
      <c r="F138" s="75" t="s">
        <v>33</v>
      </c>
      <c r="G138" s="80" t="s">
        <v>211</v>
      </c>
      <c r="H138" s="65"/>
      <c r="I138" s="68" t="s">
        <v>212</v>
      </c>
      <c r="J138" s="81" t="s">
        <v>526</v>
      </c>
      <c r="K138" s="65"/>
      <c r="L138" s="65"/>
      <c r="M138" s="65"/>
      <c r="N138" s="65"/>
      <c r="O138" s="65"/>
      <c r="P138" s="65"/>
      <c r="Q138" s="65"/>
    </row>
    <row r="139" spans="1:17" ht="135.75" customHeight="1" x14ac:dyDescent="0.25">
      <c r="A139" s="65"/>
      <c r="B139" s="65"/>
      <c r="C139" s="74"/>
      <c r="D139" s="75"/>
      <c r="E139" s="75"/>
      <c r="F139" s="75" t="s">
        <v>49</v>
      </c>
      <c r="G139" s="80" t="s">
        <v>202</v>
      </c>
      <c r="H139" s="65"/>
      <c r="I139" s="73" t="s">
        <v>203</v>
      </c>
      <c r="J139" s="80" t="s">
        <v>527</v>
      </c>
      <c r="K139" s="65"/>
      <c r="L139" s="65"/>
      <c r="M139" s="65"/>
      <c r="N139" s="65"/>
      <c r="O139" s="65"/>
      <c r="P139" s="65"/>
      <c r="Q139" s="65"/>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70"/>
  <sheetViews>
    <sheetView workbookViewId="0"/>
  </sheetViews>
  <sheetFormatPr defaultRowHeight="15" x14ac:dyDescent="0.25"/>
  <cols>
    <col min="3" max="3" width="35" customWidth="1"/>
    <col min="4" max="4" width="26.140625" customWidth="1"/>
    <col min="5" max="5" width="32.5703125" customWidth="1"/>
    <col min="7" max="7" width="33.7109375" customWidth="1"/>
    <col min="10" max="10" width="28.28515625" customWidth="1"/>
  </cols>
  <sheetData>
    <row r="1" spans="1:17" s="3" customFormat="1" ht="36.75" x14ac:dyDescent="0.25">
      <c r="A1" s="9" t="s">
        <v>0</v>
      </c>
      <c r="B1" s="10" t="s">
        <v>1</v>
      </c>
      <c r="C1" s="9" t="s">
        <v>2</v>
      </c>
      <c r="D1" s="9" t="s">
        <v>3</v>
      </c>
      <c r="E1" s="9" t="s">
        <v>4</v>
      </c>
      <c r="F1" s="9" t="s">
        <v>5</v>
      </c>
      <c r="G1" s="9" t="s">
        <v>6</v>
      </c>
      <c r="H1" s="9" t="s">
        <v>7</v>
      </c>
      <c r="I1" s="9" t="s">
        <v>8</v>
      </c>
      <c r="J1" s="9" t="s">
        <v>9</v>
      </c>
      <c r="K1" s="9" t="s">
        <v>10</v>
      </c>
      <c r="L1" s="9" t="s">
        <v>11</v>
      </c>
      <c r="M1" s="9" t="s">
        <v>12</v>
      </c>
      <c r="N1" s="9" t="s">
        <v>13</v>
      </c>
      <c r="O1" s="9" t="s">
        <v>14</v>
      </c>
      <c r="P1" s="9" t="s">
        <v>15</v>
      </c>
      <c r="Q1" s="9" t="s">
        <v>16</v>
      </c>
    </row>
    <row r="2" spans="1:17" ht="240.75" x14ac:dyDescent="0.25">
      <c r="A2" s="6"/>
      <c r="B2" s="6"/>
      <c r="C2" s="43" t="s">
        <v>365</v>
      </c>
      <c r="D2" s="43" t="s">
        <v>366</v>
      </c>
      <c r="E2" s="43" t="s">
        <v>367</v>
      </c>
      <c r="F2" s="47" t="s">
        <v>17</v>
      </c>
      <c r="G2" s="43" t="s">
        <v>368</v>
      </c>
      <c r="H2" s="14"/>
      <c r="I2" s="43" t="s">
        <v>369</v>
      </c>
      <c r="J2" s="14" t="s">
        <v>80</v>
      </c>
      <c r="K2" s="6"/>
      <c r="L2" s="6"/>
      <c r="M2" s="6"/>
      <c r="N2" s="6"/>
      <c r="O2" s="6"/>
      <c r="P2" s="6"/>
      <c r="Q2" s="6"/>
    </row>
    <row r="3" spans="1:17" ht="48.75" x14ac:dyDescent="0.25">
      <c r="A3" s="6"/>
      <c r="B3" s="6"/>
      <c r="C3" s="43" t="s">
        <v>365</v>
      </c>
      <c r="D3" s="14"/>
      <c r="E3" s="14"/>
      <c r="F3" s="14" t="s">
        <v>19</v>
      </c>
      <c r="G3" s="49" t="s">
        <v>370</v>
      </c>
      <c r="H3" s="14"/>
      <c r="I3" s="43"/>
      <c r="J3" s="49" t="s">
        <v>156</v>
      </c>
      <c r="K3" s="6"/>
      <c r="L3" s="6"/>
      <c r="M3" s="6"/>
      <c r="N3" s="6"/>
      <c r="O3" s="6"/>
      <c r="P3" s="6"/>
      <c r="Q3" s="6"/>
    </row>
    <row r="4" spans="1:17" ht="24.75" x14ac:dyDescent="0.25">
      <c r="A4" s="6"/>
      <c r="B4" s="6"/>
      <c r="C4" s="43" t="s">
        <v>365</v>
      </c>
      <c r="D4" s="14"/>
      <c r="E4" s="14"/>
      <c r="F4" s="14" t="s">
        <v>26</v>
      </c>
      <c r="G4" s="43" t="s">
        <v>371</v>
      </c>
      <c r="H4" s="14"/>
      <c r="I4" s="43"/>
      <c r="J4" s="43" t="s">
        <v>372</v>
      </c>
      <c r="K4" s="6"/>
      <c r="L4" s="6"/>
      <c r="M4" s="6"/>
      <c r="N4" s="6"/>
      <c r="O4" s="6"/>
      <c r="P4" s="6"/>
      <c r="Q4" s="6"/>
    </row>
    <row r="5" spans="1:17" ht="36.75" x14ac:dyDescent="0.25">
      <c r="A5" s="6"/>
      <c r="B5" s="6"/>
      <c r="C5" s="43" t="s">
        <v>365</v>
      </c>
      <c r="D5" s="14"/>
      <c r="E5" s="14"/>
      <c r="F5" s="14" t="s">
        <v>28</v>
      </c>
      <c r="G5" s="43" t="s">
        <v>373</v>
      </c>
      <c r="H5" s="14"/>
      <c r="I5" s="43"/>
      <c r="J5" s="43" t="s">
        <v>374</v>
      </c>
      <c r="K5" s="6"/>
      <c r="L5" s="6"/>
      <c r="M5" s="6"/>
      <c r="N5" s="6"/>
      <c r="O5" s="6"/>
      <c r="P5" s="6"/>
      <c r="Q5" s="6"/>
    </row>
    <row r="6" spans="1:17" ht="84" x14ac:dyDescent="0.25">
      <c r="A6" s="6"/>
      <c r="B6" s="6"/>
      <c r="C6" s="43" t="s">
        <v>365</v>
      </c>
      <c r="D6" s="14"/>
      <c r="E6" s="14"/>
      <c r="F6" s="14" t="s">
        <v>29</v>
      </c>
      <c r="G6" s="50" t="s">
        <v>375</v>
      </c>
      <c r="H6" s="16"/>
      <c r="I6" s="16" t="s">
        <v>376</v>
      </c>
      <c r="J6" s="16" t="s">
        <v>284</v>
      </c>
      <c r="K6" s="6"/>
      <c r="L6" s="6"/>
      <c r="M6" s="6"/>
      <c r="N6" s="6"/>
      <c r="O6" s="6"/>
      <c r="P6" s="6"/>
      <c r="Q6" s="6"/>
    </row>
    <row r="7" spans="1:17" ht="96" x14ac:dyDescent="0.25">
      <c r="A7" s="6"/>
      <c r="B7" s="6"/>
      <c r="C7" s="43" t="s">
        <v>365</v>
      </c>
      <c r="D7" s="14"/>
      <c r="E7" s="14"/>
      <c r="F7" s="14" t="s">
        <v>30</v>
      </c>
      <c r="G7" s="51" t="s">
        <v>377</v>
      </c>
      <c r="H7" s="16"/>
      <c r="I7" s="16" t="s">
        <v>378</v>
      </c>
      <c r="J7" s="16" t="s">
        <v>379</v>
      </c>
      <c r="K7" s="6"/>
      <c r="L7" s="6"/>
      <c r="M7" s="6"/>
      <c r="N7" s="6"/>
      <c r="O7" s="6"/>
      <c r="P7" s="6"/>
      <c r="Q7" s="6"/>
    </row>
    <row r="8" spans="1:17" ht="96.75" x14ac:dyDescent="0.25">
      <c r="A8" s="6"/>
      <c r="B8" s="6"/>
      <c r="C8" s="43" t="s">
        <v>365</v>
      </c>
      <c r="D8" s="14"/>
      <c r="E8" s="14"/>
      <c r="F8" s="14" t="s">
        <v>31</v>
      </c>
      <c r="G8" s="45" t="s">
        <v>612</v>
      </c>
      <c r="H8" s="14"/>
      <c r="I8" s="43" t="s">
        <v>380</v>
      </c>
      <c r="J8" s="43" t="s">
        <v>381</v>
      </c>
      <c r="K8" s="6"/>
      <c r="L8" s="6"/>
      <c r="M8" s="6"/>
      <c r="N8" s="6"/>
      <c r="O8" s="6"/>
      <c r="P8" s="6"/>
      <c r="Q8" s="6"/>
    </row>
    <row r="9" spans="1:17" ht="24.75" x14ac:dyDescent="0.25">
      <c r="A9" s="6"/>
      <c r="B9" s="6"/>
      <c r="C9" s="43" t="s">
        <v>365</v>
      </c>
      <c r="D9" s="14"/>
      <c r="E9" s="14"/>
      <c r="F9" s="14" t="s">
        <v>32</v>
      </c>
      <c r="G9" s="45" t="s">
        <v>382</v>
      </c>
      <c r="H9" s="14"/>
      <c r="I9" s="14"/>
      <c r="J9" s="45" t="s">
        <v>383</v>
      </c>
      <c r="K9" s="6"/>
      <c r="L9" s="6"/>
      <c r="M9" s="6"/>
      <c r="N9" s="6"/>
      <c r="O9" s="6"/>
      <c r="P9" s="6"/>
      <c r="Q9" s="6"/>
    </row>
    <row r="10" spans="1:17" ht="36.75" x14ac:dyDescent="0.25">
      <c r="A10" s="6"/>
      <c r="B10" s="6"/>
      <c r="C10" s="43" t="s">
        <v>365</v>
      </c>
      <c r="D10" s="14"/>
      <c r="E10" s="14"/>
      <c r="F10" s="14" t="s">
        <v>33</v>
      </c>
      <c r="G10" s="45" t="s">
        <v>384</v>
      </c>
      <c r="H10" s="14"/>
      <c r="I10" s="14"/>
      <c r="J10" s="45" t="s">
        <v>385</v>
      </c>
      <c r="K10" s="6"/>
      <c r="L10" s="6"/>
      <c r="M10" s="6"/>
      <c r="N10" s="6"/>
      <c r="O10" s="6"/>
      <c r="P10" s="6"/>
      <c r="Q10" s="6"/>
    </row>
    <row r="11" spans="1:17" ht="96.75" x14ac:dyDescent="0.25">
      <c r="A11" s="6"/>
      <c r="B11" s="6"/>
      <c r="C11" s="43" t="s">
        <v>365</v>
      </c>
      <c r="D11" s="14"/>
      <c r="E11" s="14"/>
      <c r="F11" s="14" t="s">
        <v>49</v>
      </c>
      <c r="G11" s="45" t="s">
        <v>613</v>
      </c>
      <c r="H11" s="14"/>
      <c r="I11" s="43" t="s">
        <v>380</v>
      </c>
      <c r="J11" s="43" t="s">
        <v>381</v>
      </c>
      <c r="K11" s="6"/>
      <c r="L11" s="6"/>
      <c r="M11" s="6"/>
      <c r="N11" s="6"/>
      <c r="O11" s="6"/>
      <c r="P11" s="6"/>
      <c r="Q11" s="6"/>
    </row>
    <row r="12" spans="1:17" ht="108.75" x14ac:dyDescent="0.25">
      <c r="A12" s="6"/>
      <c r="B12" s="6"/>
      <c r="C12" s="43" t="s">
        <v>386</v>
      </c>
      <c r="D12" s="43" t="s">
        <v>366</v>
      </c>
      <c r="E12" s="43" t="s">
        <v>387</v>
      </c>
      <c r="F12" s="44" t="s">
        <v>281</v>
      </c>
      <c r="G12" s="43" t="s">
        <v>614</v>
      </c>
      <c r="H12" s="14"/>
      <c r="I12" s="43" t="s">
        <v>369</v>
      </c>
      <c r="J12" s="14" t="s">
        <v>80</v>
      </c>
      <c r="K12" s="6"/>
      <c r="L12" s="6"/>
      <c r="M12" s="6"/>
      <c r="N12" s="6"/>
      <c r="O12" s="6"/>
      <c r="P12" s="6"/>
      <c r="Q12" s="6"/>
    </row>
    <row r="13" spans="1:17" ht="48.75" x14ac:dyDescent="0.25">
      <c r="A13" s="6"/>
      <c r="B13" s="6"/>
      <c r="C13" s="43" t="s">
        <v>386</v>
      </c>
      <c r="D13" s="14"/>
      <c r="E13" s="14"/>
      <c r="F13" s="14" t="s">
        <v>282</v>
      </c>
      <c r="G13" s="49" t="s">
        <v>370</v>
      </c>
      <c r="H13" s="14"/>
      <c r="I13" s="43"/>
      <c r="J13" s="49" t="s">
        <v>156</v>
      </c>
      <c r="K13" s="6"/>
      <c r="L13" s="6"/>
      <c r="M13" s="6"/>
      <c r="N13" s="6"/>
      <c r="O13" s="6"/>
      <c r="P13" s="6"/>
      <c r="Q13" s="6"/>
    </row>
    <row r="14" spans="1:17" ht="24.75" x14ac:dyDescent="0.25">
      <c r="A14" s="6"/>
      <c r="B14" s="6"/>
      <c r="C14" s="43" t="s">
        <v>386</v>
      </c>
      <c r="D14" s="14"/>
      <c r="E14" s="14"/>
      <c r="F14" s="14" t="s">
        <v>283</v>
      </c>
      <c r="G14" s="43" t="s">
        <v>388</v>
      </c>
      <c r="H14" s="14"/>
      <c r="I14" s="43"/>
      <c r="J14" s="43" t="s">
        <v>389</v>
      </c>
      <c r="K14" s="6"/>
      <c r="L14" s="6"/>
      <c r="M14" s="6"/>
      <c r="N14" s="6"/>
      <c r="O14" s="6"/>
      <c r="P14" s="6"/>
      <c r="Q14" s="6"/>
    </row>
    <row r="15" spans="1:17" ht="36.75" x14ac:dyDescent="0.25">
      <c r="A15" s="6"/>
      <c r="B15" s="6"/>
      <c r="C15" s="43" t="s">
        <v>386</v>
      </c>
      <c r="D15" s="14"/>
      <c r="E15" s="14"/>
      <c r="F15" s="14" t="s">
        <v>285</v>
      </c>
      <c r="G15" s="43" t="s">
        <v>390</v>
      </c>
      <c r="H15" s="14"/>
      <c r="I15" s="43"/>
      <c r="J15" s="43" t="s">
        <v>391</v>
      </c>
      <c r="K15" s="6"/>
      <c r="L15" s="6"/>
      <c r="M15" s="6"/>
      <c r="N15" s="6"/>
      <c r="O15" s="6"/>
      <c r="P15" s="6"/>
      <c r="Q15" s="6"/>
    </row>
    <row r="16" spans="1:17" ht="84" x14ac:dyDescent="0.25">
      <c r="A16" s="6"/>
      <c r="B16" s="6"/>
      <c r="C16" s="43" t="s">
        <v>386</v>
      </c>
      <c r="D16" s="14"/>
      <c r="E16" s="14"/>
      <c r="F16" s="14" t="s">
        <v>289</v>
      </c>
      <c r="G16" s="50" t="s">
        <v>392</v>
      </c>
      <c r="H16" s="16"/>
      <c r="I16" s="16" t="s">
        <v>393</v>
      </c>
      <c r="J16" s="16" t="s">
        <v>394</v>
      </c>
      <c r="K16" s="6"/>
      <c r="L16" s="6"/>
      <c r="M16" s="6"/>
      <c r="N16" s="6"/>
      <c r="O16" s="6"/>
      <c r="P16" s="6"/>
      <c r="Q16" s="6"/>
    </row>
    <row r="17" spans="1:17" ht="96" x14ac:dyDescent="0.25">
      <c r="A17" s="6"/>
      <c r="B17" s="6"/>
      <c r="C17" s="43" t="s">
        <v>386</v>
      </c>
      <c r="D17" s="14"/>
      <c r="E17" s="14"/>
      <c r="F17" s="14" t="s">
        <v>293</v>
      </c>
      <c r="G17" s="51" t="s">
        <v>377</v>
      </c>
      <c r="H17" s="16"/>
      <c r="I17" s="16" t="s">
        <v>395</v>
      </c>
      <c r="J17" s="16" t="s">
        <v>396</v>
      </c>
      <c r="K17" s="6"/>
      <c r="L17" s="6"/>
      <c r="M17" s="6"/>
      <c r="N17" s="6"/>
      <c r="O17" s="6"/>
      <c r="P17" s="6"/>
      <c r="Q17" s="6"/>
    </row>
    <row r="18" spans="1:17" ht="96.75" x14ac:dyDescent="0.25">
      <c r="A18" s="6"/>
      <c r="B18" s="6"/>
      <c r="C18" s="43" t="s">
        <v>386</v>
      </c>
      <c r="D18" s="14"/>
      <c r="E18" s="14"/>
      <c r="F18" s="14" t="s">
        <v>296</v>
      </c>
      <c r="G18" s="45" t="s">
        <v>612</v>
      </c>
      <c r="H18" s="14"/>
      <c r="I18" s="43" t="s">
        <v>380</v>
      </c>
      <c r="J18" s="43" t="s">
        <v>381</v>
      </c>
      <c r="K18" s="6"/>
      <c r="L18" s="6"/>
      <c r="M18" s="6"/>
      <c r="N18" s="6"/>
      <c r="O18" s="6"/>
      <c r="P18" s="6"/>
      <c r="Q18" s="6"/>
    </row>
    <row r="19" spans="1:17" ht="24.75" x14ac:dyDescent="0.25">
      <c r="A19" s="6"/>
      <c r="B19" s="6"/>
      <c r="C19" s="43" t="s">
        <v>386</v>
      </c>
      <c r="D19" s="14"/>
      <c r="E19" s="14"/>
      <c r="F19" s="14" t="s">
        <v>299</v>
      </c>
      <c r="G19" s="45" t="s">
        <v>382</v>
      </c>
      <c r="H19" s="14"/>
      <c r="I19" s="14"/>
      <c r="J19" s="45" t="s">
        <v>383</v>
      </c>
      <c r="K19" s="6"/>
      <c r="L19" s="6"/>
      <c r="M19" s="6"/>
      <c r="N19" s="6"/>
      <c r="O19" s="6"/>
      <c r="P19" s="6"/>
      <c r="Q19" s="6"/>
    </row>
    <row r="20" spans="1:17" ht="36.75" x14ac:dyDescent="0.25">
      <c r="A20" s="6"/>
      <c r="B20" s="6"/>
      <c r="C20" s="43" t="s">
        <v>386</v>
      </c>
      <c r="D20" s="14"/>
      <c r="E20" s="14"/>
      <c r="F20" s="14" t="s">
        <v>302</v>
      </c>
      <c r="G20" s="45" t="s">
        <v>384</v>
      </c>
      <c r="H20" s="14"/>
      <c r="I20" s="14"/>
      <c r="J20" s="45" t="s">
        <v>397</v>
      </c>
      <c r="K20" s="6"/>
      <c r="L20" s="6"/>
      <c r="M20" s="6"/>
      <c r="N20" s="6"/>
      <c r="O20" s="6"/>
      <c r="P20" s="6"/>
      <c r="Q20" s="6"/>
    </row>
    <row r="21" spans="1:17" ht="96.75" x14ac:dyDescent="0.25">
      <c r="A21" s="6"/>
      <c r="B21" s="6"/>
      <c r="C21" s="43" t="s">
        <v>386</v>
      </c>
      <c r="D21" s="14"/>
      <c r="E21" s="14"/>
      <c r="F21" s="14" t="s">
        <v>305</v>
      </c>
      <c r="G21" s="45" t="s">
        <v>615</v>
      </c>
      <c r="H21" s="14"/>
      <c r="I21" s="43" t="s">
        <v>380</v>
      </c>
      <c r="J21" s="43" t="s">
        <v>381</v>
      </c>
      <c r="K21" s="6"/>
      <c r="L21" s="6"/>
      <c r="M21" s="6"/>
      <c r="N21" s="6"/>
      <c r="O21" s="6"/>
      <c r="P21" s="6"/>
      <c r="Q21" s="6"/>
    </row>
    <row r="22" spans="1:17" ht="216.75" x14ac:dyDescent="0.25">
      <c r="A22" s="6"/>
      <c r="B22" s="6"/>
      <c r="C22" s="43" t="s">
        <v>398</v>
      </c>
      <c r="D22" s="14" t="s">
        <v>366</v>
      </c>
      <c r="E22" s="43" t="s">
        <v>399</v>
      </c>
      <c r="F22" s="47" t="s">
        <v>281</v>
      </c>
      <c r="G22" s="43" t="s">
        <v>400</v>
      </c>
      <c r="H22" s="14"/>
      <c r="I22" s="43" t="s">
        <v>369</v>
      </c>
      <c r="J22" s="14" t="s">
        <v>80</v>
      </c>
      <c r="K22" s="6"/>
      <c r="L22" s="6"/>
      <c r="M22" s="6"/>
      <c r="N22" s="6"/>
      <c r="O22" s="6"/>
      <c r="P22" s="6"/>
      <c r="Q22" s="6"/>
    </row>
    <row r="23" spans="1:17" ht="48.75" x14ac:dyDescent="0.25">
      <c r="A23" s="6"/>
      <c r="B23" s="6"/>
      <c r="C23" s="43" t="s">
        <v>398</v>
      </c>
      <c r="D23" s="6"/>
      <c r="E23" s="6"/>
      <c r="F23" s="14" t="s">
        <v>282</v>
      </c>
      <c r="G23" s="49" t="s">
        <v>370</v>
      </c>
      <c r="H23" s="14"/>
      <c r="I23" s="43"/>
      <c r="J23" s="49" t="s">
        <v>156</v>
      </c>
      <c r="K23" s="6"/>
      <c r="L23" s="6"/>
      <c r="M23" s="6"/>
      <c r="N23" s="6"/>
      <c r="O23" s="6"/>
      <c r="P23" s="6"/>
      <c r="Q23" s="6"/>
    </row>
    <row r="24" spans="1:17" ht="24.75" x14ac:dyDescent="0.25">
      <c r="A24" s="6"/>
      <c r="B24" s="6"/>
      <c r="C24" s="43" t="s">
        <v>398</v>
      </c>
      <c r="D24" s="6"/>
      <c r="E24" s="6"/>
      <c r="F24" s="14" t="s">
        <v>283</v>
      </c>
      <c r="G24" s="43" t="s">
        <v>388</v>
      </c>
      <c r="H24" s="14"/>
      <c r="I24" s="43"/>
      <c r="J24" s="43" t="s">
        <v>389</v>
      </c>
      <c r="K24" s="6"/>
      <c r="L24" s="6"/>
      <c r="M24" s="6"/>
      <c r="N24" s="6"/>
      <c r="O24" s="6"/>
      <c r="P24" s="6"/>
      <c r="Q24" s="6"/>
    </row>
    <row r="25" spans="1:17" ht="36.75" x14ac:dyDescent="0.25">
      <c r="A25" s="6"/>
      <c r="B25" s="6"/>
      <c r="C25" s="43" t="s">
        <v>398</v>
      </c>
      <c r="D25" s="6"/>
      <c r="E25" s="6"/>
      <c r="F25" s="14" t="s">
        <v>285</v>
      </c>
      <c r="G25" s="43" t="s">
        <v>390</v>
      </c>
      <c r="H25" s="14"/>
      <c r="I25" s="43"/>
      <c r="J25" s="43" t="s">
        <v>391</v>
      </c>
      <c r="K25" s="6"/>
      <c r="L25" s="6"/>
      <c r="M25" s="6"/>
      <c r="N25" s="6"/>
      <c r="O25" s="6"/>
      <c r="P25" s="6"/>
      <c r="Q25" s="6"/>
    </row>
    <row r="26" spans="1:17" ht="84" x14ac:dyDescent="0.25">
      <c r="A26" s="6"/>
      <c r="B26" s="6"/>
      <c r="C26" s="43" t="s">
        <v>398</v>
      </c>
      <c r="D26" s="6"/>
      <c r="E26" s="6"/>
      <c r="F26" s="14" t="s">
        <v>289</v>
      </c>
      <c r="G26" s="50" t="s">
        <v>392</v>
      </c>
      <c r="H26" s="16"/>
      <c r="I26" s="16" t="s">
        <v>393</v>
      </c>
      <c r="J26" s="16" t="s">
        <v>394</v>
      </c>
      <c r="K26" s="6"/>
      <c r="L26" s="6"/>
      <c r="M26" s="6"/>
      <c r="N26" s="6"/>
      <c r="O26" s="6"/>
      <c r="P26" s="6"/>
      <c r="Q26" s="6"/>
    </row>
    <row r="27" spans="1:17" ht="96" x14ac:dyDescent="0.25">
      <c r="A27" s="6"/>
      <c r="B27" s="6"/>
      <c r="C27" s="43" t="s">
        <v>398</v>
      </c>
      <c r="D27" s="6"/>
      <c r="E27" s="6"/>
      <c r="F27" s="14" t="s">
        <v>293</v>
      </c>
      <c r="G27" s="51" t="s">
        <v>377</v>
      </c>
      <c r="H27" s="16"/>
      <c r="I27" s="16" t="s">
        <v>395</v>
      </c>
      <c r="J27" s="16" t="s">
        <v>396</v>
      </c>
      <c r="K27" s="6"/>
      <c r="L27" s="6"/>
      <c r="M27" s="6"/>
      <c r="N27" s="6"/>
      <c r="O27" s="6"/>
      <c r="P27" s="6"/>
      <c r="Q27" s="6"/>
    </row>
    <row r="28" spans="1:17" ht="96.75" x14ac:dyDescent="0.25">
      <c r="A28" s="6"/>
      <c r="B28" s="6"/>
      <c r="C28" s="43" t="s">
        <v>398</v>
      </c>
      <c r="D28" s="6"/>
      <c r="E28" s="6"/>
      <c r="F28" s="14" t="s">
        <v>296</v>
      </c>
      <c r="G28" s="45" t="s">
        <v>612</v>
      </c>
      <c r="H28" s="14"/>
      <c r="I28" s="43" t="s">
        <v>380</v>
      </c>
      <c r="J28" s="43" t="s">
        <v>381</v>
      </c>
      <c r="K28" s="6"/>
      <c r="L28" s="6"/>
      <c r="M28" s="6"/>
      <c r="N28" s="6"/>
      <c r="O28" s="6"/>
      <c r="P28" s="6"/>
      <c r="Q28" s="6"/>
    </row>
    <row r="29" spans="1:17" ht="24.75" x14ac:dyDescent="0.25">
      <c r="A29" s="6"/>
      <c r="B29" s="6"/>
      <c r="C29" s="43" t="s">
        <v>398</v>
      </c>
      <c r="D29" s="6"/>
      <c r="E29" s="6"/>
      <c r="F29" s="14" t="s">
        <v>299</v>
      </c>
      <c r="G29" s="45" t="s">
        <v>382</v>
      </c>
      <c r="H29" s="14"/>
      <c r="I29" s="14"/>
      <c r="J29" s="45" t="s">
        <v>383</v>
      </c>
      <c r="K29" s="6"/>
      <c r="L29" s="6"/>
      <c r="M29" s="6"/>
      <c r="N29" s="6"/>
      <c r="O29" s="6"/>
      <c r="P29" s="6"/>
      <c r="Q29" s="6"/>
    </row>
    <row r="30" spans="1:17" ht="36.75" x14ac:dyDescent="0.25">
      <c r="A30" s="6"/>
      <c r="B30" s="6"/>
      <c r="C30" s="43" t="s">
        <v>398</v>
      </c>
      <c r="D30" s="6"/>
      <c r="E30" s="6"/>
      <c r="F30" s="14" t="s">
        <v>302</v>
      </c>
      <c r="G30" s="45" t="s">
        <v>384</v>
      </c>
      <c r="H30" s="14"/>
      <c r="I30" s="14"/>
      <c r="J30" s="45" t="s">
        <v>397</v>
      </c>
      <c r="K30" s="6"/>
      <c r="L30" s="6"/>
      <c r="M30" s="6"/>
      <c r="N30" s="6"/>
      <c r="O30" s="6"/>
      <c r="P30" s="6"/>
      <c r="Q30" s="6"/>
    </row>
    <row r="31" spans="1:17" ht="96.75" x14ac:dyDescent="0.25">
      <c r="A31" s="6"/>
      <c r="B31" s="6"/>
      <c r="C31" s="43" t="s">
        <v>398</v>
      </c>
      <c r="D31" s="6"/>
      <c r="E31" s="6"/>
      <c r="F31" s="14" t="s">
        <v>305</v>
      </c>
      <c r="G31" s="45" t="s">
        <v>616</v>
      </c>
      <c r="H31" s="14"/>
      <c r="I31" s="43" t="s">
        <v>380</v>
      </c>
      <c r="J31" s="43" t="s">
        <v>381</v>
      </c>
      <c r="K31" s="6"/>
      <c r="L31" s="6"/>
      <c r="M31" s="6"/>
      <c r="N31" s="6"/>
      <c r="O31" s="6"/>
      <c r="P31" s="6"/>
      <c r="Q31" s="6"/>
    </row>
    <row r="32" spans="1:17" ht="132.75" x14ac:dyDescent="0.25">
      <c r="A32" s="6"/>
      <c r="B32" s="6"/>
      <c r="C32" s="43" t="s">
        <v>401</v>
      </c>
      <c r="D32" s="14" t="s">
        <v>366</v>
      </c>
      <c r="E32" s="43" t="s">
        <v>402</v>
      </c>
      <c r="F32" s="47" t="s">
        <v>281</v>
      </c>
      <c r="G32" s="45" t="s">
        <v>403</v>
      </c>
      <c r="H32" s="6"/>
      <c r="I32" s="52" t="s">
        <v>326</v>
      </c>
      <c r="J32" s="45" t="s">
        <v>80</v>
      </c>
      <c r="K32" s="6"/>
      <c r="L32" s="6"/>
      <c r="M32" s="6"/>
      <c r="N32" s="6"/>
      <c r="O32" s="6"/>
      <c r="P32" s="6"/>
      <c r="Q32" s="6"/>
    </row>
    <row r="33" spans="1:17" ht="60.75" x14ac:dyDescent="0.25">
      <c r="A33" s="6"/>
      <c r="B33" s="6"/>
      <c r="C33" s="43" t="s">
        <v>401</v>
      </c>
      <c r="D33" s="6"/>
      <c r="E33" s="6"/>
      <c r="F33" s="46" t="s">
        <v>282</v>
      </c>
      <c r="G33" s="45" t="s">
        <v>404</v>
      </c>
      <c r="H33" s="6"/>
      <c r="I33" s="52" t="s">
        <v>326</v>
      </c>
      <c r="J33" s="45" t="s">
        <v>80</v>
      </c>
      <c r="K33" s="6"/>
      <c r="L33" s="6"/>
      <c r="M33" s="6"/>
      <c r="N33" s="6"/>
      <c r="O33" s="6"/>
      <c r="P33" s="6"/>
      <c r="Q33" s="6"/>
    </row>
    <row r="34" spans="1:17" ht="48.75" x14ac:dyDescent="0.25">
      <c r="A34" s="6"/>
      <c r="B34" s="6"/>
      <c r="C34" s="43" t="s">
        <v>401</v>
      </c>
      <c r="D34" s="6"/>
      <c r="E34" s="6"/>
      <c r="F34" s="46" t="s">
        <v>283</v>
      </c>
      <c r="G34" s="49" t="s">
        <v>370</v>
      </c>
      <c r="H34" s="14"/>
      <c r="I34" s="43"/>
      <c r="J34" s="49" t="s">
        <v>156</v>
      </c>
      <c r="K34" s="6"/>
      <c r="L34" s="6"/>
      <c r="M34" s="6"/>
      <c r="N34" s="6"/>
      <c r="O34" s="6"/>
      <c r="P34" s="6"/>
      <c r="Q34" s="6"/>
    </row>
    <row r="35" spans="1:17" ht="24.75" x14ac:dyDescent="0.25">
      <c r="A35" s="6"/>
      <c r="B35" s="6"/>
      <c r="C35" s="43" t="s">
        <v>401</v>
      </c>
      <c r="D35" s="6"/>
      <c r="E35" s="6"/>
      <c r="F35" s="46" t="s">
        <v>285</v>
      </c>
      <c r="G35" s="43" t="s">
        <v>405</v>
      </c>
      <c r="H35" s="14"/>
      <c r="I35" s="43"/>
      <c r="J35" s="43" t="s">
        <v>389</v>
      </c>
      <c r="K35" s="6"/>
      <c r="L35" s="6"/>
      <c r="M35" s="6"/>
      <c r="N35" s="6"/>
      <c r="O35" s="6"/>
      <c r="P35" s="6"/>
      <c r="Q35" s="6"/>
    </row>
    <row r="36" spans="1:17" ht="36.75" x14ac:dyDescent="0.25">
      <c r="A36" s="6"/>
      <c r="B36" s="6"/>
      <c r="C36" s="43" t="s">
        <v>401</v>
      </c>
      <c r="D36" s="6"/>
      <c r="E36" s="6"/>
      <c r="F36" s="46" t="s">
        <v>289</v>
      </c>
      <c r="G36" s="43" t="s">
        <v>373</v>
      </c>
      <c r="H36" s="14"/>
      <c r="I36" s="43"/>
      <c r="J36" s="43" t="s">
        <v>374</v>
      </c>
      <c r="K36" s="6"/>
      <c r="L36" s="6"/>
      <c r="M36" s="6"/>
      <c r="N36" s="6"/>
      <c r="O36" s="6"/>
      <c r="P36" s="6"/>
      <c r="Q36" s="6"/>
    </row>
    <row r="37" spans="1:17" ht="84" x14ac:dyDescent="0.25">
      <c r="A37" s="6"/>
      <c r="B37" s="6"/>
      <c r="C37" s="43" t="s">
        <v>401</v>
      </c>
      <c r="D37" s="6"/>
      <c r="E37" s="6"/>
      <c r="F37" s="46" t="s">
        <v>293</v>
      </c>
      <c r="G37" s="50" t="s">
        <v>406</v>
      </c>
      <c r="H37" s="16"/>
      <c r="I37" s="16" t="s">
        <v>376</v>
      </c>
      <c r="J37" s="16" t="s">
        <v>284</v>
      </c>
      <c r="K37" s="6"/>
      <c r="L37" s="6"/>
      <c r="M37" s="6"/>
      <c r="N37" s="6"/>
      <c r="O37" s="6"/>
      <c r="P37" s="6"/>
      <c r="Q37" s="6"/>
    </row>
    <row r="38" spans="1:17" ht="96" x14ac:dyDescent="0.25">
      <c r="A38" s="6"/>
      <c r="B38" s="6"/>
      <c r="C38" s="43" t="s">
        <v>401</v>
      </c>
      <c r="D38" s="6"/>
      <c r="E38" s="6"/>
      <c r="F38" s="46" t="s">
        <v>296</v>
      </c>
      <c r="G38" s="51" t="s">
        <v>377</v>
      </c>
      <c r="H38" s="16"/>
      <c r="I38" s="16" t="s">
        <v>378</v>
      </c>
      <c r="J38" s="16" t="s">
        <v>379</v>
      </c>
      <c r="K38" s="6"/>
      <c r="L38" s="6"/>
      <c r="M38" s="6"/>
      <c r="N38" s="6"/>
      <c r="O38" s="6"/>
      <c r="P38" s="6"/>
      <c r="Q38" s="6"/>
    </row>
    <row r="39" spans="1:17" ht="96.75" x14ac:dyDescent="0.25">
      <c r="A39" s="6"/>
      <c r="B39" s="6"/>
      <c r="C39" s="43" t="s">
        <v>401</v>
      </c>
      <c r="D39" s="6"/>
      <c r="E39" s="6"/>
      <c r="F39" s="46" t="s">
        <v>299</v>
      </c>
      <c r="G39" s="45" t="s">
        <v>612</v>
      </c>
      <c r="H39" s="14"/>
      <c r="I39" s="43" t="s">
        <v>380</v>
      </c>
      <c r="J39" s="43" t="s">
        <v>381</v>
      </c>
      <c r="K39" s="6"/>
      <c r="L39" s="6"/>
      <c r="M39" s="6"/>
      <c r="N39" s="6"/>
      <c r="O39" s="6"/>
      <c r="P39" s="6"/>
      <c r="Q39" s="6"/>
    </row>
    <row r="40" spans="1:17" ht="24.75" x14ac:dyDescent="0.25">
      <c r="A40" s="6"/>
      <c r="B40" s="6"/>
      <c r="C40" s="43" t="s">
        <v>401</v>
      </c>
      <c r="D40" s="6"/>
      <c r="E40" s="6"/>
      <c r="F40" s="46" t="s">
        <v>302</v>
      </c>
      <c r="G40" s="45" t="s">
        <v>407</v>
      </c>
      <c r="H40" s="14"/>
      <c r="I40" s="14"/>
      <c r="J40" s="45" t="s">
        <v>383</v>
      </c>
      <c r="K40" s="6"/>
      <c r="L40" s="6"/>
      <c r="M40" s="6"/>
      <c r="N40" s="6"/>
      <c r="O40" s="6"/>
      <c r="P40" s="6"/>
      <c r="Q40" s="6"/>
    </row>
    <row r="41" spans="1:17" ht="36.75" x14ac:dyDescent="0.25">
      <c r="A41" s="6"/>
      <c r="B41" s="6"/>
      <c r="C41" s="43" t="s">
        <v>401</v>
      </c>
      <c r="D41" s="6"/>
      <c r="E41" s="6"/>
      <c r="F41" s="46" t="s">
        <v>305</v>
      </c>
      <c r="G41" s="45" t="s">
        <v>408</v>
      </c>
      <c r="H41" s="14"/>
      <c r="I41" s="14"/>
      <c r="J41" s="45" t="s">
        <v>409</v>
      </c>
      <c r="K41" s="6"/>
      <c r="L41" s="6"/>
      <c r="M41" s="6"/>
      <c r="N41" s="6"/>
      <c r="O41" s="6"/>
      <c r="P41" s="6"/>
      <c r="Q41" s="6"/>
    </row>
    <row r="42" spans="1:17" ht="96.75" x14ac:dyDescent="0.25">
      <c r="A42" s="6"/>
      <c r="B42" s="6"/>
      <c r="C42" s="43" t="s">
        <v>401</v>
      </c>
      <c r="D42" s="6"/>
      <c r="E42" s="6"/>
      <c r="F42" s="46" t="s">
        <v>308</v>
      </c>
      <c r="G42" s="45" t="s">
        <v>617</v>
      </c>
      <c r="H42" s="14"/>
      <c r="I42" s="43" t="s">
        <v>380</v>
      </c>
      <c r="J42" s="43" t="s">
        <v>381</v>
      </c>
      <c r="K42" s="6"/>
      <c r="L42" s="6"/>
      <c r="M42" s="6"/>
      <c r="N42" s="6"/>
      <c r="O42" s="31"/>
      <c r="P42" s="6"/>
      <c r="Q42" s="6"/>
    </row>
    <row r="43" spans="1:17" ht="120.75" x14ac:dyDescent="0.25">
      <c r="A43" s="6"/>
      <c r="B43" s="6"/>
      <c r="C43" s="43" t="s">
        <v>619</v>
      </c>
      <c r="D43" s="14" t="s">
        <v>366</v>
      </c>
      <c r="E43" s="43" t="s">
        <v>621</v>
      </c>
      <c r="F43" s="47" t="s">
        <v>281</v>
      </c>
      <c r="G43" s="45" t="s">
        <v>620</v>
      </c>
      <c r="H43" s="6"/>
      <c r="I43" s="52" t="s">
        <v>326</v>
      </c>
      <c r="J43" s="45" t="s">
        <v>80</v>
      </c>
      <c r="K43" s="6"/>
      <c r="L43" s="6"/>
      <c r="M43" s="6"/>
      <c r="N43" s="6"/>
    </row>
    <row r="44" spans="1:17" ht="48.75" x14ac:dyDescent="0.25">
      <c r="A44" s="6"/>
      <c r="B44" s="6"/>
      <c r="C44" s="43" t="s">
        <v>619</v>
      </c>
      <c r="D44" s="6"/>
      <c r="E44" s="6"/>
      <c r="F44" s="46" t="s">
        <v>282</v>
      </c>
      <c r="G44" s="49" t="s">
        <v>370</v>
      </c>
      <c r="H44" s="14"/>
      <c r="I44" s="43"/>
      <c r="J44" s="49" t="s">
        <v>156</v>
      </c>
      <c r="K44" s="6"/>
      <c r="L44" s="6"/>
      <c r="M44" s="6"/>
      <c r="N44" s="6"/>
    </row>
    <row r="45" spans="1:17" ht="24.75" x14ac:dyDescent="0.25">
      <c r="A45" s="6"/>
      <c r="B45" s="6"/>
      <c r="C45" s="43" t="s">
        <v>619</v>
      </c>
      <c r="D45" s="6"/>
      <c r="E45" s="6"/>
      <c r="F45" s="46" t="s">
        <v>283</v>
      </c>
      <c r="G45" s="43" t="s">
        <v>405</v>
      </c>
      <c r="H45" s="14"/>
      <c r="I45" s="43"/>
      <c r="J45" s="43" t="s">
        <v>389</v>
      </c>
      <c r="K45" s="6"/>
      <c r="L45" s="6"/>
      <c r="M45" s="6"/>
      <c r="N45" s="6"/>
    </row>
    <row r="46" spans="1:17" ht="36.75" x14ac:dyDescent="0.25">
      <c r="A46" s="6"/>
      <c r="B46" s="6"/>
      <c r="C46" s="43" t="s">
        <v>619</v>
      </c>
      <c r="D46" s="6"/>
      <c r="E46" s="6"/>
      <c r="F46" s="46" t="s">
        <v>285</v>
      </c>
      <c r="G46" s="43" t="s">
        <v>373</v>
      </c>
      <c r="H46" s="14"/>
      <c r="I46" s="43"/>
      <c r="J46" s="43" t="s">
        <v>374</v>
      </c>
      <c r="K46" s="6"/>
      <c r="L46" s="6"/>
      <c r="M46" s="6"/>
      <c r="N46" s="6"/>
    </row>
    <row r="47" spans="1:17" ht="84" x14ac:dyDescent="0.25">
      <c r="A47" s="6"/>
      <c r="B47" s="6"/>
      <c r="C47" s="43" t="s">
        <v>619</v>
      </c>
      <c r="D47" s="6"/>
      <c r="E47" s="6"/>
      <c r="F47" s="46" t="s">
        <v>289</v>
      </c>
      <c r="G47" s="50" t="s">
        <v>406</v>
      </c>
      <c r="H47" s="16"/>
      <c r="I47" s="16" t="s">
        <v>376</v>
      </c>
      <c r="J47" s="16" t="s">
        <v>284</v>
      </c>
      <c r="K47" s="6"/>
      <c r="L47" s="6"/>
      <c r="M47" s="6"/>
      <c r="N47" s="6"/>
    </row>
    <row r="48" spans="1:17" ht="96" x14ac:dyDescent="0.25">
      <c r="A48" s="6"/>
      <c r="B48" s="6"/>
      <c r="C48" s="43" t="s">
        <v>619</v>
      </c>
      <c r="D48" s="6"/>
      <c r="E48" s="6"/>
      <c r="F48" s="46" t="s">
        <v>293</v>
      </c>
      <c r="G48" s="51" t="s">
        <v>377</v>
      </c>
      <c r="H48" s="16"/>
      <c r="I48" s="16" t="s">
        <v>378</v>
      </c>
      <c r="J48" s="16" t="s">
        <v>379</v>
      </c>
      <c r="K48" s="6"/>
      <c r="L48" s="6"/>
      <c r="M48" s="6"/>
      <c r="N48" s="6"/>
    </row>
    <row r="49" spans="1:14" ht="96.75" x14ac:dyDescent="0.25">
      <c r="A49" s="6"/>
      <c r="B49" s="6"/>
      <c r="C49" s="43" t="s">
        <v>619</v>
      </c>
      <c r="D49" s="6"/>
      <c r="E49" s="6"/>
      <c r="F49" s="46" t="s">
        <v>296</v>
      </c>
      <c r="G49" s="45" t="s">
        <v>623</v>
      </c>
      <c r="H49" s="14"/>
      <c r="I49" s="43" t="s">
        <v>380</v>
      </c>
      <c r="J49" s="43" t="s">
        <v>381</v>
      </c>
      <c r="K49" s="6"/>
      <c r="L49" s="6"/>
      <c r="M49" s="6"/>
      <c r="N49" s="6"/>
    </row>
    <row r="50" spans="1:14" ht="24.75" x14ac:dyDescent="0.25">
      <c r="A50" s="6"/>
      <c r="B50" s="6"/>
      <c r="C50" s="43" t="s">
        <v>619</v>
      </c>
      <c r="D50" s="6"/>
      <c r="E50" s="6"/>
      <c r="F50" s="46" t="s">
        <v>299</v>
      </c>
      <c r="G50" s="45" t="s">
        <v>407</v>
      </c>
      <c r="H50" s="14"/>
      <c r="I50" s="14"/>
      <c r="J50" s="45" t="s">
        <v>383</v>
      </c>
      <c r="K50" s="6"/>
      <c r="L50" s="6"/>
      <c r="M50" s="6"/>
      <c r="N50" s="6"/>
    </row>
    <row r="51" spans="1:14" ht="36.75" x14ac:dyDescent="0.25">
      <c r="A51" s="6"/>
      <c r="B51" s="6"/>
      <c r="C51" s="43" t="s">
        <v>619</v>
      </c>
      <c r="D51" s="6"/>
      <c r="E51" s="6"/>
      <c r="F51" s="46" t="s">
        <v>302</v>
      </c>
      <c r="G51" s="45" t="s">
        <v>408</v>
      </c>
      <c r="H51" s="14"/>
      <c r="I51" s="14"/>
      <c r="J51" s="45" t="s">
        <v>409</v>
      </c>
      <c r="K51" s="6"/>
      <c r="L51" s="6"/>
      <c r="M51" s="6"/>
      <c r="N51" s="6"/>
    </row>
    <row r="52" spans="1:14" ht="96.75" x14ac:dyDescent="0.25">
      <c r="A52" s="6"/>
      <c r="B52" s="6"/>
      <c r="C52" s="43" t="s">
        <v>619</v>
      </c>
      <c r="D52" s="6"/>
      <c r="E52" s="6"/>
      <c r="F52" s="46" t="s">
        <v>305</v>
      </c>
      <c r="G52" s="45" t="s">
        <v>622</v>
      </c>
      <c r="H52" s="14"/>
      <c r="I52" s="43" t="s">
        <v>380</v>
      </c>
      <c r="J52" s="43" t="s">
        <v>381</v>
      </c>
      <c r="K52" s="6"/>
      <c r="L52" s="6"/>
      <c r="M52" s="6"/>
      <c r="N52" s="6"/>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row r="65" spans="1:14" x14ac:dyDescent="0.25">
      <c r="A65" s="6"/>
      <c r="B65" s="6"/>
      <c r="C65" s="6"/>
      <c r="D65" s="6"/>
      <c r="E65" s="6"/>
      <c r="F65" s="6"/>
      <c r="G65" s="6"/>
      <c r="H65" s="6"/>
      <c r="I65" s="6"/>
      <c r="J65" s="6"/>
      <c r="K65" s="6"/>
      <c r="L65" s="6"/>
      <c r="M65" s="6"/>
      <c r="N65" s="6"/>
    </row>
    <row r="66" spans="1:14" x14ac:dyDescent="0.25">
      <c r="A66" s="6"/>
      <c r="B66" s="6"/>
      <c r="C66" s="6"/>
      <c r="D66" s="6"/>
      <c r="E66" s="6"/>
      <c r="F66" s="6"/>
      <c r="G66" s="6"/>
      <c r="H66" s="6"/>
      <c r="I66" s="6"/>
      <c r="J66" s="6"/>
      <c r="K66" s="6"/>
      <c r="L66" s="6"/>
      <c r="M66" s="6"/>
      <c r="N66" s="6"/>
    </row>
    <row r="67" spans="1:14" x14ac:dyDescent="0.25">
      <c r="A67" s="6"/>
      <c r="B67" s="6"/>
      <c r="C67" s="6"/>
      <c r="D67" s="6"/>
      <c r="E67" s="6"/>
      <c r="F67" s="6"/>
      <c r="G67" s="6"/>
      <c r="H67" s="6"/>
      <c r="I67" s="6"/>
      <c r="J67" s="6"/>
      <c r="K67" s="6"/>
      <c r="L67" s="6"/>
      <c r="M67" s="6"/>
      <c r="N67" s="6"/>
    </row>
    <row r="68" spans="1:14" x14ac:dyDescent="0.25">
      <c r="A68" s="6"/>
      <c r="B68" s="6"/>
      <c r="C68" s="6"/>
      <c r="D68" s="6"/>
      <c r="E68" s="6"/>
      <c r="F68" s="6"/>
      <c r="G68" s="6"/>
      <c r="H68" s="6"/>
      <c r="I68" s="6"/>
      <c r="J68" s="6"/>
      <c r="K68" s="6"/>
      <c r="L68" s="6"/>
      <c r="M68" s="6"/>
      <c r="N68" s="6"/>
    </row>
    <row r="69" spans="1:14" x14ac:dyDescent="0.25">
      <c r="A69" s="6"/>
      <c r="B69" s="6"/>
      <c r="C69" s="6"/>
      <c r="D69" s="6"/>
      <c r="E69" s="6"/>
      <c r="F69" s="6"/>
      <c r="G69" s="6"/>
      <c r="H69" s="6"/>
      <c r="I69" s="6"/>
      <c r="J69" s="6"/>
      <c r="K69" s="6"/>
      <c r="L69" s="6"/>
      <c r="M69" s="6"/>
      <c r="N69" s="6"/>
    </row>
    <row r="70" spans="1:14" x14ac:dyDescent="0.25">
      <c r="A70" s="6"/>
      <c r="B70" s="6"/>
      <c r="C70" s="6"/>
      <c r="D70" s="6"/>
      <c r="E70" s="6"/>
      <c r="F70" s="6"/>
      <c r="G70" s="6"/>
      <c r="H70" s="6"/>
      <c r="I70" s="6"/>
      <c r="J70" s="6"/>
      <c r="K70" s="6"/>
      <c r="L70" s="6"/>
      <c r="M70" s="6"/>
      <c r="N70" s="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3"/>
  <sheetViews>
    <sheetView workbookViewId="0"/>
  </sheetViews>
  <sheetFormatPr defaultRowHeight="15" x14ac:dyDescent="0.25"/>
  <cols>
    <col min="3" max="3" width="29.140625" customWidth="1"/>
    <col min="5" max="5" width="27.5703125" customWidth="1"/>
    <col min="7" max="7" width="33" customWidth="1"/>
    <col min="10" max="10" width="18" customWidth="1"/>
  </cols>
  <sheetData>
    <row r="1" spans="1:17" s="3" customFormat="1" ht="36.75" x14ac:dyDescent="0.25">
      <c r="A1" s="9" t="s">
        <v>0</v>
      </c>
      <c r="B1" s="10" t="s">
        <v>1</v>
      </c>
      <c r="C1" s="9" t="s">
        <v>2</v>
      </c>
      <c r="D1" s="9" t="s">
        <v>3</v>
      </c>
      <c r="E1" s="9" t="s">
        <v>4</v>
      </c>
      <c r="F1" s="9" t="s">
        <v>5</v>
      </c>
      <c r="G1" s="9" t="s">
        <v>6</v>
      </c>
      <c r="H1" s="9" t="s">
        <v>7</v>
      </c>
      <c r="I1" s="9" t="s">
        <v>8</v>
      </c>
      <c r="J1" s="9" t="s">
        <v>9</v>
      </c>
      <c r="K1" s="9" t="s">
        <v>10</v>
      </c>
      <c r="L1" s="9" t="s">
        <v>11</v>
      </c>
      <c r="M1" s="9" t="s">
        <v>12</v>
      </c>
      <c r="N1" s="9" t="s">
        <v>13</v>
      </c>
      <c r="O1" s="9" t="s">
        <v>14</v>
      </c>
      <c r="P1" s="9" t="s">
        <v>15</v>
      </c>
      <c r="Q1" s="9" t="s">
        <v>16</v>
      </c>
    </row>
    <row r="2" spans="1:17" ht="108.75" x14ac:dyDescent="0.25">
      <c r="A2" s="6"/>
      <c r="B2" s="6"/>
      <c r="C2" s="43" t="s">
        <v>410</v>
      </c>
      <c r="D2" s="43" t="s">
        <v>411</v>
      </c>
      <c r="E2" s="43" t="s">
        <v>412</v>
      </c>
      <c r="F2" s="47" t="s">
        <v>281</v>
      </c>
      <c r="G2" s="48" t="s">
        <v>18</v>
      </c>
      <c r="H2" s="43"/>
      <c r="I2" s="14"/>
      <c r="J2" s="48" t="s">
        <v>20</v>
      </c>
      <c r="K2" s="6"/>
      <c r="L2" s="6"/>
      <c r="M2" s="6"/>
      <c r="N2" s="6"/>
      <c r="O2" s="6"/>
      <c r="P2" s="6"/>
      <c r="Q2" s="6"/>
    </row>
    <row r="3" spans="1:17" ht="72.75" x14ac:dyDescent="0.25">
      <c r="A3" s="6"/>
      <c r="B3" s="6"/>
      <c r="C3" s="43" t="s">
        <v>410</v>
      </c>
      <c r="D3" s="14"/>
      <c r="E3" s="14"/>
      <c r="F3" s="14" t="s">
        <v>282</v>
      </c>
      <c r="G3" s="48" t="s">
        <v>21</v>
      </c>
      <c r="H3" s="43"/>
      <c r="I3" s="14"/>
      <c r="J3" s="48" t="s">
        <v>22</v>
      </c>
      <c r="K3" s="6"/>
      <c r="L3" s="6"/>
      <c r="M3" s="6"/>
      <c r="N3" s="6"/>
      <c r="O3" s="6"/>
      <c r="P3" s="6"/>
      <c r="Q3" s="6"/>
    </row>
    <row r="4" spans="1:17" ht="96.75" x14ac:dyDescent="0.25">
      <c r="A4" s="6"/>
      <c r="B4" s="6"/>
      <c r="C4" s="43" t="s">
        <v>410</v>
      </c>
      <c r="D4" s="14"/>
      <c r="E4" s="14"/>
      <c r="F4" s="14" t="s">
        <v>283</v>
      </c>
      <c r="G4" s="48" t="s">
        <v>23</v>
      </c>
      <c r="H4" s="43"/>
      <c r="I4" s="14"/>
      <c r="J4" s="48" t="s">
        <v>24</v>
      </c>
      <c r="K4" s="6"/>
      <c r="L4" s="6"/>
      <c r="M4" s="6"/>
      <c r="N4" s="6"/>
      <c r="O4" s="6"/>
      <c r="P4" s="6"/>
      <c r="Q4" s="6"/>
    </row>
    <row r="5" spans="1:17" ht="48.75" x14ac:dyDescent="0.25">
      <c r="A5" s="6"/>
      <c r="B5" s="6"/>
      <c r="C5" s="43" t="s">
        <v>410</v>
      </c>
      <c r="D5" s="14"/>
      <c r="E5" s="14"/>
      <c r="F5" s="14" t="s">
        <v>285</v>
      </c>
      <c r="G5" s="48" t="s">
        <v>34</v>
      </c>
      <c r="H5" s="43"/>
      <c r="I5" s="14"/>
      <c r="J5" s="48" t="s">
        <v>77</v>
      </c>
      <c r="K5" s="6"/>
      <c r="L5" s="6"/>
      <c r="M5" s="6"/>
      <c r="N5" s="6"/>
      <c r="O5" s="6"/>
      <c r="P5" s="6"/>
      <c r="Q5" s="6"/>
    </row>
    <row r="6" spans="1:17" ht="72.75" x14ac:dyDescent="0.25">
      <c r="A6" s="6"/>
      <c r="B6" s="6"/>
      <c r="C6" s="43" t="s">
        <v>410</v>
      </c>
      <c r="D6" s="14"/>
      <c r="E6" s="14"/>
      <c r="F6" s="14" t="s">
        <v>289</v>
      </c>
      <c r="G6" s="48" t="s">
        <v>35</v>
      </c>
      <c r="H6" s="43"/>
      <c r="I6" s="14"/>
      <c r="J6" s="48" t="s">
        <v>36</v>
      </c>
      <c r="K6" s="6"/>
      <c r="L6" s="6"/>
      <c r="M6" s="6"/>
      <c r="N6" s="6"/>
      <c r="O6" s="6"/>
      <c r="P6" s="6"/>
      <c r="Q6" s="6"/>
    </row>
    <row r="7" spans="1:17" ht="120.75" x14ac:dyDescent="0.25">
      <c r="A7" s="6"/>
      <c r="B7" s="6"/>
      <c r="C7" s="43" t="s">
        <v>410</v>
      </c>
      <c r="D7" s="14"/>
      <c r="E7" s="14"/>
      <c r="F7" s="14" t="s">
        <v>293</v>
      </c>
      <c r="G7" s="48" t="s">
        <v>37</v>
      </c>
      <c r="H7" s="43"/>
      <c r="I7" s="43" t="s">
        <v>40</v>
      </c>
      <c r="J7" s="48" t="s">
        <v>38</v>
      </c>
      <c r="K7" s="6"/>
      <c r="L7" s="6"/>
      <c r="M7" s="6"/>
      <c r="N7" s="6"/>
      <c r="O7" s="6"/>
      <c r="P7" s="6"/>
      <c r="Q7" s="6"/>
    </row>
    <row r="8" spans="1:17" ht="120.75" x14ac:dyDescent="0.25">
      <c r="A8" s="6"/>
      <c r="B8" s="6"/>
      <c r="C8" s="43" t="s">
        <v>410</v>
      </c>
      <c r="D8" s="14"/>
      <c r="E8" s="14"/>
      <c r="F8" s="14" t="s">
        <v>296</v>
      </c>
      <c r="G8" s="45" t="s">
        <v>413</v>
      </c>
      <c r="H8" s="14"/>
      <c r="I8" s="43" t="s">
        <v>340</v>
      </c>
      <c r="J8" s="45" t="s">
        <v>341</v>
      </c>
      <c r="K8" s="6"/>
      <c r="L8" s="6"/>
      <c r="M8" s="6"/>
      <c r="N8" s="6"/>
      <c r="O8" s="6"/>
      <c r="P8" s="6"/>
      <c r="Q8" s="6"/>
    </row>
    <row r="9" spans="1:17" ht="96.75" x14ac:dyDescent="0.25">
      <c r="A9" s="6"/>
      <c r="B9" s="6"/>
      <c r="C9" s="43" t="s">
        <v>410</v>
      </c>
      <c r="D9" s="14"/>
      <c r="E9" s="14"/>
      <c r="F9" s="14" t="s">
        <v>299</v>
      </c>
      <c r="G9" s="45" t="s">
        <v>344</v>
      </c>
      <c r="H9" s="14"/>
      <c r="I9" s="43" t="s">
        <v>345</v>
      </c>
      <c r="J9" s="45" t="s">
        <v>346</v>
      </c>
      <c r="K9" s="6"/>
      <c r="L9" s="6"/>
      <c r="M9" s="6"/>
      <c r="N9" s="6"/>
      <c r="O9" s="6"/>
      <c r="P9" s="6"/>
      <c r="Q9" s="6"/>
    </row>
    <row r="10" spans="1:17" ht="144.75" x14ac:dyDescent="0.25">
      <c r="A10" s="6"/>
      <c r="B10" s="6"/>
      <c r="C10" s="43" t="s">
        <v>410</v>
      </c>
      <c r="D10" s="14"/>
      <c r="E10" s="14"/>
      <c r="F10" s="14" t="s">
        <v>302</v>
      </c>
      <c r="G10" s="45" t="s">
        <v>347</v>
      </c>
      <c r="H10" s="14"/>
      <c r="I10" s="43" t="s">
        <v>348</v>
      </c>
      <c r="J10" s="45" t="s">
        <v>349</v>
      </c>
      <c r="K10" s="6"/>
      <c r="L10" s="6"/>
      <c r="M10" s="6"/>
      <c r="N10" s="6"/>
      <c r="O10" s="6"/>
      <c r="P10" s="6"/>
      <c r="Q10" s="6"/>
    </row>
    <row r="11" spans="1:17" ht="36.75" x14ac:dyDescent="0.25">
      <c r="A11" s="6"/>
      <c r="B11" s="6"/>
      <c r="C11" s="43" t="s">
        <v>410</v>
      </c>
      <c r="D11" s="14"/>
      <c r="E11" s="14"/>
      <c r="F11" s="14" t="s">
        <v>305</v>
      </c>
      <c r="G11" s="48" t="s">
        <v>62</v>
      </c>
      <c r="H11" s="43"/>
      <c r="I11" s="14"/>
      <c r="J11" s="48" t="s">
        <v>63</v>
      </c>
      <c r="K11" s="6"/>
      <c r="L11" s="6"/>
      <c r="M11" s="6"/>
      <c r="N11" s="6"/>
      <c r="O11" s="6"/>
      <c r="P11" s="6"/>
      <c r="Q11" s="6"/>
    </row>
    <row r="12" spans="1:17" ht="36.75" x14ac:dyDescent="0.25">
      <c r="A12" s="6"/>
      <c r="B12" s="6"/>
      <c r="C12" s="43" t="s">
        <v>410</v>
      </c>
      <c r="D12" s="14"/>
      <c r="E12" s="14"/>
      <c r="F12" s="14" t="s">
        <v>308</v>
      </c>
      <c r="G12" s="48" t="s">
        <v>64</v>
      </c>
      <c r="H12" s="43"/>
      <c r="I12" s="14"/>
      <c r="J12" s="48" t="s">
        <v>27</v>
      </c>
      <c r="K12" s="6"/>
      <c r="L12" s="6"/>
      <c r="M12" s="6"/>
      <c r="N12" s="6"/>
      <c r="O12" s="6"/>
      <c r="P12" s="6"/>
      <c r="Q12" s="6"/>
    </row>
    <row r="13" spans="1:17" ht="84.75" x14ac:dyDescent="0.25">
      <c r="A13" s="6"/>
      <c r="B13" s="6"/>
      <c r="C13" s="43" t="s">
        <v>410</v>
      </c>
      <c r="D13" s="14"/>
      <c r="E13" s="14"/>
      <c r="F13" s="14" t="s">
        <v>414</v>
      </c>
      <c r="G13" s="48" t="s">
        <v>65</v>
      </c>
      <c r="H13" s="43"/>
      <c r="I13" s="14"/>
      <c r="J13" s="48" t="s">
        <v>66</v>
      </c>
      <c r="K13" s="6"/>
      <c r="L13" s="6"/>
      <c r="M13" s="6"/>
      <c r="N13" s="6"/>
      <c r="O13" s="6"/>
      <c r="P13" s="6"/>
      <c r="Q13" s="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74"/>
  <sheetViews>
    <sheetView zoomScaleNormal="100" workbookViewId="0"/>
  </sheetViews>
  <sheetFormatPr defaultRowHeight="15" x14ac:dyDescent="0.25"/>
  <cols>
    <col min="3" max="3" width="34.28515625" customWidth="1"/>
    <col min="5" max="5" width="39.85546875" customWidth="1"/>
    <col min="7" max="7" width="31.42578125" customWidth="1"/>
    <col min="9" max="9" width="22.28515625" customWidth="1"/>
    <col min="10" max="10" width="29.5703125" customWidth="1"/>
  </cols>
  <sheetData>
    <row r="1" spans="1:19" ht="36" x14ac:dyDescent="0.25">
      <c r="A1" s="53" t="s">
        <v>415</v>
      </c>
      <c r="B1" s="53" t="s">
        <v>416</v>
      </c>
      <c r="C1" s="53" t="s">
        <v>417</v>
      </c>
      <c r="D1" s="53" t="s">
        <v>418</v>
      </c>
      <c r="E1" s="53" t="s">
        <v>419</v>
      </c>
      <c r="F1" s="53" t="s">
        <v>5</v>
      </c>
      <c r="G1" s="53" t="s">
        <v>6</v>
      </c>
      <c r="H1" s="53" t="s">
        <v>420</v>
      </c>
      <c r="I1" s="53" t="s">
        <v>8</v>
      </c>
      <c r="J1" s="53" t="s">
        <v>421</v>
      </c>
      <c r="K1" s="53" t="s">
        <v>422</v>
      </c>
      <c r="L1" s="53" t="s">
        <v>423</v>
      </c>
      <c r="M1" s="53" t="s">
        <v>424</v>
      </c>
      <c r="N1" s="53" t="s">
        <v>425</v>
      </c>
      <c r="O1" s="53" t="s">
        <v>426</v>
      </c>
      <c r="P1" s="53" t="s">
        <v>427</v>
      </c>
      <c r="Q1" s="53" t="s">
        <v>428</v>
      </c>
      <c r="R1" s="53" t="s">
        <v>429</v>
      </c>
      <c r="S1" s="53" t="s">
        <v>430</v>
      </c>
    </row>
    <row r="2" spans="1:19" ht="84" x14ac:dyDescent="0.25">
      <c r="A2" s="14"/>
      <c r="B2" s="14"/>
      <c r="C2" s="54" t="s">
        <v>431</v>
      </c>
      <c r="D2" s="12" t="s">
        <v>432</v>
      </c>
      <c r="E2" s="16" t="s">
        <v>433</v>
      </c>
      <c r="F2" s="29" t="s">
        <v>17</v>
      </c>
      <c r="G2" s="16" t="s">
        <v>434</v>
      </c>
      <c r="H2" s="16"/>
      <c r="I2" s="16"/>
      <c r="J2" s="16" t="s">
        <v>80</v>
      </c>
      <c r="K2" s="14"/>
      <c r="L2" s="14"/>
      <c r="M2" s="14"/>
      <c r="N2" s="14"/>
      <c r="O2" s="14"/>
      <c r="P2" s="14"/>
      <c r="Q2" s="14"/>
      <c r="R2" s="14"/>
      <c r="S2" s="14"/>
    </row>
    <row r="3" spans="1:19" ht="36" x14ac:dyDescent="0.25">
      <c r="A3" s="14"/>
      <c r="B3" s="14"/>
      <c r="C3" s="54" t="s">
        <v>431</v>
      </c>
      <c r="D3" s="18"/>
      <c r="E3" s="16"/>
      <c r="F3" s="16" t="s">
        <v>19</v>
      </c>
      <c r="G3" s="16" t="s">
        <v>435</v>
      </c>
      <c r="H3" s="16"/>
      <c r="I3" s="16"/>
      <c r="J3" s="16" t="s">
        <v>80</v>
      </c>
      <c r="K3" s="14"/>
      <c r="L3" s="14"/>
      <c r="M3" s="14"/>
      <c r="N3" s="14"/>
      <c r="O3" s="14"/>
      <c r="P3" s="14"/>
      <c r="Q3" s="14"/>
      <c r="R3" s="14"/>
      <c r="S3" s="14"/>
    </row>
    <row r="4" spans="1:19" ht="36" x14ac:dyDescent="0.25">
      <c r="A4" s="14"/>
      <c r="B4" s="14"/>
      <c r="C4" s="54" t="s">
        <v>431</v>
      </c>
      <c r="D4" s="18"/>
      <c r="E4" s="16"/>
      <c r="F4" s="16" t="s">
        <v>26</v>
      </c>
      <c r="G4" s="16" t="s">
        <v>436</v>
      </c>
      <c r="H4" s="16"/>
      <c r="I4" s="16"/>
      <c r="J4" s="16" t="s">
        <v>80</v>
      </c>
      <c r="K4" s="14"/>
      <c r="L4" s="14"/>
      <c r="M4" s="14"/>
      <c r="N4" s="14"/>
      <c r="O4" s="14"/>
      <c r="P4" s="14"/>
      <c r="Q4" s="14"/>
      <c r="R4" s="14"/>
      <c r="S4" s="14"/>
    </row>
    <row r="5" spans="1:19" ht="60" x14ac:dyDescent="0.25">
      <c r="A5" s="14"/>
      <c r="B5" s="14"/>
      <c r="C5" s="54" t="s">
        <v>431</v>
      </c>
      <c r="D5" s="18"/>
      <c r="E5" s="12"/>
      <c r="F5" s="16" t="s">
        <v>28</v>
      </c>
      <c r="G5" s="16" t="s">
        <v>437</v>
      </c>
      <c r="H5" s="16"/>
      <c r="I5" s="16"/>
      <c r="J5" s="16" t="s">
        <v>438</v>
      </c>
      <c r="K5" s="14"/>
      <c r="L5" s="14"/>
      <c r="M5" s="14"/>
      <c r="N5" s="14"/>
      <c r="O5" s="14"/>
      <c r="P5" s="14"/>
      <c r="Q5" s="14"/>
      <c r="R5" s="14"/>
      <c r="S5" s="14"/>
    </row>
    <row r="6" spans="1:19" ht="60" x14ac:dyDescent="0.25">
      <c r="A6" s="14"/>
      <c r="B6" s="14"/>
      <c r="C6" s="54" t="s">
        <v>431</v>
      </c>
      <c r="D6" s="18"/>
      <c r="E6" s="12"/>
      <c r="F6" s="16" t="s">
        <v>29</v>
      </c>
      <c r="G6" s="16" t="s">
        <v>439</v>
      </c>
      <c r="H6" s="16"/>
      <c r="I6" s="16"/>
      <c r="J6" s="16" t="s">
        <v>440</v>
      </c>
      <c r="K6" s="14"/>
      <c r="L6" s="14"/>
      <c r="M6" s="14"/>
      <c r="N6" s="14"/>
      <c r="O6" s="14"/>
      <c r="P6" s="14"/>
      <c r="Q6" s="14"/>
      <c r="R6" s="14"/>
      <c r="S6" s="14"/>
    </row>
    <row r="7" spans="1:19" ht="36" x14ac:dyDescent="0.25">
      <c r="A7" s="14"/>
      <c r="B7" s="14"/>
      <c r="C7" s="54" t="s">
        <v>431</v>
      </c>
      <c r="D7" s="18"/>
      <c r="E7" s="12"/>
      <c r="F7" s="16" t="s">
        <v>30</v>
      </c>
      <c r="G7" s="16" t="s">
        <v>441</v>
      </c>
      <c r="H7" s="16"/>
      <c r="I7" s="16"/>
      <c r="J7" s="16" t="s">
        <v>442</v>
      </c>
      <c r="K7" s="14"/>
      <c r="L7" s="14"/>
      <c r="M7" s="14"/>
      <c r="N7" s="14"/>
      <c r="O7" s="14"/>
      <c r="P7" s="14"/>
      <c r="Q7" s="14"/>
      <c r="R7" s="14"/>
      <c r="S7" s="14"/>
    </row>
    <row r="8" spans="1:19" ht="84" x14ac:dyDescent="0.25">
      <c r="A8" s="14"/>
      <c r="B8" s="14"/>
      <c r="C8" s="54" t="s">
        <v>431</v>
      </c>
      <c r="D8" s="55"/>
      <c r="E8" s="54"/>
      <c r="F8" s="16" t="s">
        <v>31</v>
      </c>
      <c r="G8" s="16" t="s">
        <v>443</v>
      </c>
      <c r="H8" s="16"/>
      <c r="I8" s="16"/>
      <c r="J8" s="16" t="s">
        <v>444</v>
      </c>
      <c r="K8" s="14"/>
      <c r="L8" s="14"/>
      <c r="M8" s="14"/>
      <c r="N8" s="14"/>
      <c r="O8" s="14"/>
      <c r="P8" s="14"/>
      <c r="Q8" s="14"/>
      <c r="R8" s="14"/>
      <c r="S8" s="14"/>
    </row>
    <row r="9" spans="1:19" ht="72" x14ac:dyDescent="0.25">
      <c r="A9" s="14"/>
      <c r="B9" s="14"/>
      <c r="C9" s="54" t="s">
        <v>431</v>
      </c>
      <c r="D9" s="55"/>
      <c r="E9" s="54"/>
      <c r="F9" s="16" t="s">
        <v>32</v>
      </c>
      <c r="G9" s="16" t="s">
        <v>445</v>
      </c>
      <c r="H9" s="16"/>
      <c r="I9" s="16" t="s">
        <v>446</v>
      </c>
      <c r="J9" s="56" t="s">
        <v>447</v>
      </c>
      <c r="K9" s="14"/>
      <c r="L9" s="14"/>
      <c r="M9" s="14"/>
      <c r="N9" s="14"/>
      <c r="O9" s="14"/>
      <c r="P9" s="14"/>
      <c r="Q9" s="14"/>
      <c r="R9" s="14"/>
      <c r="S9" s="14"/>
    </row>
    <row r="10" spans="1:19" ht="36" x14ac:dyDescent="0.25">
      <c r="A10" s="14"/>
      <c r="B10" s="14"/>
      <c r="C10" s="54" t="s">
        <v>431</v>
      </c>
      <c r="D10" s="18"/>
      <c r="E10" s="12"/>
      <c r="F10" s="16" t="s">
        <v>33</v>
      </c>
      <c r="G10" s="16" t="s">
        <v>18</v>
      </c>
      <c r="H10" s="16"/>
      <c r="I10" s="16"/>
      <c r="J10" s="16" t="s">
        <v>20</v>
      </c>
      <c r="K10" s="14"/>
      <c r="L10" s="14"/>
      <c r="M10" s="14"/>
      <c r="N10" s="14"/>
      <c r="O10" s="14"/>
      <c r="P10" s="14"/>
      <c r="Q10" s="14"/>
      <c r="R10" s="14"/>
      <c r="S10" s="14"/>
    </row>
    <row r="11" spans="1:19" ht="36" x14ac:dyDescent="0.25">
      <c r="A11" s="14"/>
      <c r="B11" s="14"/>
      <c r="C11" s="54" t="s">
        <v>431</v>
      </c>
      <c r="D11" s="18"/>
      <c r="E11" s="12"/>
      <c r="F11" s="16" t="s">
        <v>49</v>
      </c>
      <c r="G11" s="16" t="s">
        <v>21</v>
      </c>
      <c r="H11" s="16"/>
      <c r="I11" s="16"/>
      <c r="J11" s="16" t="s">
        <v>448</v>
      </c>
      <c r="K11" s="14"/>
      <c r="L11" s="14"/>
      <c r="M11" s="14"/>
      <c r="N11" s="14"/>
      <c r="O11" s="14"/>
      <c r="P11" s="14"/>
      <c r="Q11" s="14"/>
      <c r="R11" s="14"/>
      <c r="S11" s="14"/>
    </row>
    <row r="12" spans="1:19" ht="48" x14ac:dyDescent="0.25">
      <c r="A12" s="14"/>
      <c r="B12" s="14"/>
      <c r="C12" s="54" t="s">
        <v>431</v>
      </c>
      <c r="D12" s="18"/>
      <c r="E12" s="12"/>
      <c r="F12" s="16" t="s">
        <v>56</v>
      </c>
      <c r="G12" s="16" t="s">
        <v>449</v>
      </c>
      <c r="H12" s="16"/>
      <c r="I12" s="16"/>
      <c r="J12" s="16" t="s">
        <v>450</v>
      </c>
      <c r="K12" s="14"/>
      <c r="L12" s="14"/>
      <c r="M12" s="14"/>
      <c r="N12" s="14"/>
      <c r="O12" s="14"/>
      <c r="P12" s="14"/>
      <c r="Q12" s="14"/>
      <c r="R12" s="14"/>
      <c r="S12" s="14"/>
    </row>
    <row r="13" spans="1:19" ht="36" x14ac:dyDescent="0.25">
      <c r="A13" s="14"/>
      <c r="B13" s="14"/>
      <c r="C13" s="54" t="s">
        <v>431</v>
      </c>
      <c r="D13" s="18"/>
      <c r="E13" s="12"/>
      <c r="F13" s="16" t="s">
        <v>57</v>
      </c>
      <c r="G13" s="16" t="s">
        <v>171</v>
      </c>
      <c r="H13" s="16"/>
      <c r="I13" s="16"/>
      <c r="J13" s="16" t="s">
        <v>172</v>
      </c>
      <c r="K13" s="14"/>
      <c r="L13" s="14"/>
      <c r="M13" s="14"/>
      <c r="N13" s="14"/>
      <c r="O13" s="14"/>
      <c r="P13" s="14"/>
      <c r="Q13" s="14"/>
      <c r="R13" s="14"/>
      <c r="S13" s="14"/>
    </row>
    <row r="14" spans="1:19" ht="48" x14ac:dyDescent="0.25">
      <c r="A14" s="14"/>
      <c r="B14" s="14"/>
      <c r="C14" s="54" t="s">
        <v>431</v>
      </c>
      <c r="D14" s="18"/>
      <c r="E14" s="12"/>
      <c r="F14" s="16" t="s">
        <v>58</v>
      </c>
      <c r="G14" s="16" t="s">
        <v>451</v>
      </c>
      <c r="H14" s="16"/>
      <c r="I14" s="16" t="s">
        <v>452</v>
      </c>
      <c r="J14" s="16" t="s">
        <v>453</v>
      </c>
      <c r="K14" s="14"/>
      <c r="L14" s="14"/>
      <c r="M14" s="14"/>
      <c r="N14" s="14"/>
      <c r="O14" s="14"/>
      <c r="P14" s="14"/>
      <c r="Q14" s="14"/>
      <c r="R14" s="14"/>
      <c r="S14" s="14"/>
    </row>
    <row r="15" spans="1:19" ht="72" x14ac:dyDescent="0.25">
      <c r="A15" s="14"/>
      <c r="B15" s="14"/>
      <c r="C15" s="54" t="s">
        <v>454</v>
      </c>
      <c r="D15" s="12" t="s">
        <v>432</v>
      </c>
      <c r="E15" s="16" t="s">
        <v>455</v>
      </c>
      <c r="F15" s="29" t="s">
        <v>17</v>
      </c>
      <c r="G15" s="16" t="s">
        <v>456</v>
      </c>
      <c r="H15" s="16"/>
      <c r="I15" s="16"/>
      <c r="J15" s="16" t="s">
        <v>80</v>
      </c>
      <c r="K15" s="14"/>
      <c r="L15" s="14"/>
      <c r="M15" s="14"/>
      <c r="N15" s="14"/>
      <c r="O15" s="14"/>
      <c r="P15" s="14"/>
      <c r="Q15" s="14"/>
      <c r="R15" s="14"/>
      <c r="S15" s="14"/>
    </row>
    <row r="16" spans="1:19" ht="36" x14ac:dyDescent="0.25">
      <c r="A16" s="14"/>
      <c r="B16" s="14"/>
      <c r="C16" s="54" t="s">
        <v>454</v>
      </c>
      <c r="D16" s="18"/>
      <c r="E16" s="16"/>
      <c r="F16" s="16" t="s">
        <v>19</v>
      </c>
      <c r="G16" s="16" t="s">
        <v>435</v>
      </c>
      <c r="H16" s="16"/>
      <c r="I16" s="16"/>
      <c r="J16" s="16" t="s">
        <v>80</v>
      </c>
      <c r="K16" s="14"/>
      <c r="L16" s="14"/>
      <c r="M16" s="14"/>
      <c r="N16" s="14"/>
      <c r="O16" s="14"/>
      <c r="P16" s="14"/>
      <c r="Q16" s="14"/>
      <c r="R16" s="14"/>
      <c r="S16" s="14"/>
    </row>
    <row r="17" spans="1:19" ht="84" x14ac:dyDescent="0.25">
      <c r="A17" s="14"/>
      <c r="B17" s="14"/>
      <c r="C17" s="54" t="s">
        <v>454</v>
      </c>
      <c r="D17" s="18"/>
      <c r="E17" s="16"/>
      <c r="F17" s="16" t="s">
        <v>26</v>
      </c>
      <c r="G17" s="16" t="s">
        <v>457</v>
      </c>
      <c r="H17" s="16"/>
      <c r="I17" s="16"/>
      <c r="J17" s="16" t="s">
        <v>80</v>
      </c>
      <c r="K17" s="14"/>
      <c r="L17" s="14"/>
      <c r="M17" s="14"/>
      <c r="N17" s="14"/>
      <c r="O17" s="14"/>
      <c r="P17" s="14"/>
      <c r="Q17" s="14"/>
      <c r="R17" s="14"/>
      <c r="S17" s="14"/>
    </row>
    <row r="18" spans="1:19" ht="60" x14ac:dyDescent="0.25">
      <c r="A18" s="14"/>
      <c r="B18" s="14"/>
      <c r="C18" s="54" t="s">
        <v>454</v>
      </c>
      <c r="D18" s="18"/>
      <c r="E18" s="12"/>
      <c r="F18" s="16" t="s">
        <v>28</v>
      </c>
      <c r="G18" s="16" t="s">
        <v>437</v>
      </c>
      <c r="H18" s="16"/>
      <c r="I18" s="16"/>
      <c r="J18" s="16" t="s">
        <v>438</v>
      </c>
      <c r="K18" s="14"/>
      <c r="L18" s="14"/>
      <c r="M18" s="14"/>
      <c r="N18" s="14"/>
      <c r="O18" s="14"/>
      <c r="P18" s="14"/>
      <c r="Q18" s="14"/>
      <c r="R18" s="14"/>
      <c r="S18" s="14"/>
    </row>
    <row r="19" spans="1:19" ht="60" x14ac:dyDescent="0.25">
      <c r="A19" s="14"/>
      <c r="B19" s="14"/>
      <c r="C19" s="54" t="s">
        <v>454</v>
      </c>
      <c r="D19" s="18"/>
      <c r="E19" s="12"/>
      <c r="F19" s="16" t="s">
        <v>29</v>
      </c>
      <c r="G19" s="16" t="s">
        <v>439</v>
      </c>
      <c r="H19" s="16"/>
      <c r="I19" s="16"/>
      <c r="J19" s="16" t="s">
        <v>440</v>
      </c>
      <c r="K19" s="14"/>
      <c r="L19" s="14"/>
      <c r="M19" s="14"/>
      <c r="N19" s="14"/>
      <c r="O19" s="14"/>
      <c r="P19" s="14"/>
      <c r="Q19" s="14"/>
      <c r="R19" s="14"/>
      <c r="S19" s="14"/>
    </row>
    <row r="20" spans="1:19" ht="36" x14ac:dyDescent="0.25">
      <c r="A20" s="14"/>
      <c r="B20" s="14"/>
      <c r="C20" s="54" t="s">
        <v>454</v>
      </c>
      <c r="D20" s="18"/>
      <c r="E20" s="12"/>
      <c r="F20" s="16" t="s">
        <v>30</v>
      </c>
      <c r="G20" s="16" t="s">
        <v>441</v>
      </c>
      <c r="H20" s="16"/>
      <c r="I20" s="16"/>
      <c r="J20" s="16" t="s">
        <v>442</v>
      </c>
      <c r="K20" s="14"/>
      <c r="L20" s="14"/>
      <c r="M20" s="14"/>
      <c r="N20" s="14"/>
      <c r="O20" s="14"/>
      <c r="P20" s="14"/>
      <c r="Q20" s="14"/>
      <c r="R20" s="14"/>
      <c r="S20" s="14"/>
    </row>
    <row r="21" spans="1:19" ht="84" x14ac:dyDescent="0.25">
      <c r="A21" s="14"/>
      <c r="B21" s="14"/>
      <c r="C21" s="54" t="s">
        <v>454</v>
      </c>
      <c r="D21" s="18"/>
      <c r="E21" s="12"/>
      <c r="F21" s="16" t="s">
        <v>31</v>
      </c>
      <c r="G21" s="16" t="s">
        <v>443</v>
      </c>
      <c r="H21" s="16"/>
      <c r="I21" s="16"/>
      <c r="J21" s="16" t="s">
        <v>444</v>
      </c>
      <c r="K21" s="14"/>
      <c r="L21" s="14"/>
      <c r="M21" s="14"/>
      <c r="N21" s="14"/>
      <c r="O21" s="14"/>
      <c r="P21" s="14"/>
      <c r="Q21" s="14"/>
      <c r="R21" s="14"/>
      <c r="S21" s="14"/>
    </row>
    <row r="22" spans="1:19" ht="72" x14ac:dyDescent="0.25">
      <c r="A22" s="14"/>
      <c r="B22" s="14"/>
      <c r="C22" s="54" t="s">
        <v>454</v>
      </c>
      <c r="D22" s="18"/>
      <c r="E22" s="12"/>
      <c r="F22" s="16" t="s">
        <v>32</v>
      </c>
      <c r="G22" s="16" t="s">
        <v>445</v>
      </c>
      <c r="H22" s="16"/>
      <c r="I22" s="16" t="s">
        <v>446</v>
      </c>
      <c r="J22" s="56" t="s">
        <v>447</v>
      </c>
      <c r="K22" s="14"/>
      <c r="L22" s="14"/>
      <c r="M22" s="14"/>
      <c r="N22" s="14"/>
      <c r="O22" s="14"/>
      <c r="P22" s="14"/>
      <c r="Q22" s="14"/>
      <c r="R22" s="14"/>
      <c r="S22" s="14"/>
    </row>
    <row r="23" spans="1:19" ht="36" x14ac:dyDescent="0.25">
      <c r="A23" s="14"/>
      <c r="B23" s="14"/>
      <c r="C23" s="54" t="s">
        <v>454</v>
      </c>
      <c r="D23" s="18"/>
      <c r="E23" s="12"/>
      <c r="F23" s="16" t="s">
        <v>33</v>
      </c>
      <c r="G23" s="16" t="s">
        <v>18</v>
      </c>
      <c r="H23" s="16"/>
      <c r="I23" s="16"/>
      <c r="J23" s="16" t="s">
        <v>20</v>
      </c>
      <c r="K23" s="14"/>
      <c r="L23" s="14"/>
      <c r="M23" s="14"/>
      <c r="N23" s="14"/>
      <c r="O23" s="14"/>
      <c r="P23" s="14"/>
      <c r="Q23" s="14"/>
      <c r="R23" s="14"/>
      <c r="S23" s="14"/>
    </row>
    <row r="24" spans="1:19" ht="36" x14ac:dyDescent="0.25">
      <c r="A24" s="14"/>
      <c r="B24" s="14"/>
      <c r="C24" s="54" t="s">
        <v>454</v>
      </c>
      <c r="D24" s="18"/>
      <c r="E24" s="12"/>
      <c r="F24" s="16" t="s">
        <v>49</v>
      </c>
      <c r="G24" s="16" t="s">
        <v>21</v>
      </c>
      <c r="H24" s="16"/>
      <c r="I24" s="16"/>
      <c r="J24" s="16" t="s">
        <v>448</v>
      </c>
      <c r="K24" s="14"/>
      <c r="L24" s="14"/>
      <c r="M24" s="14"/>
      <c r="N24" s="14"/>
      <c r="O24" s="14"/>
      <c r="P24" s="14"/>
      <c r="Q24" s="14"/>
      <c r="R24" s="14"/>
      <c r="S24" s="14"/>
    </row>
    <row r="25" spans="1:19" ht="48" x14ac:dyDescent="0.25">
      <c r="A25" s="14"/>
      <c r="B25" s="14"/>
      <c r="C25" s="54" t="s">
        <v>454</v>
      </c>
      <c r="D25" s="18"/>
      <c r="E25" s="12"/>
      <c r="F25" s="16" t="s">
        <v>56</v>
      </c>
      <c r="G25" s="16" t="s">
        <v>449</v>
      </c>
      <c r="H25" s="16"/>
      <c r="I25" s="16"/>
      <c r="J25" s="16" t="s">
        <v>450</v>
      </c>
      <c r="K25" s="14"/>
      <c r="L25" s="14"/>
      <c r="M25" s="14"/>
      <c r="N25" s="14"/>
      <c r="O25" s="14"/>
      <c r="P25" s="14"/>
      <c r="Q25" s="14"/>
      <c r="R25" s="14"/>
      <c r="S25" s="14"/>
    </row>
    <row r="26" spans="1:19" ht="36" x14ac:dyDescent="0.25">
      <c r="A26" s="14"/>
      <c r="B26" s="14"/>
      <c r="C26" s="54" t="s">
        <v>454</v>
      </c>
      <c r="D26" s="18"/>
      <c r="E26" s="12"/>
      <c r="F26" s="16" t="s">
        <v>57</v>
      </c>
      <c r="G26" s="16" t="s">
        <v>171</v>
      </c>
      <c r="H26" s="16"/>
      <c r="I26" s="16"/>
      <c r="J26" s="16" t="s">
        <v>172</v>
      </c>
      <c r="K26" s="14"/>
      <c r="L26" s="14"/>
      <c r="M26" s="14"/>
      <c r="N26" s="14"/>
      <c r="O26" s="14"/>
      <c r="P26" s="14"/>
      <c r="Q26" s="14"/>
      <c r="R26" s="14"/>
      <c r="S26" s="14"/>
    </row>
    <row r="27" spans="1:19" ht="48" x14ac:dyDescent="0.25">
      <c r="A27" s="14"/>
      <c r="B27" s="14"/>
      <c r="C27" s="54" t="s">
        <v>454</v>
      </c>
      <c r="D27" s="18"/>
      <c r="E27" s="12"/>
      <c r="F27" s="16" t="s">
        <v>58</v>
      </c>
      <c r="G27" s="16" t="s">
        <v>451</v>
      </c>
      <c r="H27" s="16"/>
      <c r="I27" s="16" t="s">
        <v>452</v>
      </c>
      <c r="J27" s="16" t="s">
        <v>458</v>
      </c>
      <c r="K27" s="14"/>
      <c r="L27" s="14"/>
      <c r="M27" s="14"/>
      <c r="N27" s="14"/>
      <c r="O27" s="14"/>
      <c r="P27" s="14"/>
      <c r="Q27" s="14"/>
      <c r="R27" s="14"/>
      <c r="S27" s="14"/>
    </row>
    <row r="28" spans="1:19" ht="72" x14ac:dyDescent="0.25">
      <c r="A28" s="14"/>
      <c r="B28" s="14"/>
      <c r="C28" s="12" t="s">
        <v>459</v>
      </c>
      <c r="D28" s="12" t="s">
        <v>432</v>
      </c>
      <c r="E28" s="16" t="s">
        <v>460</v>
      </c>
      <c r="F28" s="29" t="s">
        <v>17</v>
      </c>
      <c r="G28" s="16" t="s">
        <v>461</v>
      </c>
      <c r="H28" s="16"/>
      <c r="I28" s="16"/>
      <c r="J28" s="16" t="s">
        <v>80</v>
      </c>
      <c r="K28" s="14"/>
      <c r="L28" s="14"/>
      <c r="M28" s="14"/>
      <c r="N28" s="14"/>
      <c r="O28" s="14"/>
      <c r="P28" s="14"/>
      <c r="Q28" s="14"/>
      <c r="R28" s="14"/>
      <c r="S28" s="14"/>
    </row>
    <row r="29" spans="1:19" ht="36" x14ac:dyDescent="0.25">
      <c r="A29" s="14"/>
      <c r="B29" s="14"/>
      <c r="C29" s="12" t="s">
        <v>459</v>
      </c>
      <c r="D29" s="18"/>
      <c r="E29" s="16"/>
      <c r="F29" s="16" t="s">
        <v>19</v>
      </c>
      <c r="G29" s="16" t="s">
        <v>435</v>
      </c>
      <c r="H29" s="16"/>
      <c r="I29" s="16"/>
      <c r="J29" s="16" t="s">
        <v>80</v>
      </c>
      <c r="K29" s="14"/>
      <c r="L29" s="14"/>
      <c r="M29" s="14"/>
      <c r="N29" s="14"/>
      <c r="O29" s="14"/>
      <c r="P29" s="14"/>
      <c r="Q29" s="14"/>
      <c r="R29" s="14"/>
      <c r="S29" s="14"/>
    </row>
    <row r="30" spans="1:19" ht="84" x14ac:dyDescent="0.25">
      <c r="A30" s="14"/>
      <c r="B30" s="14"/>
      <c r="C30" s="12" t="s">
        <v>459</v>
      </c>
      <c r="D30" s="18"/>
      <c r="E30" s="16"/>
      <c r="F30" s="16" t="s">
        <v>26</v>
      </c>
      <c r="G30" s="16" t="s">
        <v>457</v>
      </c>
      <c r="H30" s="16"/>
      <c r="I30" s="16"/>
      <c r="J30" s="16" t="s">
        <v>80</v>
      </c>
      <c r="K30" s="14"/>
      <c r="L30" s="14"/>
      <c r="M30" s="14"/>
      <c r="N30" s="14"/>
      <c r="O30" s="14"/>
      <c r="P30" s="14"/>
      <c r="Q30" s="14"/>
      <c r="R30" s="14"/>
      <c r="S30" s="14"/>
    </row>
    <row r="31" spans="1:19" ht="60" x14ac:dyDescent="0.25">
      <c r="A31" s="14"/>
      <c r="B31" s="14"/>
      <c r="C31" s="12" t="s">
        <v>459</v>
      </c>
      <c r="D31" s="18"/>
      <c r="E31" s="12"/>
      <c r="F31" s="16" t="s">
        <v>28</v>
      </c>
      <c r="G31" s="16" t="s">
        <v>462</v>
      </c>
      <c r="H31" s="16"/>
      <c r="I31" s="16"/>
      <c r="J31" s="16" t="s">
        <v>463</v>
      </c>
      <c r="K31" s="14"/>
      <c r="L31" s="14"/>
      <c r="M31" s="14"/>
      <c r="N31" s="14"/>
      <c r="O31" s="14"/>
      <c r="P31" s="14"/>
      <c r="Q31" s="14"/>
      <c r="R31" s="14"/>
      <c r="S31" s="14"/>
    </row>
    <row r="32" spans="1:19" ht="60" x14ac:dyDescent="0.25">
      <c r="A32" s="14"/>
      <c r="B32" s="14"/>
      <c r="C32" s="12" t="s">
        <v>459</v>
      </c>
      <c r="D32" s="18"/>
      <c r="E32" s="12"/>
      <c r="F32" s="16" t="s">
        <v>29</v>
      </c>
      <c r="G32" s="16" t="s">
        <v>439</v>
      </c>
      <c r="H32" s="16"/>
      <c r="I32" s="16"/>
      <c r="J32" s="16" t="s">
        <v>464</v>
      </c>
      <c r="K32" s="14"/>
      <c r="L32" s="14"/>
      <c r="M32" s="14"/>
      <c r="N32" s="14"/>
      <c r="O32" s="14"/>
      <c r="P32" s="14"/>
      <c r="Q32" s="14"/>
      <c r="R32" s="14"/>
      <c r="S32" s="14"/>
    </row>
    <row r="33" spans="1:19" ht="36" x14ac:dyDescent="0.25">
      <c r="A33" s="14"/>
      <c r="B33" s="14"/>
      <c r="C33" s="12" t="s">
        <v>459</v>
      </c>
      <c r="D33" s="18"/>
      <c r="E33" s="12"/>
      <c r="F33" s="16" t="s">
        <v>30</v>
      </c>
      <c r="G33" s="16" t="s">
        <v>465</v>
      </c>
      <c r="H33" s="16"/>
      <c r="I33" s="16"/>
      <c r="J33" s="16" t="s">
        <v>466</v>
      </c>
      <c r="K33" s="14"/>
      <c r="L33" s="14"/>
      <c r="M33" s="14"/>
      <c r="N33" s="14"/>
      <c r="O33" s="14"/>
      <c r="P33" s="14"/>
      <c r="Q33" s="14"/>
      <c r="R33" s="14"/>
      <c r="S33" s="14"/>
    </row>
    <row r="34" spans="1:19" ht="72" x14ac:dyDescent="0.25">
      <c r="A34" s="14"/>
      <c r="B34" s="14"/>
      <c r="C34" s="12" t="s">
        <v>459</v>
      </c>
      <c r="D34" s="18"/>
      <c r="E34" s="12"/>
      <c r="F34" s="16" t="s">
        <v>31</v>
      </c>
      <c r="G34" s="16" t="s">
        <v>445</v>
      </c>
      <c r="H34" s="16"/>
      <c r="I34" s="16" t="s">
        <v>446</v>
      </c>
      <c r="J34" s="56" t="s">
        <v>447</v>
      </c>
      <c r="K34" s="14"/>
      <c r="L34" s="14"/>
      <c r="M34" s="14"/>
      <c r="N34" s="14"/>
      <c r="O34" s="14"/>
      <c r="P34" s="14"/>
      <c r="Q34" s="14"/>
      <c r="R34" s="14"/>
      <c r="S34" s="14"/>
    </row>
    <row r="35" spans="1:19" ht="36" x14ac:dyDescent="0.25">
      <c r="A35" s="14"/>
      <c r="B35" s="14"/>
      <c r="C35" s="12" t="s">
        <v>459</v>
      </c>
      <c r="D35" s="18"/>
      <c r="E35" s="12"/>
      <c r="F35" s="16" t="s">
        <v>32</v>
      </c>
      <c r="G35" s="16" t="s">
        <v>18</v>
      </c>
      <c r="H35" s="16"/>
      <c r="I35" s="16"/>
      <c r="J35" s="16" t="s">
        <v>20</v>
      </c>
      <c r="K35" s="14"/>
      <c r="L35" s="14"/>
      <c r="M35" s="14"/>
      <c r="N35" s="14"/>
      <c r="O35" s="14"/>
      <c r="P35" s="14"/>
      <c r="Q35" s="14"/>
      <c r="R35" s="14"/>
      <c r="S35" s="14"/>
    </row>
    <row r="36" spans="1:19" ht="36" x14ac:dyDescent="0.25">
      <c r="A36" s="14"/>
      <c r="B36" s="14"/>
      <c r="C36" s="12" t="s">
        <v>459</v>
      </c>
      <c r="D36" s="18"/>
      <c r="E36" s="12"/>
      <c r="F36" s="16" t="s">
        <v>33</v>
      </c>
      <c r="G36" s="16" t="s">
        <v>21</v>
      </c>
      <c r="H36" s="16"/>
      <c r="I36" s="16"/>
      <c r="J36" s="16" t="s">
        <v>448</v>
      </c>
      <c r="K36" s="14"/>
      <c r="L36" s="14"/>
      <c r="M36" s="14"/>
      <c r="N36" s="14"/>
      <c r="O36" s="14"/>
      <c r="P36" s="14"/>
      <c r="Q36" s="14"/>
      <c r="R36" s="14"/>
      <c r="S36" s="14"/>
    </row>
    <row r="37" spans="1:19" ht="36" x14ac:dyDescent="0.25">
      <c r="A37" s="14"/>
      <c r="B37" s="14"/>
      <c r="C37" s="12" t="s">
        <v>459</v>
      </c>
      <c r="D37" s="18"/>
      <c r="E37" s="12"/>
      <c r="F37" s="16" t="s">
        <v>49</v>
      </c>
      <c r="G37" s="16" t="s">
        <v>449</v>
      </c>
      <c r="H37" s="16"/>
      <c r="I37" s="16"/>
      <c r="J37" s="16" t="s">
        <v>467</v>
      </c>
      <c r="K37" s="14"/>
      <c r="L37" s="14"/>
      <c r="M37" s="14"/>
      <c r="N37" s="14"/>
      <c r="O37" s="14"/>
      <c r="P37" s="14"/>
      <c r="Q37" s="14"/>
      <c r="R37" s="14"/>
      <c r="S37" s="14"/>
    </row>
    <row r="38" spans="1:19" ht="36" x14ac:dyDescent="0.25">
      <c r="A38" s="14"/>
      <c r="B38" s="14"/>
      <c r="C38" s="12" t="s">
        <v>459</v>
      </c>
      <c r="D38" s="18"/>
      <c r="E38" s="12"/>
      <c r="F38" s="16" t="s">
        <v>57</v>
      </c>
      <c r="G38" s="50" t="s">
        <v>468</v>
      </c>
      <c r="H38" s="50"/>
      <c r="I38" s="50"/>
      <c r="J38" s="50" t="s">
        <v>469</v>
      </c>
      <c r="K38" s="14"/>
      <c r="L38" s="14"/>
      <c r="M38" s="14"/>
      <c r="N38" s="14"/>
      <c r="O38" s="14"/>
      <c r="P38" s="14"/>
      <c r="Q38" s="14"/>
      <c r="R38" s="14"/>
      <c r="S38" s="14"/>
    </row>
    <row r="39" spans="1:19" ht="36" x14ac:dyDescent="0.25">
      <c r="A39" s="14"/>
      <c r="B39" s="14"/>
      <c r="C39" s="12" t="s">
        <v>459</v>
      </c>
      <c r="D39" s="18"/>
      <c r="E39" s="12"/>
      <c r="F39" s="16" t="s">
        <v>58</v>
      </c>
      <c r="G39" s="50" t="s">
        <v>470</v>
      </c>
      <c r="H39" s="50"/>
      <c r="I39" s="50"/>
      <c r="J39" s="50" t="s">
        <v>471</v>
      </c>
      <c r="K39" s="14"/>
      <c r="L39" s="14"/>
      <c r="M39" s="14"/>
      <c r="N39" s="14"/>
      <c r="O39" s="14"/>
      <c r="P39" s="14"/>
      <c r="Q39" s="14"/>
      <c r="R39" s="14"/>
      <c r="S39" s="14"/>
    </row>
    <row r="40" spans="1:19" ht="36" x14ac:dyDescent="0.25">
      <c r="A40" s="14"/>
      <c r="B40" s="14"/>
      <c r="C40" s="12" t="s">
        <v>459</v>
      </c>
      <c r="D40" s="18"/>
      <c r="E40" s="12"/>
      <c r="F40" s="16" t="s">
        <v>59</v>
      </c>
      <c r="G40" s="50" t="s">
        <v>472</v>
      </c>
      <c r="H40" s="50"/>
      <c r="I40" s="50"/>
      <c r="J40" s="50" t="s">
        <v>473</v>
      </c>
      <c r="K40" s="14"/>
      <c r="L40" s="14"/>
      <c r="M40" s="14"/>
      <c r="N40" s="14"/>
      <c r="O40" s="14"/>
      <c r="P40" s="14"/>
      <c r="Q40" s="14"/>
      <c r="R40" s="14"/>
      <c r="S40" s="14"/>
    </row>
    <row r="41" spans="1:19" ht="60" x14ac:dyDescent="0.25">
      <c r="A41" s="14"/>
      <c r="B41" s="14"/>
      <c r="C41" s="12" t="s">
        <v>459</v>
      </c>
      <c r="D41" s="18"/>
      <c r="E41" s="12"/>
      <c r="F41" s="16" t="s">
        <v>60</v>
      </c>
      <c r="G41" s="16" t="s">
        <v>474</v>
      </c>
      <c r="H41" s="16"/>
      <c r="I41" s="16" t="s">
        <v>475</v>
      </c>
      <c r="J41" s="16" t="s">
        <v>476</v>
      </c>
      <c r="K41" s="14"/>
      <c r="L41" s="14"/>
      <c r="M41" s="14"/>
      <c r="N41" s="14"/>
      <c r="O41" s="14"/>
      <c r="P41" s="14"/>
      <c r="Q41" s="14"/>
      <c r="R41" s="14"/>
      <c r="S41" s="14"/>
    </row>
    <row r="42" spans="1:19" ht="84" x14ac:dyDescent="0.25">
      <c r="A42" s="14"/>
      <c r="B42" s="14"/>
      <c r="C42" s="54" t="s">
        <v>477</v>
      </c>
      <c r="D42" s="12" t="s">
        <v>432</v>
      </c>
      <c r="E42" s="16" t="s">
        <v>478</v>
      </c>
      <c r="F42" s="29" t="s">
        <v>17</v>
      </c>
      <c r="G42" s="16" t="s">
        <v>434</v>
      </c>
      <c r="H42" s="16"/>
      <c r="I42" s="16"/>
      <c r="J42" s="16" t="s">
        <v>80</v>
      </c>
      <c r="K42" s="14"/>
      <c r="L42" s="14"/>
      <c r="M42" s="14"/>
      <c r="N42" s="14"/>
      <c r="O42" s="14"/>
      <c r="P42" s="14"/>
      <c r="Q42" s="14"/>
      <c r="R42" s="14"/>
      <c r="S42" s="14"/>
    </row>
    <row r="43" spans="1:19" ht="36" x14ac:dyDescent="0.25">
      <c r="A43" s="14"/>
      <c r="B43" s="14"/>
      <c r="C43" s="54" t="s">
        <v>477</v>
      </c>
      <c r="D43" s="18"/>
      <c r="E43" s="16"/>
      <c r="F43" s="16" t="s">
        <v>19</v>
      </c>
      <c r="G43" s="16" t="s">
        <v>435</v>
      </c>
      <c r="H43" s="16"/>
      <c r="I43" s="16"/>
      <c r="J43" s="16" t="s">
        <v>80</v>
      </c>
      <c r="K43" s="14"/>
      <c r="L43" s="14"/>
      <c r="M43" s="14"/>
      <c r="N43" s="14"/>
      <c r="O43" s="14"/>
      <c r="P43" s="14"/>
      <c r="Q43" s="14"/>
      <c r="R43" s="14"/>
      <c r="S43" s="14"/>
    </row>
    <row r="44" spans="1:19" ht="36" x14ac:dyDescent="0.25">
      <c r="A44" s="14"/>
      <c r="B44" s="14"/>
      <c r="C44" s="54" t="s">
        <v>477</v>
      </c>
      <c r="D44" s="18"/>
      <c r="E44" s="16"/>
      <c r="F44" s="16" t="s">
        <v>26</v>
      </c>
      <c r="G44" s="16" t="s">
        <v>436</v>
      </c>
      <c r="H44" s="16"/>
      <c r="I44" s="16"/>
      <c r="J44" s="16" t="s">
        <v>80</v>
      </c>
      <c r="K44" s="14"/>
      <c r="L44" s="14"/>
      <c r="M44" s="14"/>
      <c r="N44" s="14"/>
      <c r="O44" s="14"/>
      <c r="P44" s="14"/>
      <c r="Q44" s="14"/>
      <c r="R44" s="14"/>
      <c r="S44" s="14"/>
    </row>
    <row r="45" spans="1:19" ht="60" x14ac:dyDescent="0.25">
      <c r="A45" s="14"/>
      <c r="B45" s="14"/>
      <c r="C45" s="54" t="s">
        <v>477</v>
      </c>
      <c r="D45" s="18"/>
      <c r="E45" s="12"/>
      <c r="F45" s="16" t="s">
        <v>28</v>
      </c>
      <c r="G45" s="16" t="s">
        <v>437</v>
      </c>
      <c r="H45" s="16"/>
      <c r="I45" s="16"/>
      <c r="J45" s="16" t="s">
        <v>438</v>
      </c>
      <c r="K45" s="14"/>
      <c r="L45" s="14"/>
      <c r="M45" s="14"/>
      <c r="N45" s="14"/>
      <c r="O45" s="14"/>
      <c r="P45" s="14"/>
      <c r="Q45" s="14"/>
      <c r="R45" s="14"/>
      <c r="S45" s="14"/>
    </row>
    <row r="46" spans="1:19" ht="60" x14ac:dyDescent="0.25">
      <c r="A46" s="14"/>
      <c r="B46" s="14"/>
      <c r="C46" s="54" t="s">
        <v>477</v>
      </c>
      <c r="D46" s="18"/>
      <c r="E46" s="12"/>
      <c r="F46" s="16" t="s">
        <v>29</v>
      </c>
      <c r="G46" s="16" t="s">
        <v>439</v>
      </c>
      <c r="H46" s="16"/>
      <c r="I46" s="16"/>
      <c r="J46" s="16" t="s">
        <v>440</v>
      </c>
      <c r="K46" s="14"/>
      <c r="L46" s="14"/>
      <c r="M46" s="14"/>
      <c r="N46" s="14"/>
      <c r="O46" s="14"/>
      <c r="P46" s="14"/>
      <c r="Q46" s="14"/>
      <c r="R46" s="14"/>
      <c r="S46" s="14"/>
    </row>
    <row r="47" spans="1:19" ht="36" x14ac:dyDescent="0.25">
      <c r="A47" s="14"/>
      <c r="B47" s="14"/>
      <c r="C47" s="54" t="s">
        <v>477</v>
      </c>
      <c r="D47" s="18"/>
      <c r="E47" s="12"/>
      <c r="F47" s="16" t="s">
        <v>30</v>
      </c>
      <c r="G47" s="16" t="s">
        <v>441</v>
      </c>
      <c r="H47" s="16"/>
      <c r="I47" s="16"/>
      <c r="J47" s="16" t="s">
        <v>442</v>
      </c>
      <c r="K47" s="14"/>
      <c r="L47" s="14"/>
      <c r="M47" s="14"/>
      <c r="N47" s="14"/>
      <c r="O47" s="14"/>
      <c r="P47" s="14"/>
      <c r="Q47" s="14"/>
      <c r="R47" s="14"/>
      <c r="S47" s="14"/>
    </row>
    <row r="48" spans="1:19" ht="84" x14ac:dyDescent="0.25">
      <c r="A48" s="14"/>
      <c r="B48" s="14"/>
      <c r="C48" s="54" t="s">
        <v>477</v>
      </c>
      <c r="D48" s="18"/>
      <c r="E48" s="12"/>
      <c r="F48" s="16" t="s">
        <v>31</v>
      </c>
      <c r="G48" s="16" t="s">
        <v>443</v>
      </c>
      <c r="H48" s="16"/>
      <c r="I48" s="16"/>
      <c r="J48" s="16" t="s">
        <v>444</v>
      </c>
      <c r="K48" s="14"/>
      <c r="L48" s="14"/>
      <c r="M48" s="14"/>
      <c r="N48" s="14"/>
      <c r="O48" s="14"/>
      <c r="P48" s="14"/>
      <c r="Q48" s="14"/>
      <c r="R48" s="14"/>
      <c r="S48" s="14"/>
    </row>
    <row r="49" spans="1:19" ht="72" x14ac:dyDescent="0.25">
      <c r="A49" s="14"/>
      <c r="B49" s="14"/>
      <c r="C49" s="54" t="s">
        <v>477</v>
      </c>
      <c r="D49" s="18"/>
      <c r="E49" s="12"/>
      <c r="F49" s="16" t="s">
        <v>32</v>
      </c>
      <c r="G49" s="16" t="s">
        <v>445</v>
      </c>
      <c r="H49" s="16"/>
      <c r="I49" s="16" t="s">
        <v>446</v>
      </c>
      <c r="J49" s="56" t="s">
        <v>447</v>
      </c>
      <c r="K49" s="14"/>
      <c r="L49" s="14"/>
      <c r="M49" s="14"/>
      <c r="N49" s="14"/>
      <c r="O49" s="14"/>
      <c r="P49" s="14"/>
      <c r="Q49" s="14"/>
      <c r="R49" s="14"/>
      <c r="S49" s="14"/>
    </row>
    <row r="50" spans="1:19" ht="36" x14ac:dyDescent="0.25">
      <c r="A50" s="14"/>
      <c r="B50" s="14"/>
      <c r="C50" s="54" t="s">
        <v>477</v>
      </c>
      <c r="D50" s="18"/>
      <c r="E50" s="12"/>
      <c r="F50" s="16" t="s">
        <v>33</v>
      </c>
      <c r="G50" s="16" t="s">
        <v>18</v>
      </c>
      <c r="H50" s="16"/>
      <c r="I50" s="16"/>
      <c r="J50" s="16" t="s">
        <v>20</v>
      </c>
      <c r="K50" s="14"/>
      <c r="L50" s="14"/>
      <c r="M50" s="14"/>
      <c r="N50" s="14"/>
      <c r="O50" s="14"/>
      <c r="P50" s="14"/>
      <c r="Q50" s="14"/>
      <c r="R50" s="14"/>
      <c r="S50" s="14"/>
    </row>
    <row r="51" spans="1:19" ht="36" x14ac:dyDescent="0.25">
      <c r="A51" s="14"/>
      <c r="B51" s="14"/>
      <c r="C51" s="54" t="s">
        <v>477</v>
      </c>
      <c r="D51" s="18"/>
      <c r="E51" s="12"/>
      <c r="F51" s="16" t="s">
        <v>49</v>
      </c>
      <c r="G51" s="16" t="s">
        <v>21</v>
      </c>
      <c r="H51" s="16"/>
      <c r="I51" s="16"/>
      <c r="J51" s="16" t="s">
        <v>448</v>
      </c>
      <c r="K51" s="14"/>
      <c r="L51" s="14"/>
      <c r="M51" s="14"/>
      <c r="N51" s="14"/>
      <c r="O51" s="14"/>
      <c r="P51" s="14"/>
      <c r="Q51" s="14"/>
      <c r="R51" s="14"/>
      <c r="S51" s="14"/>
    </row>
    <row r="52" spans="1:19" ht="48" x14ac:dyDescent="0.25">
      <c r="A52" s="14"/>
      <c r="B52" s="14"/>
      <c r="C52" s="54" t="s">
        <v>477</v>
      </c>
      <c r="D52" s="18"/>
      <c r="E52" s="12"/>
      <c r="F52" s="16" t="s">
        <v>56</v>
      </c>
      <c r="G52" s="16" t="s">
        <v>449</v>
      </c>
      <c r="H52" s="16"/>
      <c r="I52" s="16"/>
      <c r="J52" s="16" t="s">
        <v>450</v>
      </c>
      <c r="K52" s="14"/>
      <c r="L52" s="14"/>
      <c r="M52" s="14"/>
      <c r="N52" s="14"/>
      <c r="O52" s="14"/>
      <c r="P52" s="14"/>
      <c r="Q52" s="14"/>
      <c r="R52" s="14"/>
      <c r="S52" s="14"/>
    </row>
    <row r="53" spans="1:19" ht="36" x14ac:dyDescent="0.25">
      <c r="A53" s="14"/>
      <c r="B53" s="14"/>
      <c r="C53" s="54" t="s">
        <v>477</v>
      </c>
      <c r="D53" s="18"/>
      <c r="E53" s="12"/>
      <c r="F53" s="16" t="s">
        <v>57</v>
      </c>
      <c r="G53" s="16" t="s">
        <v>171</v>
      </c>
      <c r="H53" s="16"/>
      <c r="I53" s="16"/>
      <c r="J53" s="16" t="s">
        <v>172</v>
      </c>
      <c r="K53" s="14"/>
      <c r="L53" s="14"/>
      <c r="M53" s="14"/>
      <c r="N53" s="14"/>
      <c r="O53" s="14"/>
      <c r="P53" s="14"/>
      <c r="Q53" s="14"/>
      <c r="R53" s="14"/>
      <c r="S53" s="14"/>
    </row>
    <row r="54" spans="1:19" ht="48" x14ac:dyDescent="0.25">
      <c r="A54" s="14"/>
      <c r="B54" s="14"/>
      <c r="C54" s="54" t="s">
        <v>477</v>
      </c>
      <c r="D54" s="18"/>
      <c r="E54" s="12"/>
      <c r="F54" s="16" t="s">
        <v>58</v>
      </c>
      <c r="G54" s="16" t="s">
        <v>451</v>
      </c>
      <c r="H54" s="16"/>
      <c r="I54" s="16" t="s">
        <v>479</v>
      </c>
      <c r="J54" s="16" t="s">
        <v>453</v>
      </c>
      <c r="K54" s="14"/>
      <c r="L54" s="14"/>
      <c r="M54" s="14"/>
      <c r="N54" s="14"/>
      <c r="O54" s="14"/>
      <c r="P54" s="14"/>
      <c r="Q54" s="14"/>
      <c r="R54" s="14"/>
      <c r="S54" s="14"/>
    </row>
    <row r="55" spans="1:19" ht="72" x14ac:dyDescent="0.25">
      <c r="A55" s="14"/>
      <c r="B55" s="14"/>
      <c r="C55" s="54" t="s">
        <v>480</v>
      </c>
      <c r="D55" s="12" t="s">
        <v>432</v>
      </c>
      <c r="E55" s="16" t="s">
        <v>481</v>
      </c>
      <c r="F55" s="29" t="s">
        <v>17</v>
      </c>
      <c r="G55" s="16" t="s">
        <v>456</v>
      </c>
      <c r="H55" s="16"/>
      <c r="I55" s="16"/>
      <c r="J55" s="16" t="s">
        <v>80</v>
      </c>
      <c r="K55" s="14"/>
      <c r="L55" s="14"/>
      <c r="M55" s="14"/>
      <c r="N55" s="14"/>
      <c r="O55" s="14"/>
      <c r="P55" s="14"/>
      <c r="Q55" s="14"/>
      <c r="R55" s="14"/>
      <c r="S55" s="14"/>
    </row>
    <row r="56" spans="1:19" ht="36" x14ac:dyDescent="0.25">
      <c r="A56" s="14"/>
      <c r="B56" s="14"/>
      <c r="C56" s="54" t="s">
        <v>480</v>
      </c>
      <c r="D56" s="18"/>
      <c r="E56" s="16"/>
      <c r="F56" s="16" t="s">
        <v>19</v>
      </c>
      <c r="G56" s="16" t="s">
        <v>435</v>
      </c>
      <c r="H56" s="16"/>
      <c r="I56" s="16"/>
      <c r="J56" s="16" t="s">
        <v>80</v>
      </c>
      <c r="K56" s="14"/>
      <c r="L56" s="14"/>
      <c r="M56" s="14"/>
      <c r="N56" s="14"/>
      <c r="O56" s="14"/>
      <c r="P56" s="14"/>
      <c r="Q56" s="14"/>
      <c r="R56" s="14"/>
      <c r="S56" s="14"/>
    </row>
    <row r="57" spans="1:19" ht="84" x14ac:dyDescent="0.25">
      <c r="A57" s="14"/>
      <c r="B57" s="14"/>
      <c r="C57" s="54" t="s">
        <v>480</v>
      </c>
      <c r="D57" s="18"/>
      <c r="E57" s="16"/>
      <c r="F57" s="16" t="s">
        <v>26</v>
      </c>
      <c r="G57" s="16" t="s">
        <v>482</v>
      </c>
      <c r="H57" s="16"/>
      <c r="I57" s="16"/>
      <c r="J57" s="16" t="s">
        <v>80</v>
      </c>
      <c r="K57" s="14"/>
      <c r="L57" s="14"/>
      <c r="M57" s="14"/>
      <c r="N57" s="14"/>
      <c r="O57" s="14"/>
      <c r="P57" s="14"/>
      <c r="Q57" s="14"/>
      <c r="R57" s="14"/>
      <c r="S57" s="14"/>
    </row>
    <row r="58" spans="1:19" ht="48" x14ac:dyDescent="0.25">
      <c r="A58" s="14"/>
      <c r="B58" s="14"/>
      <c r="C58" s="54" t="s">
        <v>480</v>
      </c>
      <c r="D58" s="18"/>
      <c r="E58" s="12"/>
      <c r="F58" s="16" t="s">
        <v>28</v>
      </c>
      <c r="G58" s="16" t="s">
        <v>437</v>
      </c>
      <c r="H58" s="16"/>
      <c r="I58" s="16"/>
      <c r="J58" s="16" t="s">
        <v>483</v>
      </c>
      <c r="K58" s="14"/>
      <c r="L58" s="14"/>
      <c r="M58" s="14"/>
      <c r="N58" s="14"/>
      <c r="O58" s="14"/>
      <c r="P58" s="14"/>
      <c r="Q58" s="14"/>
      <c r="R58" s="14"/>
      <c r="S58" s="14"/>
    </row>
    <row r="59" spans="1:19" ht="36" x14ac:dyDescent="0.25">
      <c r="A59" s="14"/>
      <c r="B59" s="14"/>
      <c r="C59" s="54" t="s">
        <v>480</v>
      </c>
      <c r="D59" s="18"/>
      <c r="E59" s="12"/>
      <c r="F59" s="16" t="s">
        <v>29</v>
      </c>
      <c r="G59" s="16" t="s">
        <v>18</v>
      </c>
      <c r="H59" s="16"/>
      <c r="I59" s="16"/>
      <c r="J59" s="16" t="s">
        <v>20</v>
      </c>
      <c r="K59" s="14"/>
      <c r="L59" s="14"/>
      <c r="M59" s="14"/>
      <c r="N59" s="14"/>
      <c r="O59" s="14"/>
      <c r="P59" s="14"/>
      <c r="Q59" s="14"/>
      <c r="R59" s="14"/>
      <c r="S59" s="14"/>
    </row>
    <row r="60" spans="1:19" ht="36" x14ac:dyDescent="0.25">
      <c r="A60" s="14"/>
      <c r="B60" s="14"/>
      <c r="C60" s="54" t="s">
        <v>480</v>
      </c>
      <c r="D60" s="18"/>
      <c r="E60" s="12"/>
      <c r="F60" s="16" t="s">
        <v>30</v>
      </c>
      <c r="G60" s="16" t="s">
        <v>21</v>
      </c>
      <c r="H60" s="16"/>
      <c r="I60" s="16"/>
      <c r="J60" s="16" t="s">
        <v>448</v>
      </c>
      <c r="K60" s="14"/>
      <c r="L60" s="14"/>
      <c r="M60" s="14"/>
      <c r="N60" s="14"/>
      <c r="O60" s="14"/>
      <c r="P60" s="14"/>
      <c r="Q60" s="14"/>
      <c r="R60" s="14"/>
      <c r="S60" s="14"/>
    </row>
    <row r="61" spans="1:19" ht="48" x14ac:dyDescent="0.25">
      <c r="A61" s="14"/>
      <c r="B61" s="14"/>
      <c r="C61" s="54" t="s">
        <v>480</v>
      </c>
      <c r="D61" s="18"/>
      <c r="E61" s="12"/>
      <c r="F61" s="16" t="s">
        <v>31</v>
      </c>
      <c r="G61" s="16" t="s">
        <v>449</v>
      </c>
      <c r="H61" s="16"/>
      <c r="I61" s="16"/>
      <c r="J61" s="16" t="s">
        <v>450</v>
      </c>
      <c r="K61" s="14"/>
      <c r="L61" s="14"/>
      <c r="M61" s="14"/>
      <c r="N61" s="14"/>
      <c r="O61" s="14"/>
      <c r="P61" s="14"/>
      <c r="Q61" s="14"/>
      <c r="R61" s="14"/>
      <c r="S61" s="14"/>
    </row>
    <row r="62" spans="1:19" ht="36" x14ac:dyDescent="0.25">
      <c r="A62" s="14"/>
      <c r="B62" s="14"/>
      <c r="C62" s="54" t="s">
        <v>480</v>
      </c>
      <c r="D62" s="18"/>
      <c r="E62" s="12"/>
      <c r="F62" s="16" t="s">
        <v>32</v>
      </c>
      <c r="G62" s="16" t="s">
        <v>171</v>
      </c>
      <c r="H62" s="16"/>
      <c r="I62" s="16"/>
      <c r="J62" s="16" t="s">
        <v>172</v>
      </c>
      <c r="K62" s="14"/>
      <c r="L62" s="14"/>
      <c r="M62" s="14"/>
      <c r="N62" s="14"/>
      <c r="O62" s="14"/>
      <c r="P62" s="14"/>
      <c r="Q62" s="14"/>
      <c r="R62" s="14"/>
      <c r="S62" s="14"/>
    </row>
    <row r="63" spans="1:19" ht="48" x14ac:dyDescent="0.25">
      <c r="A63" s="14"/>
      <c r="B63" s="14"/>
      <c r="C63" s="54" t="s">
        <v>480</v>
      </c>
      <c r="D63" s="18"/>
      <c r="E63" s="12"/>
      <c r="F63" s="16" t="s">
        <v>33</v>
      </c>
      <c r="G63" s="16" t="s">
        <v>451</v>
      </c>
      <c r="H63" s="16"/>
      <c r="I63" s="16" t="s">
        <v>452</v>
      </c>
      <c r="J63" s="16" t="s">
        <v>458</v>
      </c>
      <c r="K63" s="14"/>
      <c r="L63" s="14"/>
      <c r="M63" s="14"/>
      <c r="N63" s="14"/>
      <c r="O63" s="14"/>
      <c r="P63" s="14"/>
      <c r="Q63" s="14"/>
      <c r="R63" s="14"/>
      <c r="S63" s="14"/>
    </row>
    <row r="64" spans="1:19" ht="72" x14ac:dyDescent="0.25">
      <c r="A64" s="14"/>
      <c r="B64" s="14"/>
      <c r="C64" s="12" t="s">
        <v>484</v>
      </c>
      <c r="D64" s="12" t="s">
        <v>432</v>
      </c>
      <c r="E64" s="16" t="s">
        <v>460</v>
      </c>
      <c r="F64" s="29" t="s">
        <v>17</v>
      </c>
      <c r="G64" s="16" t="s">
        <v>461</v>
      </c>
      <c r="H64" s="16"/>
      <c r="I64" s="16"/>
      <c r="J64" s="16" t="s">
        <v>80</v>
      </c>
      <c r="K64" s="14"/>
      <c r="L64" s="14"/>
      <c r="M64" s="14"/>
      <c r="N64" s="14"/>
      <c r="O64" s="14"/>
      <c r="P64" s="14"/>
      <c r="Q64" s="14"/>
      <c r="R64" s="14"/>
      <c r="S64" s="14"/>
    </row>
    <row r="65" spans="1:19" ht="36" x14ac:dyDescent="0.25">
      <c r="A65" s="14"/>
      <c r="B65" s="14"/>
      <c r="C65" s="12" t="s">
        <v>484</v>
      </c>
      <c r="D65" s="18"/>
      <c r="E65" s="16"/>
      <c r="F65" s="16" t="s">
        <v>19</v>
      </c>
      <c r="G65" s="16" t="s">
        <v>435</v>
      </c>
      <c r="H65" s="16"/>
      <c r="I65" s="16"/>
      <c r="J65" s="16" t="s">
        <v>80</v>
      </c>
      <c r="K65" s="14"/>
      <c r="L65" s="14"/>
      <c r="M65" s="14"/>
      <c r="N65" s="14"/>
      <c r="O65" s="14"/>
      <c r="P65" s="14"/>
      <c r="Q65" s="14"/>
      <c r="R65" s="14"/>
      <c r="S65" s="14"/>
    </row>
    <row r="66" spans="1:19" ht="84" x14ac:dyDescent="0.25">
      <c r="A66" s="14"/>
      <c r="B66" s="14"/>
      <c r="C66" s="12" t="s">
        <v>484</v>
      </c>
      <c r="D66" s="18"/>
      <c r="E66" s="16"/>
      <c r="F66" s="16" t="s">
        <v>26</v>
      </c>
      <c r="G66" s="16" t="s">
        <v>457</v>
      </c>
      <c r="H66" s="16"/>
      <c r="I66" s="16"/>
      <c r="J66" s="16" t="s">
        <v>80</v>
      </c>
      <c r="K66" s="14"/>
      <c r="L66" s="14"/>
      <c r="M66" s="14"/>
      <c r="N66" s="14"/>
      <c r="O66" s="14"/>
      <c r="P66" s="14"/>
      <c r="Q66" s="14"/>
      <c r="R66" s="14"/>
      <c r="S66" s="14"/>
    </row>
    <row r="67" spans="1:19" ht="48" x14ac:dyDescent="0.25">
      <c r="A67" s="14"/>
      <c r="B67" s="14"/>
      <c r="C67" s="12" t="s">
        <v>484</v>
      </c>
      <c r="D67" s="18"/>
      <c r="E67" s="12"/>
      <c r="F67" s="16" t="s">
        <v>28</v>
      </c>
      <c r="G67" s="16" t="s">
        <v>462</v>
      </c>
      <c r="H67" s="16"/>
      <c r="I67" s="16"/>
      <c r="J67" s="16" t="s">
        <v>483</v>
      </c>
      <c r="K67" s="14"/>
      <c r="L67" s="14"/>
      <c r="M67" s="14"/>
      <c r="N67" s="14"/>
      <c r="O67" s="14"/>
      <c r="P67" s="14"/>
      <c r="Q67" s="14"/>
      <c r="R67" s="14"/>
      <c r="S67" s="14"/>
    </row>
    <row r="68" spans="1:19" ht="36" x14ac:dyDescent="0.25">
      <c r="A68" s="14"/>
      <c r="B68" s="14"/>
      <c r="C68" s="12" t="s">
        <v>484</v>
      </c>
      <c r="D68" s="18"/>
      <c r="E68" s="12"/>
      <c r="F68" s="16" t="s">
        <v>29</v>
      </c>
      <c r="G68" s="16" t="s">
        <v>18</v>
      </c>
      <c r="H68" s="16"/>
      <c r="I68" s="16"/>
      <c r="J68" s="16" t="s">
        <v>20</v>
      </c>
      <c r="K68" s="14"/>
      <c r="L68" s="14"/>
      <c r="M68" s="14"/>
      <c r="N68" s="14"/>
      <c r="O68" s="14"/>
      <c r="P68" s="14"/>
      <c r="Q68" s="14"/>
      <c r="R68" s="14"/>
      <c r="S68" s="14"/>
    </row>
    <row r="69" spans="1:19" ht="36" x14ac:dyDescent="0.25">
      <c r="A69" s="14"/>
      <c r="B69" s="14"/>
      <c r="C69" s="12" t="s">
        <v>484</v>
      </c>
      <c r="D69" s="18"/>
      <c r="E69" s="12"/>
      <c r="F69" s="16" t="s">
        <v>30</v>
      </c>
      <c r="G69" s="16" t="s">
        <v>21</v>
      </c>
      <c r="H69" s="16"/>
      <c r="I69" s="16"/>
      <c r="J69" s="16" t="s">
        <v>448</v>
      </c>
      <c r="K69" s="14"/>
      <c r="L69" s="14"/>
      <c r="M69" s="14"/>
      <c r="N69" s="14"/>
      <c r="O69" s="14"/>
      <c r="P69" s="14"/>
      <c r="Q69" s="14"/>
      <c r="R69" s="14"/>
      <c r="S69" s="14"/>
    </row>
    <row r="70" spans="1:19" ht="36" x14ac:dyDescent="0.25">
      <c r="A70" s="14"/>
      <c r="B70" s="14"/>
      <c r="C70" s="12" t="s">
        <v>484</v>
      </c>
      <c r="D70" s="18"/>
      <c r="E70" s="12"/>
      <c r="F70" s="16" t="s">
        <v>31</v>
      </c>
      <c r="G70" s="16" t="s">
        <v>449</v>
      </c>
      <c r="H70" s="16"/>
      <c r="I70" s="16"/>
      <c r="J70" s="16" t="s">
        <v>467</v>
      </c>
      <c r="K70" s="14"/>
      <c r="L70" s="14"/>
      <c r="M70" s="14"/>
      <c r="N70" s="14"/>
      <c r="O70" s="14"/>
      <c r="P70" s="14"/>
      <c r="Q70" s="14"/>
      <c r="R70" s="14"/>
      <c r="S70" s="14"/>
    </row>
    <row r="71" spans="1:19" ht="36" x14ac:dyDescent="0.25">
      <c r="A71" s="14"/>
      <c r="B71" s="14"/>
      <c r="C71" s="12" t="s">
        <v>484</v>
      </c>
      <c r="D71" s="18"/>
      <c r="E71" s="12"/>
      <c r="F71" s="16" t="s">
        <v>32</v>
      </c>
      <c r="G71" s="50" t="s">
        <v>468</v>
      </c>
      <c r="H71" s="50"/>
      <c r="I71" s="50"/>
      <c r="J71" s="50" t="s">
        <v>469</v>
      </c>
      <c r="K71" s="14"/>
      <c r="L71" s="14"/>
      <c r="M71" s="14"/>
      <c r="N71" s="14"/>
      <c r="O71" s="14"/>
      <c r="P71" s="14"/>
      <c r="Q71" s="14"/>
      <c r="R71" s="14"/>
      <c r="S71" s="14"/>
    </row>
    <row r="72" spans="1:19" ht="36" x14ac:dyDescent="0.25">
      <c r="A72" s="14"/>
      <c r="B72" s="14"/>
      <c r="C72" s="12" t="s">
        <v>484</v>
      </c>
      <c r="D72" s="18"/>
      <c r="E72" s="12"/>
      <c r="F72" s="16" t="s">
        <v>33</v>
      </c>
      <c r="G72" s="50" t="s">
        <v>470</v>
      </c>
      <c r="H72" s="50"/>
      <c r="I72" s="50"/>
      <c r="J72" s="50" t="s">
        <v>471</v>
      </c>
      <c r="K72" s="14"/>
      <c r="L72" s="14"/>
      <c r="M72" s="14"/>
      <c r="N72" s="14"/>
      <c r="O72" s="14"/>
      <c r="P72" s="14"/>
      <c r="Q72" s="14"/>
      <c r="R72" s="14"/>
      <c r="S72" s="14"/>
    </row>
    <row r="73" spans="1:19" ht="36" x14ac:dyDescent="0.25">
      <c r="A73" s="14"/>
      <c r="B73" s="14"/>
      <c r="C73" s="12" t="s">
        <v>484</v>
      </c>
      <c r="D73" s="18"/>
      <c r="E73" s="12"/>
      <c r="F73" s="16" t="s">
        <v>49</v>
      </c>
      <c r="G73" s="50" t="s">
        <v>472</v>
      </c>
      <c r="H73" s="50"/>
      <c r="I73" s="50"/>
      <c r="J73" s="50" t="s">
        <v>473</v>
      </c>
      <c r="K73" s="14"/>
      <c r="L73" s="14"/>
      <c r="M73" s="14"/>
      <c r="N73" s="14"/>
      <c r="O73" s="14"/>
      <c r="P73" s="14"/>
      <c r="Q73" s="14"/>
      <c r="R73" s="14"/>
      <c r="S73" s="14"/>
    </row>
    <row r="74" spans="1:19" ht="60" x14ac:dyDescent="0.25">
      <c r="A74" s="14"/>
      <c r="B74" s="14"/>
      <c r="C74" s="12" t="s">
        <v>484</v>
      </c>
      <c r="D74" s="18"/>
      <c r="E74" s="12"/>
      <c r="F74" s="16" t="s">
        <v>56</v>
      </c>
      <c r="G74" s="16" t="s">
        <v>474</v>
      </c>
      <c r="H74" s="16"/>
      <c r="I74" s="16" t="s">
        <v>475</v>
      </c>
      <c r="J74" s="16" t="s">
        <v>476</v>
      </c>
      <c r="K74" s="14"/>
      <c r="L74" s="14"/>
      <c r="M74" s="14"/>
      <c r="N74" s="14"/>
      <c r="O74" s="14"/>
      <c r="P74" s="14"/>
      <c r="Q74" s="14"/>
      <c r="R74" s="14"/>
      <c r="S74"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1"/>
  <sheetViews>
    <sheetView workbookViewId="0"/>
  </sheetViews>
  <sheetFormatPr defaultRowHeight="15" x14ac:dyDescent="0.25"/>
  <cols>
    <col min="1" max="1" width="59.7109375" customWidth="1"/>
    <col min="2" max="2" width="48.140625" customWidth="1"/>
  </cols>
  <sheetData>
    <row r="1" spans="1:2" x14ac:dyDescent="0.25">
      <c r="A1" s="93" t="s">
        <v>553</v>
      </c>
      <c r="B1" s="93" t="s">
        <v>554</v>
      </c>
    </row>
    <row r="2" spans="1:2" s="3" customFormat="1" ht="90" x14ac:dyDescent="0.25">
      <c r="A2" s="94" t="s">
        <v>562</v>
      </c>
      <c r="B2" s="94" t="s">
        <v>365</v>
      </c>
    </row>
    <row r="3" spans="1:2" s="3" customFormat="1" ht="45" x14ac:dyDescent="0.25">
      <c r="A3" s="94" t="s">
        <v>563</v>
      </c>
      <c r="B3" s="94" t="s">
        <v>386</v>
      </c>
    </row>
    <row r="4" spans="1:2" s="3" customFormat="1" ht="45" x14ac:dyDescent="0.25">
      <c r="A4" s="94" t="s">
        <v>564</v>
      </c>
      <c r="B4" s="94" t="s">
        <v>401</v>
      </c>
    </row>
    <row r="5" spans="1:2" ht="90" x14ac:dyDescent="0.25">
      <c r="A5" s="94" t="s">
        <v>555</v>
      </c>
      <c r="B5" s="94" t="s">
        <v>121</v>
      </c>
    </row>
    <row r="6" spans="1:2" ht="60" x14ac:dyDescent="0.25">
      <c r="A6" s="94" t="s">
        <v>556</v>
      </c>
      <c r="B6" s="94" t="s">
        <v>132</v>
      </c>
    </row>
    <row r="7" spans="1:2" ht="45" x14ac:dyDescent="0.25">
      <c r="A7" s="94" t="s">
        <v>557</v>
      </c>
      <c r="B7" s="94" t="s">
        <v>87</v>
      </c>
    </row>
    <row r="8" spans="1:2" ht="45" x14ac:dyDescent="0.25">
      <c r="A8" s="94" t="s">
        <v>558</v>
      </c>
      <c r="B8" s="94" t="s">
        <v>88</v>
      </c>
    </row>
    <row r="9" spans="1:2" ht="30" x14ac:dyDescent="0.25">
      <c r="A9" s="94" t="s">
        <v>559</v>
      </c>
      <c r="B9" s="94" t="s">
        <v>167</v>
      </c>
    </row>
    <row r="10" spans="1:2" ht="30" x14ac:dyDescent="0.25">
      <c r="A10" s="94" t="s">
        <v>560</v>
      </c>
      <c r="B10" s="94" t="s">
        <v>183</v>
      </c>
    </row>
    <row r="11" spans="1:2" ht="30" x14ac:dyDescent="0.25">
      <c r="A11" s="94" t="s">
        <v>561</v>
      </c>
      <c r="B11" s="94" t="s">
        <v>198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68"/>
  <sheetViews>
    <sheetView topLeftCell="A35" workbookViewId="0">
      <selection activeCell="A66" sqref="A66"/>
    </sheetView>
  </sheetViews>
  <sheetFormatPr defaultRowHeight="15" x14ac:dyDescent="0.25"/>
  <cols>
    <col min="1" max="1" width="59" style="1" customWidth="1"/>
    <col min="2" max="2" width="80.5703125" style="1" customWidth="1"/>
    <col min="3" max="3" width="39.7109375" bestFit="1" customWidth="1"/>
    <col min="4" max="4" width="119.85546875" bestFit="1" customWidth="1"/>
  </cols>
  <sheetData>
    <row r="1" spans="1:4" x14ac:dyDescent="0.25">
      <c r="A1" s="87" t="s">
        <v>90</v>
      </c>
      <c r="B1" s="87" t="s">
        <v>91</v>
      </c>
      <c r="D1" s="3" t="s">
        <v>419</v>
      </c>
    </row>
    <row r="2" spans="1:4" ht="15.75" x14ac:dyDescent="0.25">
      <c r="A2" s="88" t="s">
        <v>92</v>
      </c>
      <c r="B2" s="87" t="s">
        <v>87</v>
      </c>
      <c r="C2" t="e">
        <f>LOOKUP(D2,B2:B68)</f>
        <v>#N/A</v>
      </c>
      <c r="D2" s="98" t="s">
        <v>618</v>
      </c>
    </row>
    <row r="3" spans="1:4" ht="15.75" x14ac:dyDescent="0.25">
      <c r="A3" s="88" t="s">
        <v>93</v>
      </c>
      <c r="B3" s="87" t="s">
        <v>88</v>
      </c>
      <c r="C3" s="3" t="str">
        <f>LOOKUP(D3,B2:B68)</f>
        <v>TC_OBI_004_PM1.4_Exclusion_Condition_4</v>
      </c>
      <c r="D3" s="98" t="s">
        <v>192</v>
      </c>
    </row>
    <row r="4" spans="1:4" x14ac:dyDescent="0.25">
      <c r="A4" s="87" t="s">
        <v>95</v>
      </c>
      <c r="B4" s="87" t="s">
        <v>94</v>
      </c>
      <c r="D4" s="98" t="s">
        <v>454</v>
      </c>
    </row>
    <row r="5" spans="1:4" x14ac:dyDescent="0.25">
      <c r="A5" s="87" t="s">
        <v>101</v>
      </c>
      <c r="B5" s="87" t="s">
        <v>96</v>
      </c>
      <c r="D5" s="98" t="s">
        <v>459</v>
      </c>
    </row>
    <row r="6" spans="1:4" x14ac:dyDescent="0.25">
      <c r="A6" s="87" t="s">
        <v>102</v>
      </c>
      <c r="B6" s="87" t="s">
        <v>98</v>
      </c>
      <c r="D6" s="98" t="s">
        <v>645</v>
      </c>
    </row>
    <row r="7" spans="1:4" x14ac:dyDescent="0.25">
      <c r="A7" s="87" t="s">
        <v>103</v>
      </c>
      <c r="B7" s="87" t="s">
        <v>104</v>
      </c>
      <c r="D7" s="98" t="s">
        <v>647</v>
      </c>
    </row>
    <row r="8" spans="1:4" ht="30" x14ac:dyDescent="0.25">
      <c r="A8" s="87" t="s">
        <v>113</v>
      </c>
      <c r="B8" s="87" t="s">
        <v>106</v>
      </c>
      <c r="D8" s="98" t="s">
        <v>224</v>
      </c>
    </row>
    <row r="9" spans="1:4" ht="30" x14ac:dyDescent="0.25">
      <c r="A9" s="87" t="s">
        <v>109</v>
      </c>
      <c r="B9" s="87" t="s">
        <v>110</v>
      </c>
      <c r="D9" s="98" t="s">
        <v>235</v>
      </c>
    </row>
    <row r="10" spans="1:4" ht="30" x14ac:dyDescent="0.25">
      <c r="A10" s="87" t="s">
        <v>112</v>
      </c>
      <c r="B10" s="87" t="s">
        <v>106</v>
      </c>
      <c r="D10" s="98" t="s">
        <v>653</v>
      </c>
    </row>
    <row r="11" spans="1:4" x14ac:dyDescent="0.25">
      <c r="A11" s="87" t="s">
        <v>114</v>
      </c>
      <c r="B11" s="87" t="s">
        <v>115</v>
      </c>
      <c r="D11" s="98" t="s">
        <v>672</v>
      </c>
    </row>
    <row r="12" spans="1:4" x14ac:dyDescent="0.25">
      <c r="A12" s="87" t="s">
        <v>122</v>
      </c>
      <c r="B12" s="87" t="s">
        <v>121</v>
      </c>
      <c r="D12" s="98" t="s">
        <v>702</v>
      </c>
    </row>
    <row r="13" spans="1:4" ht="30" x14ac:dyDescent="0.25">
      <c r="A13" s="87" t="s">
        <v>123</v>
      </c>
      <c r="B13" s="87" t="s">
        <v>124</v>
      </c>
      <c r="D13" s="98" t="s">
        <v>124</v>
      </c>
    </row>
    <row r="14" spans="1:4" ht="30" x14ac:dyDescent="0.25">
      <c r="A14" s="87" t="s">
        <v>126</v>
      </c>
      <c r="B14" s="87" t="s">
        <v>127</v>
      </c>
      <c r="D14" s="98" t="s">
        <v>127</v>
      </c>
    </row>
    <row r="15" spans="1:4" ht="25.5" x14ac:dyDescent="0.25">
      <c r="A15" s="87" t="s">
        <v>129</v>
      </c>
      <c r="B15" s="21" t="s">
        <v>132</v>
      </c>
      <c r="D15" s="98" t="s">
        <v>735</v>
      </c>
    </row>
    <row r="16" spans="1:4" ht="30" x14ac:dyDescent="0.25">
      <c r="A16" s="87" t="s">
        <v>130</v>
      </c>
      <c r="B16" s="87" t="s">
        <v>133</v>
      </c>
      <c r="D16" s="98" t="s">
        <v>386</v>
      </c>
    </row>
    <row r="17" spans="1:4" x14ac:dyDescent="0.25">
      <c r="A17" s="87" t="s">
        <v>137</v>
      </c>
      <c r="B17" s="87" t="s">
        <v>135</v>
      </c>
      <c r="D17" s="98" t="s">
        <v>98</v>
      </c>
    </row>
    <row r="18" spans="1:4" x14ac:dyDescent="0.25">
      <c r="A18" s="87" t="s">
        <v>141</v>
      </c>
      <c r="B18" s="87" t="s">
        <v>138</v>
      </c>
      <c r="D18" s="98" t="s">
        <v>257</v>
      </c>
    </row>
    <row r="19" spans="1:4" ht="45" x14ac:dyDescent="0.25">
      <c r="A19" s="87" t="s">
        <v>148</v>
      </c>
      <c r="B19" s="87" t="s">
        <v>256</v>
      </c>
      <c r="D19" s="98" t="s">
        <v>106</v>
      </c>
    </row>
    <row r="20" spans="1:4" x14ac:dyDescent="0.25">
      <c r="A20" s="87" t="s">
        <v>149</v>
      </c>
      <c r="B20" s="87" t="s">
        <v>257</v>
      </c>
      <c r="D20" s="98" t="s">
        <v>110</v>
      </c>
    </row>
    <row r="21" spans="1:4" ht="30" x14ac:dyDescent="0.25">
      <c r="A21" s="87" t="s">
        <v>154</v>
      </c>
      <c r="B21" s="87" t="s">
        <v>144</v>
      </c>
      <c r="D21" s="98" t="s">
        <v>115</v>
      </c>
    </row>
    <row r="22" spans="1:4" ht="30" x14ac:dyDescent="0.25">
      <c r="A22" s="87" t="s">
        <v>213</v>
      </c>
      <c r="B22" s="87" t="s">
        <v>199</v>
      </c>
      <c r="D22" s="98" t="s">
        <v>117</v>
      </c>
    </row>
    <row r="23" spans="1:4" x14ac:dyDescent="0.25">
      <c r="A23" s="87" t="s">
        <v>214</v>
      </c>
      <c r="B23" s="87" t="s">
        <v>177</v>
      </c>
      <c r="D23" s="98" t="s">
        <v>238</v>
      </c>
    </row>
    <row r="24" spans="1:4" x14ac:dyDescent="0.25">
      <c r="A24" s="87" t="s">
        <v>215</v>
      </c>
      <c r="B24" s="87" t="s">
        <v>183</v>
      </c>
      <c r="D24" s="98" t="s">
        <v>239</v>
      </c>
    </row>
    <row r="25" spans="1:4" ht="30" x14ac:dyDescent="0.25">
      <c r="A25" s="87" t="s">
        <v>216</v>
      </c>
      <c r="B25" s="87" t="s">
        <v>186</v>
      </c>
      <c r="D25" s="98" t="s">
        <v>240</v>
      </c>
    </row>
    <row r="26" spans="1:4" ht="30" x14ac:dyDescent="0.25">
      <c r="A26" s="87" t="s">
        <v>217</v>
      </c>
      <c r="B26" s="87" t="s">
        <v>188</v>
      </c>
      <c r="D26" s="98" t="s">
        <v>241</v>
      </c>
    </row>
    <row r="27" spans="1:4" ht="30" x14ac:dyDescent="0.25">
      <c r="A27" s="87" t="s">
        <v>218</v>
      </c>
      <c r="B27" s="87" t="s">
        <v>191</v>
      </c>
      <c r="D27" s="98" t="s">
        <v>242</v>
      </c>
    </row>
    <row r="28" spans="1:4" ht="30" x14ac:dyDescent="0.25">
      <c r="A28" s="87" t="s">
        <v>219</v>
      </c>
      <c r="B28" s="87" t="s">
        <v>198</v>
      </c>
      <c r="D28" s="98" t="s">
        <v>244</v>
      </c>
    </row>
    <row r="29" spans="1:4" ht="30" x14ac:dyDescent="0.25">
      <c r="A29" s="87" t="s">
        <v>220</v>
      </c>
      <c r="B29" s="87" t="s">
        <v>207</v>
      </c>
      <c r="D29" s="98" t="s">
        <v>247</v>
      </c>
    </row>
    <row r="30" spans="1:4" ht="30" x14ac:dyDescent="0.25">
      <c r="A30" s="87" t="s">
        <v>222</v>
      </c>
      <c r="B30" s="87" t="s">
        <v>239</v>
      </c>
      <c r="D30" s="98" t="s">
        <v>531</v>
      </c>
    </row>
    <row r="31" spans="1:4" ht="45" x14ac:dyDescent="0.25">
      <c r="A31" s="87" t="s">
        <v>228</v>
      </c>
      <c r="B31" s="87" t="s">
        <v>246</v>
      </c>
      <c r="D31" s="98" t="s">
        <v>87</v>
      </c>
    </row>
    <row r="32" spans="1:4" x14ac:dyDescent="0.25">
      <c r="A32" s="87" t="s">
        <v>231</v>
      </c>
      <c r="B32" s="87" t="s">
        <v>241</v>
      </c>
      <c r="D32" s="98" t="s">
        <v>88</v>
      </c>
    </row>
    <row r="33" spans="1:4" ht="30" x14ac:dyDescent="0.25">
      <c r="A33" s="87" t="s">
        <v>233</v>
      </c>
      <c r="B33" s="87" t="s">
        <v>242</v>
      </c>
      <c r="D33" s="98" t="s">
        <v>535</v>
      </c>
    </row>
    <row r="34" spans="1:4" ht="45" x14ac:dyDescent="0.25">
      <c r="A34" s="87" t="s">
        <v>236</v>
      </c>
      <c r="B34" s="87" t="s">
        <v>245</v>
      </c>
      <c r="D34" s="98" t="s">
        <v>96</v>
      </c>
    </row>
    <row r="35" spans="1:4" ht="45" x14ac:dyDescent="0.25">
      <c r="A35" s="87" t="s">
        <v>252</v>
      </c>
      <c r="B35" s="87" t="s">
        <v>253</v>
      </c>
      <c r="D35" s="98" t="s">
        <v>94</v>
      </c>
    </row>
    <row r="36" spans="1:4" ht="30" x14ac:dyDescent="0.25">
      <c r="A36" s="87" t="s">
        <v>254</v>
      </c>
      <c r="B36" s="87" t="s">
        <v>132</v>
      </c>
      <c r="D36" s="98" t="s">
        <v>259</v>
      </c>
    </row>
    <row r="37" spans="1:4" x14ac:dyDescent="0.25">
      <c r="A37" s="87" t="s">
        <v>258</v>
      </c>
      <c r="B37" s="87" t="s">
        <v>259</v>
      </c>
      <c r="D37" s="98" t="s">
        <v>167</v>
      </c>
    </row>
    <row r="38" spans="1:4" ht="285" x14ac:dyDescent="0.25">
      <c r="A38" s="89" t="s">
        <v>514</v>
      </c>
      <c r="B38" s="4" t="s">
        <v>364</v>
      </c>
      <c r="D38" s="98" t="s">
        <v>537</v>
      </c>
    </row>
    <row r="39" spans="1:4" x14ac:dyDescent="0.25">
      <c r="A39" s="57" t="s">
        <v>485</v>
      </c>
      <c r="B39" s="87" t="s">
        <v>337</v>
      </c>
      <c r="D39" s="98" t="s">
        <v>183</v>
      </c>
    </row>
    <row r="40" spans="1:4" ht="30" x14ac:dyDescent="0.25">
      <c r="A40" s="57" t="s">
        <v>486</v>
      </c>
      <c r="B40" s="87" t="s">
        <v>342</v>
      </c>
      <c r="D40" s="98" t="s">
        <v>188</v>
      </c>
    </row>
    <row r="41" spans="1:4" x14ac:dyDescent="0.25">
      <c r="A41" s="57" t="s">
        <v>487</v>
      </c>
      <c r="B41" s="87" t="s">
        <v>316</v>
      </c>
      <c r="D41" s="98" t="s">
        <v>198</v>
      </c>
    </row>
    <row r="42" spans="1:4" x14ac:dyDescent="0.25">
      <c r="A42" s="57" t="s">
        <v>488</v>
      </c>
      <c r="B42" s="87" t="s">
        <v>316</v>
      </c>
      <c r="D42" s="98" t="s">
        <v>204</v>
      </c>
    </row>
    <row r="43" spans="1:4" x14ac:dyDescent="0.25">
      <c r="A43" s="57" t="s">
        <v>489</v>
      </c>
      <c r="B43" s="92" t="s">
        <v>350</v>
      </c>
      <c r="D43" s="98" t="s">
        <v>206</v>
      </c>
    </row>
    <row r="44" spans="1:4" x14ac:dyDescent="0.25">
      <c r="A44" s="57" t="s">
        <v>490</v>
      </c>
      <c r="B44" s="87" t="s">
        <v>355</v>
      </c>
      <c r="D44" s="98" t="s">
        <v>398</v>
      </c>
    </row>
    <row r="45" spans="1:4" x14ac:dyDescent="0.25">
      <c r="A45" s="57" t="s">
        <v>491</v>
      </c>
      <c r="B45" s="87" t="s">
        <v>365</v>
      </c>
      <c r="D45" s="98" t="s">
        <v>401</v>
      </c>
    </row>
    <row r="46" spans="1:4" ht="15.75" x14ac:dyDescent="0.25">
      <c r="A46" s="85" t="s">
        <v>492</v>
      </c>
      <c r="B46" s="87" t="s">
        <v>493</v>
      </c>
      <c r="D46" s="98" t="s">
        <v>365</v>
      </c>
    </row>
    <row r="47" spans="1:4" ht="15.75" x14ac:dyDescent="0.25">
      <c r="A47" s="85" t="s">
        <v>494</v>
      </c>
      <c r="B47" s="89" t="s">
        <v>495</v>
      </c>
      <c r="D47" s="98" t="s">
        <v>538</v>
      </c>
    </row>
    <row r="48" spans="1:4" ht="15.75" x14ac:dyDescent="0.25">
      <c r="A48" s="85" t="s">
        <v>496</v>
      </c>
      <c r="B48" s="89" t="s">
        <v>497</v>
      </c>
      <c r="D48" s="98" t="s">
        <v>619</v>
      </c>
    </row>
    <row r="49" spans="1:4" x14ac:dyDescent="0.25">
      <c r="A49" s="90" t="s">
        <v>498</v>
      </c>
      <c r="B49" s="87" t="s">
        <v>499</v>
      </c>
      <c r="D49" s="98" t="s">
        <v>539</v>
      </c>
    </row>
    <row r="50" spans="1:4" x14ac:dyDescent="0.25">
      <c r="A50" s="90" t="s">
        <v>500</v>
      </c>
      <c r="B50" s="87" t="s">
        <v>499</v>
      </c>
      <c r="D50" s="98" t="s">
        <v>132</v>
      </c>
    </row>
    <row r="51" spans="1:4" x14ac:dyDescent="0.25">
      <c r="A51" s="90" t="s">
        <v>501</v>
      </c>
      <c r="B51" s="87" t="s">
        <v>499</v>
      </c>
      <c r="D51" s="98" t="s">
        <v>540</v>
      </c>
    </row>
    <row r="52" spans="1:4" x14ac:dyDescent="0.25">
      <c r="A52" s="90" t="s">
        <v>502</v>
      </c>
      <c r="B52" s="87" t="s">
        <v>499</v>
      </c>
      <c r="D52" s="98" t="s">
        <v>133</v>
      </c>
    </row>
    <row r="53" spans="1:4" x14ac:dyDescent="0.25">
      <c r="A53" s="90" t="s">
        <v>503</v>
      </c>
      <c r="B53" s="87" t="s">
        <v>499</v>
      </c>
      <c r="D53" s="98" t="s">
        <v>541</v>
      </c>
    </row>
    <row r="54" spans="1:4" x14ac:dyDescent="0.25">
      <c r="A54" s="91" t="s">
        <v>504</v>
      </c>
      <c r="B54" s="87" t="s">
        <v>505</v>
      </c>
      <c r="D54" s="98" t="s">
        <v>135</v>
      </c>
    </row>
    <row r="55" spans="1:4" x14ac:dyDescent="0.25">
      <c r="A55" s="91" t="s">
        <v>506</v>
      </c>
      <c r="B55" s="87" t="s">
        <v>507</v>
      </c>
      <c r="D55" s="98" t="s">
        <v>255</v>
      </c>
    </row>
    <row r="56" spans="1:4" x14ac:dyDescent="0.25">
      <c r="A56" s="91" t="s">
        <v>508</v>
      </c>
      <c r="B56" s="87" t="s">
        <v>509</v>
      </c>
      <c r="D56" s="98" t="s">
        <v>825</v>
      </c>
    </row>
    <row r="57" spans="1:4" ht="30" x14ac:dyDescent="0.25">
      <c r="A57" s="91" t="s">
        <v>510</v>
      </c>
      <c r="B57" s="87" t="s">
        <v>511</v>
      </c>
      <c r="D57" s="98" t="s">
        <v>142</v>
      </c>
    </row>
    <row r="58" spans="1:4" ht="15.75" x14ac:dyDescent="0.25">
      <c r="A58" s="85" t="s">
        <v>512</v>
      </c>
      <c r="B58" s="89" t="s">
        <v>537</v>
      </c>
      <c r="D58" s="98" t="s">
        <v>250</v>
      </c>
    </row>
    <row r="59" spans="1:4" ht="15.75" x14ac:dyDescent="0.25">
      <c r="A59" s="85" t="s">
        <v>513</v>
      </c>
      <c r="B59" s="89" t="s">
        <v>538</v>
      </c>
      <c r="D59" s="98" t="s">
        <v>544</v>
      </c>
    </row>
    <row r="60" spans="1:4" x14ac:dyDescent="0.25">
      <c r="A60" s="87" t="s">
        <v>532</v>
      </c>
      <c r="B60" s="87" t="s">
        <v>530</v>
      </c>
      <c r="D60" s="98" t="s">
        <v>545</v>
      </c>
    </row>
    <row r="61" spans="1:4" ht="15.75" x14ac:dyDescent="0.25">
      <c r="A61" s="85" t="s">
        <v>534</v>
      </c>
      <c r="B61" s="87" t="s">
        <v>531</v>
      </c>
      <c r="D61" s="98" t="s">
        <v>546</v>
      </c>
    </row>
    <row r="62" spans="1:4" ht="15.75" x14ac:dyDescent="0.25">
      <c r="A62" s="85" t="s">
        <v>536</v>
      </c>
      <c r="B62" s="87" t="s">
        <v>535</v>
      </c>
    </row>
    <row r="63" spans="1:4" x14ac:dyDescent="0.25">
      <c r="A63" s="87" t="s">
        <v>485</v>
      </c>
      <c r="B63" s="87" t="s">
        <v>539</v>
      </c>
    </row>
    <row r="64" spans="1:4" ht="30" x14ac:dyDescent="0.25">
      <c r="A64" s="87" t="s">
        <v>486</v>
      </c>
      <c r="B64" s="87" t="s">
        <v>540</v>
      </c>
    </row>
    <row r="65" spans="1:2" ht="15.75" x14ac:dyDescent="0.25">
      <c r="A65" s="85" t="s">
        <v>542</v>
      </c>
      <c r="B65" s="87" t="s">
        <v>541</v>
      </c>
    </row>
    <row r="66" spans="1:2" ht="15.75" x14ac:dyDescent="0.25">
      <c r="A66" s="85" t="s">
        <v>489</v>
      </c>
      <c r="B66" s="87" t="s">
        <v>544</v>
      </c>
    </row>
    <row r="67" spans="1:2" x14ac:dyDescent="0.25">
      <c r="A67" s="87" t="s">
        <v>490</v>
      </c>
      <c r="B67" s="87" t="s">
        <v>545</v>
      </c>
    </row>
    <row r="68" spans="1:2" x14ac:dyDescent="0.25">
      <c r="A68" s="87" t="s">
        <v>533</v>
      </c>
      <c r="B68" s="87" t="s">
        <v>546</v>
      </c>
    </row>
  </sheetData>
  <autoFilter ref="A1:B68"/>
  <conditionalFormatting sqref="A2:A3">
    <cfRule type="duplicateValues" dxfId="5" priority="6"/>
  </conditionalFormatting>
  <conditionalFormatting sqref="A2:A3">
    <cfRule type="duplicateValues" dxfId="4" priority="5"/>
  </conditionalFormatting>
  <conditionalFormatting sqref="A61:A62">
    <cfRule type="duplicateValues" dxfId="3" priority="4"/>
  </conditionalFormatting>
  <conditionalFormatting sqref="A61:A62">
    <cfRule type="duplicateValues" dxfId="2" priority="3"/>
  </conditionalFormatting>
  <conditionalFormatting sqref="A65:A66">
    <cfRule type="duplicateValues" dxfId="1" priority="2"/>
  </conditionalFormatting>
  <conditionalFormatting sqref="A65:A66">
    <cfRule type="duplicateValues" dxfId="0"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Test_Cases</vt:lpstr>
      <vt:lpstr>Written -CR109-Exempted CH</vt:lpstr>
      <vt:lpstr>Written -CR109-Missed CH</vt:lpstr>
      <vt:lpstr>Written -CR109 Summart &amp; Mid </vt:lpstr>
      <vt:lpstr>Written -Manual PM overrides</vt:lpstr>
      <vt:lpstr>Written -Exclusions</vt:lpstr>
      <vt:lpstr>Written -PA Report</vt:lpstr>
      <vt:lpstr>Written -Email</vt:lpstr>
      <vt:lpstr>Scenarios</vt:lpstr>
      <vt:lpstr>RTM</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2017-11-30T05:23:07Z</dcterms:modified>
</cp:coreProperties>
</file>