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filterPrivacy="1" defaultThemeVersion="124226"/>
  <bookViews>
    <workbookView xWindow="0" yWindow="0" windowWidth="24000" windowHeight="9735" tabRatio="841"/>
  </bookViews>
  <sheets>
    <sheet name="Test_Cases" sheetId="27" r:id="rId1"/>
    <sheet name="Written -CR109-Exempted CH" sheetId="18" r:id="rId2"/>
    <sheet name="Written -CR109-Missed CH" sheetId="19" r:id="rId3"/>
    <sheet name="Written -CR109 Summart &amp; Mid " sheetId="21" r:id="rId4"/>
    <sheet name="Written -Manual PM overrides" sheetId="22" r:id="rId5"/>
    <sheet name="Written -Exclusions" sheetId="23" r:id="rId6"/>
    <sheet name="Written -PA Report" sheetId="24" r:id="rId7"/>
    <sheet name="Written -Email" sheetId="25" r:id="rId8"/>
    <sheet name="Scenarios" sheetId="26" r:id="rId9"/>
    <sheet name="RTM" sheetId="20" r:id="rId10"/>
  </sheets>
  <externalReferences>
    <externalReference r:id="rId11"/>
  </externalReferences>
  <definedNames>
    <definedName name="_xlnm._FilterDatabase" localSheetId="9" hidden="1">RTM!$A$1:$B$68</definedName>
    <definedName name="_xlnm._FilterDatabase" localSheetId="0" hidden="1">Test_Cases!$G$1:$G$614</definedName>
    <definedName name="testRunStatus">[1]ValidationData!$C$1:$C$5</definedName>
  </definedNames>
  <calcPr calcId="152511"/>
</workbook>
</file>

<file path=xl/calcChain.xml><?xml version="1.0" encoding="utf-8"?>
<calcChain xmlns="http://schemas.openxmlformats.org/spreadsheetml/2006/main">
  <c r="C3" i="20" l="1"/>
  <c r="C2" i="20"/>
  <c r="H614" i="27" l="1"/>
  <c r="H613" i="27"/>
  <c r="H612" i="27"/>
  <c r="H611" i="27"/>
  <c r="H610" i="27"/>
  <c r="H609" i="27"/>
  <c r="H608" i="27"/>
  <c r="H607" i="27"/>
  <c r="H606" i="27"/>
  <c r="H605" i="27"/>
  <c r="H604" i="27"/>
  <c r="H603" i="27"/>
  <c r="H602" i="27"/>
  <c r="H601" i="27"/>
  <c r="H600" i="27"/>
  <c r="H599" i="27"/>
  <c r="H598" i="27"/>
  <c r="H597" i="27"/>
  <c r="H596" i="27"/>
  <c r="H595" i="27"/>
  <c r="H594" i="27"/>
  <c r="H593" i="27"/>
  <c r="H592" i="27"/>
  <c r="H591" i="27"/>
  <c r="H590" i="27"/>
  <c r="H589" i="27"/>
  <c r="H588" i="27"/>
  <c r="H587" i="27"/>
  <c r="H586" i="27"/>
  <c r="H585" i="27"/>
  <c r="H584" i="27"/>
  <c r="H583" i="27"/>
  <c r="H582" i="27"/>
  <c r="H581" i="27"/>
  <c r="H580" i="27"/>
  <c r="H579" i="27"/>
  <c r="H578" i="27"/>
  <c r="H577" i="27"/>
  <c r="H576" i="27"/>
  <c r="H575" i="27"/>
  <c r="H574" i="27"/>
  <c r="H573" i="27"/>
  <c r="H572" i="27"/>
  <c r="H571" i="27"/>
  <c r="H570" i="27"/>
  <c r="H569" i="27"/>
  <c r="H568" i="27"/>
  <c r="H567" i="27"/>
  <c r="H566" i="27"/>
  <c r="H565" i="27"/>
  <c r="H564" i="27"/>
  <c r="H563" i="27"/>
  <c r="H562" i="27"/>
  <c r="H561" i="27"/>
  <c r="H560" i="27"/>
  <c r="H559" i="27"/>
  <c r="H558" i="27"/>
  <c r="H557" i="27"/>
  <c r="H556" i="27"/>
  <c r="H555" i="27"/>
  <c r="H554" i="27"/>
  <c r="H553" i="27"/>
  <c r="H552" i="27"/>
  <c r="H551" i="27"/>
  <c r="H550" i="27"/>
  <c r="H549" i="27"/>
  <c r="H548" i="27"/>
  <c r="H547" i="27"/>
  <c r="H546" i="27"/>
  <c r="H545" i="27"/>
  <c r="H544" i="27"/>
  <c r="H543" i="27"/>
  <c r="H542" i="27"/>
  <c r="H541" i="27"/>
  <c r="H540" i="27"/>
  <c r="H539" i="27"/>
  <c r="H538" i="27"/>
  <c r="H537" i="27"/>
  <c r="H536" i="27"/>
  <c r="H535" i="27"/>
  <c r="H534" i="27"/>
  <c r="H533" i="27"/>
  <c r="H532" i="27"/>
  <c r="H531" i="27"/>
  <c r="H530" i="27"/>
  <c r="H529" i="27"/>
  <c r="H528" i="27"/>
  <c r="H527" i="27"/>
  <c r="H526" i="27"/>
  <c r="H525" i="27"/>
  <c r="H524" i="27"/>
  <c r="H523" i="27"/>
  <c r="H522" i="27"/>
  <c r="H521" i="27"/>
  <c r="H520" i="27"/>
  <c r="H519" i="27"/>
  <c r="H518" i="27"/>
  <c r="H517" i="27"/>
  <c r="H516" i="27"/>
  <c r="H515" i="27"/>
  <c r="H514" i="27"/>
  <c r="H513" i="27"/>
  <c r="H512" i="27"/>
  <c r="H511" i="27"/>
  <c r="H510" i="27"/>
  <c r="H509" i="27"/>
  <c r="H508" i="27"/>
  <c r="H507" i="27"/>
  <c r="H506" i="27"/>
  <c r="H505" i="27"/>
  <c r="H504" i="27"/>
  <c r="H503" i="27"/>
  <c r="H502" i="27"/>
  <c r="H501" i="27"/>
  <c r="H500" i="27"/>
  <c r="H499" i="27"/>
  <c r="H498" i="27"/>
  <c r="H497" i="27"/>
  <c r="H496" i="27"/>
  <c r="H495" i="27"/>
  <c r="H494" i="27"/>
  <c r="H493" i="27"/>
  <c r="H492" i="27"/>
  <c r="H491" i="27"/>
  <c r="H490" i="27"/>
  <c r="H489" i="27"/>
  <c r="H488" i="27"/>
  <c r="H487" i="27"/>
  <c r="H486" i="27"/>
  <c r="H485" i="27"/>
  <c r="H484" i="27"/>
  <c r="H483" i="27"/>
  <c r="H482" i="27"/>
  <c r="H481" i="27"/>
  <c r="H480" i="27"/>
  <c r="H479" i="27"/>
  <c r="H478" i="27"/>
  <c r="H477" i="27"/>
  <c r="H476" i="27"/>
  <c r="H475" i="27"/>
  <c r="H474" i="27"/>
  <c r="H473" i="27"/>
  <c r="H472" i="27"/>
  <c r="H471" i="27"/>
  <c r="H470" i="27"/>
  <c r="H469" i="27"/>
  <c r="H468" i="27"/>
  <c r="H467" i="27"/>
  <c r="H466" i="27"/>
  <c r="H465" i="27"/>
  <c r="H464" i="27"/>
  <c r="H463" i="27"/>
  <c r="H462" i="27"/>
  <c r="H461" i="27"/>
  <c r="H460" i="27"/>
  <c r="H459" i="27"/>
  <c r="H458" i="27"/>
  <c r="H457" i="27"/>
  <c r="H456" i="27"/>
  <c r="H455" i="27"/>
  <c r="H454" i="27"/>
  <c r="H453" i="27"/>
  <c r="H452" i="27"/>
  <c r="H451" i="27"/>
  <c r="H450" i="27"/>
  <c r="H449" i="27"/>
  <c r="H448" i="27"/>
  <c r="H447" i="27"/>
  <c r="H446" i="27"/>
  <c r="H445" i="27"/>
  <c r="H444" i="27"/>
  <c r="H443" i="27"/>
  <c r="H442" i="27"/>
  <c r="H441" i="27"/>
  <c r="H440" i="27"/>
  <c r="H439" i="27"/>
  <c r="H438" i="27"/>
  <c r="H437" i="27"/>
  <c r="H436" i="27"/>
  <c r="H435" i="27"/>
  <c r="H434" i="27"/>
  <c r="H433" i="27"/>
  <c r="H432" i="27"/>
  <c r="H431" i="27"/>
  <c r="H430" i="27"/>
  <c r="H429" i="27"/>
  <c r="H428" i="27"/>
  <c r="H427" i="27"/>
  <c r="H426" i="27"/>
  <c r="H425" i="27"/>
  <c r="H424" i="27"/>
  <c r="H423" i="27"/>
  <c r="H422" i="27"/>
  <c r="H421" i="27"/>
  <c r="H420" i="27"/>
  <c r="H419" i="27"/>
  <c r="H418" i="27"/>
  <c r="H417" i="27"/>
  <c r="H416" i="27"/>
  <c r="H415" i="27"/>
  <c r="H414" i="27"/>
  <c r="H413" i="27"/>
  <c r="H412" i="27"/>
  <c r="H411" i="27"/>
  <c r="H410" i="27"/>
  <c r="H409" i="27"/>
  <c r="H408" i="27"/>
  <c r="H407" i="27"/>
  <c r="H406" i="27"/>
  <c r="H405" i="27"/>
  <c r="H404" i="27"/>
  <c r="H403" i="27"/>
  <c r="H402" i="27"/>
  <c r="H401" i="27"/>
  <c r="H400" i="27"/>
  <c r="H399" i="27"/>
  <c r="H398" i="27"/>
  <c r="H397" i="27"/>
  <c r="H396" i="27"/>
  <c r="H395" i="27"/>
  <c r="H394" i="27"/>
  <c r="H393" i="27"/>
  <c r="H392" i="27"/>
  <c r="H391" i="27"/>
  <c r="H390" i="27"/>
  <c r="H389" i="27"/>
  <c r="H388" i="27"/>
  <c r="H387" i="27"/>
  <c r="H386" i="27"/>
  <c r="H385" i="27"/>
  <c r="H384" i="27"/>
  <c r="H383" i="27"/>
  <c r="H382" i="27"/>
  <c r="H381" i="27"/>
  <c r="H380" i="27"/>
  <c r="H379" i="27"/>
  <c r="H378" i="27"/>
  <c r="H377" i="27"/>
  <c r="H376" i="27"/>
  <c r="H375" i="27"/>
  <c r="H374" i="27"/>
  <c r="H373" i="27"/>
  <c r="H372" i="27"/>
  <c r="H371" i="27"/>
  <c r="H370" i="27"/>
  <c r="H369" i="27"/>
  <c r="H368" i="27"/>
  <c r="H367" i="27"/>
  <c r="H366" i="27"/>
  <c r="H365" i="27"/>
  <c r="H364" i="27"/>
  <c r="H363" i="27"/>
  <c r="H362" i="27"/>
  <c r="H361" i="27"/>
  <c r="H360" i="27"/>
  <c r="H359" i="27"/>
  <c r="H358" i="27"/>
  <c r="H357" i="27"/>
  <c r="H356" i="27"/>
  <c r="H355" i="27"/>
  <c r="H354" i="27"/>
  <c r="H353" i="27"/>
  <c r="H352" i="27"/>
  <c r="H351" i="27"/>
  <c r="H350" i="27"/>
  <c r="H349" i="27"/>
  <c r="H348" i="27"/>
  <c r="H347" i="27"/>
  <c r="H346" i="27"/>
  <c r="H345" i="27"/>
  <c r="H344" i="27"/>
  <c r="H343" i="27"/>
  <c r="H342" i="27"/>
  <c r="H341" i="27"/>
  <c r="H340" i="27"/>
  <c r="H339" i="27"/>
  <c r="H338" i="27"/>
  <c r="H337" i="27"/>
  <c r="H336" i="27"/>
  <c r="H335" i="27"/>
  <c r="H334" i="27"/>
  <c r="H333" i="27"/>
  <c r="H332" i="27"/>
  <c r="H331" i="27"/>
  <c r="H330" i="27"/>
  <c r="H329" i="27"/>
  <c r="H328" i="27"/>
  <c r="H327" i="27"/>
  <c r="H326" i="27"/>
  <c r="H325" i="27"/>
  <c r="H324" i="27"/>
  <c r="H323" i="27"/>
  <c r="H322" i="27"/>
  <c r="H321" i="27"/>
  <c r="H320" i="27"/>
  <c r="H319" i="27"/>
  <c r="H318" i="27"/>
  <c r="H317" i="27"/>
  <c r="H316" i="27"/>
  <c r="H315" i="27"/>
  <c r="H314" i="27"/>
  <c r="H313" i="27"/>
  <c r="H312" i="27"/>
  <c r="H311" i="27"/>
  <c r="H310" i="27"/>
  <c r="H309" i="27"/>
  <c r="H308" i="27"/>
  <c r="H307" i="27"/>
  <c r="H306" i="27"/>
  <c r="H305" i="27"/>
  <c r="H304" i="27"/>
  <c r="H303" i="27"/>
  <c r="H302" i="27"/>
  <c r="H301" i="27"/>
  <c r="H300" i="27"/>
  <c r="H299" i="27"/>
  <c r="H298" i="27"/>
  <c r="H297" i="27"/>
  <c r="H296" i="27"/>
  <c r="H295" i="27"/>
  <c r="H294" i="27"/>
  <c r="H293" i="27"/>
  <c r="H292" i="27"/>
  <c r="H291" i="27"/>
  <c r="H290" i="27"/>
  <c r="H289" i="27"/>
  <c r="H288" i="27"/>
  <c r="H287" i="27"/>
  <c r="H286" i="27"/>
  <c r="H285" i="27"/>
  <c r="H284" i="27"/>
  <c r="H283" i="27"/>
  <c r="H282" i="27"/>
  <c r="H281" i="27"/>
  <c r="H280" i="27"/>
  <c r="H279" i="27"/>
  <c r="H278" i="27"/>
  <c r="H277" i="27"/>
  <c r="H276" i="27"/>
  <c r="H275" i="27"/>
  <c r="H274" i="27"/>
  <c r="H273" i="27"/>
  <c r="H272" i="27"/>
  <c r="H271" i="27"/>
  <c r="H270" i="27"/>
  <c r="H269" i="27"/>
  <c r="H268" i="27"/>
  <c r="H267" i="27"/>
  <c r="H266" i="27"/>
  <c r="H265" i="27"/>
  <c r="H264" i="27"/>
  <c r="H263" i="27"/>
  <c r="H262" i="27"/>
  <c r="H261" i="27"/>
  <c r="H260" i="27"/>
  <c r="H259" i="27"/>
  <c r="H258" i="27"/>
  <c r="H257" i="27"/>
  <c r="H256" i="27"/>
  <c r="H255" i="27"/>
  <c r="H254" i="27"/>
  <c r="H253" i="27"/>
  <c r="H252" i="27"/>
  <c r="H251" i="27"/>
  <c r="H250" i="27"/>
  <c r="H249" i="27"/>
  <c r="H248" i="27"/>
  <c r="H247" i="27"/>
  <c r="H246" i="27"/>
  <c r="H245" i="27"/>
  <c r="H244" i="27"/>
  <c r="H243" i="27"/>
  <c r="H242" i="27"/>
  <c r="H241" i="27"/>
  <c r="H240" i="27"/>
  <c r="H239" i="27"/>
  <c r="H238" i="27"/>
  <c r="H237" i="27"/>
  <c r="H236" i="27"/>
  <c r="H235" i="27"/>
  <c r="H234" i="27"/>
  <c r="H233" i="27"/>
  <c r="H232" i="27"/>
  <c r="H231" i="27"/>
  <c r="H230" i="27"/>
  <c r="H229" i="27"/>
  <c r="H228" i="27"/>
  <c r="H227" i="27"/>
  <c r="H226" i="27"/>
  <c r="H225" i="27"/>
  <c r="H224" i="27"/>
  <c r="H223" i="27"/>
  <c r="H222" i="27"/>
  <c r="H221" i="27"/>
  <c r="H220" i="27"/>
  <c r="H219" i="27"/>
  <c r="H218" i="27"/>
  <c r="H217" i="27"/>
  <c r="H216" i="27"/>
  <c r="H215" i="27"/>
  <c r="H214" i="27"/>
  <c r="H213" i="27"/>
  <c r="H212" i="27"/>
  <c r="H211" i="27"/>
  <c r="H210" i="27"/>
  <c r="H209" i="27"/>
  <c r="H208" i="27"/>
  <c r="H207" i="27"/>
  <c r="H206" i="27"/>
  <c r="H205" i="27"/>
  <c r="H204" i="27"/>
  <c r="H203" i="27"/>
  <c r="H202" i="27"/>
  <c r="H201" i="27"/>
  <c r="H200" i="27"/>
  <c r="H199" i="27"/>
  <c r="H198" i="27"/>
  <c r="H197" i="27"/>
  <c r="H196" i="27"/>
  <c r="H195" i="27"/>
  <c r="H194" i="27"/>
  <c r="H193" i="27"/>
  <c r="H192" i="27"/>
  <c r="H191" i="27"/>
  <c r="H190" i="27"/>
  <c r="H189" i="27"/>
  <c r="H188" i="27"/>
  <c r="H187" i="27"/>
  <c r="H186" i="27"/>
  <c r="H185" i="27"/>
  <c r="H184" i="27"/>
  <c r="H183" i="27"/>
  <c r="H182" i="27"/>
  <c r="H181" i="27"/>
  <c r="H180" i="27"/>
  <c r="H179" i="27"/>
  <c r="H178" i="27"/>
  <c r="H177" i="27"/>
  <c r="H176" i="27"/>
  <c r="H175" i="27"/>
  <c r="H174" i="27"/>
  <c r="H173" i="27"/>
  <c r="H172" i="27"/>
  <c r="H171" i="27"/>
  <c r="H170" i="27"/>
  <c r="H169" i="27"/>
  <c r="H168" i="27"/>
  <c r="H167" i="27"/>
  <c r="H166" i="27"/>
  <c r="H165" i="27"/>
  <c r="H164" i="27"/>
  <c r="H163" i="27"/>
  <c r="H162" i="27"/>
  <c r="H161" i="27"/>
  <c r="H160" i="27"/>
  <c r="H159" i="27"/>
  <c r="H158" i="27"/>
  <c r="H157" i="27"/>
  <c r="H156" i="27"/>
  <c r="H155" i="27"/>
  <c r="H154" i="27"/>
  <c r="H153" i="27"/>
  <c r="H152" i="27"/>
  <c r="H151" i="27"/>
  <c r="H150" i="27"/>
  <c r="H149" i="27"/>
  <c r="H148" i="27"/>
  <c r="H147" i="27"/>
  <c r="H146" i="27"/>
  <c r="H145" i="27"/>
  <c r="H144" i="27"/>
  <c r="H143" i="27"/>
  <c r="H142" i="27"/>
  <c r="H141" i="27"/>
  <c r="H140" i="27"/>
  <c r="H139" i="27"/>
  <c r="H138" i="27"/>
  <c r="H137" i="27"/>
  <c r="H136" i="27"/>
  <c r="H135" i="27"/>
  <c r="H134" i="27"/>
  <c r="H133" i="27"/>
  <c r="H132" i="27"/>
  <c r="H131" i="27"/>
  <c r="H130" i="27"/>
  <c r="H129" i="27"/>
  <c r="H128" i="27"/>
  <c r="H127" i="27"/>
  <c r="H126" i="27"/>
  <c r="H125" i="27"/>
  <c r="H124" i="27"/>
  <c r="H123" i="27"/>
  <c r="H122" i="27"/>
  <c r="H121" i="27"/>
  <c r="H120" i="27"/>
  <c r="H119" i="27"/>
  <c r="H118" i="27"/>
  <c r="H117" i="27"/>
  <c r="H116" i="27"/>
  <c r="H115" i="27"/>
  <c r="H114" i="27"/>
  <c r="H113" i="27"/>
  <c r="H112" i="27"/>
  <c r="H111" i="27"/>
  <c r="H110" i="27"/>
  <c r="H109" i="27"/>
  <c r="H108" i="27"/>
  <c r="H107" i="27"/>
  <c r="H106" i="27"/>
  <c r="H105" i="27"/>
  <c r="H104" i="27"/>
  <c r="H103" i="27"/>
  <c r="H102" i="27"/>
  <c r="H101" i="27"/>
  <c r="H100" i="27"/>
  <c r="H99" i="27"/>
  <c r="H98" i="27"/>
  <c r="H97" i="27"/>
  <c r="H96" i="27"/>
  <c r="H95" i="27"/>
  <c r="H94" i="27"/>
  <c r="H93" i="27"/>
  <c r="H92" i="27"/>
  <c r="H91" i="27"/>
  <c r="H90" i="27"/>
  <c r="H89" i="27"/>
  <c r="H88" i="27"/>
  <c r="H87" i="27"/>
  <c r="H86" i="27"/>
  <c r="H85" i="27"/>
  <c r="H84" i="27"/>
  <c r="H83" i="27"/>
  <c r="H82" i="27"/>
  <c r="H81" i="27"/>
  <c r="H80" i="27"/>
  <c r="H79" i="27"/>
  <c r="H78" i="27"/>
  <c r="H77" i="27"/>
  <c r="H76" i="27"/>
  <c r="H75" i="27"/>
  <c r="H74" i="27"/>
  <c r="H73" i="27"/>
  <c r="H72" i="27"/>
  <c r="H71" i="27"/>
  <c r="H70" i="27"/>
  <c r="H69" i="27"/>
  <c r="H68" i="27"/>
  <c r="H67" i="27"/>
  <c r="H66" i="27"/>
  <c r="H65" i="27"/>
  <c r="H64" i="27"/>
  <c r="H63" i="27"/>
  <c r="H62" i="27"/>
  <c r="H61" i="27"/>
  <c r="H60" i="27"/>
  <c r="H59" i="27"/>
  <c r="H58" i="27"/>
  <c r="H57" i="27"/>
  <c r="H56" i="27"/>
  <c r="H55" i="27"/>
  <c r="H54" i="27"/>
  <c r="H53" i="27"/>
  <c r="H52" i="27"/>
  <c r="H51" i="27"/>
  <c r="H50" i="27"/>
  <c r="H49" i="27"/>
  <c r="H48" i="27"/>
  <c r="H47" i="27"/>
  <c r="H46" i="27"/>
  <c r="H45" i="27"/>
  <c r="H44" i="27"/>
  <c r="H43" i="27"/>
  <c r="H42" i="27"/>
  <c r="H41" i="27"/>
  <c r="H40" i="27"/>
  <c r="H39" i="27"/>
  <c r="H38" i="27"/>
  <c r="H37" i="27"/>
  <c r="H36" i="27"/>
  <c r="H35" i="27"/>
  <c r="H34" i="27"/>
  <c r="H33" i="27"/>
  <c r="H32" i="27"/>
  <c r="H31" i="27"/>
  <c r="H30" i="27"/>
  <c r="H29" i="27"/>
  <c r="H28" i="27"/>
  <c r="H27" i="27"/>
  <c r="H26" i="27"/>
  <c r="H25" i="27"/>
  <c r="H24" i="27"/>
  <c r="H23" i="27"/>
  <c r="H22" i="27"/>
  <c r="H21" i="27"/>
  <c r="H20" i="27"/>
  <c r="H19" i="27"/>
  <c r="H18" i="27"/>
  <c r="H17" i="27"/>
  <c r="H16" i="27"/>
</calcChain>
</file>

<file path=xl/sharedStrings.xml><?xml version="1.0" encoding="utf-8"?>
<sst xmlns="http://schemas.openxmlformats.org/spreadsheetml/2006/main" count="7622" uniqueCount="906">
  <si>
    <t>Jama Folder</t>
  </si>
  <si>
    <t>Executed</t>
  </si>
  <si>
    <t>Test case id</t>
  </si>
  <si>
    <t xml:space="preserve">Subject area </t>
  </si>
  <si>
    <t>Test name</t>
  </si>
  <si>
    <t>Steps</t>
  </si>
  <si>
    <t>Description</t>
  </si>
  <si>
    <t>Test data</t>
  </si>
  <si>
    <t>Notes</t>
  </si>
  <si>
    <t>Expected result</t>
  </si>
  <si>
    <t>Feedback comments</t>
  </si>
  <si>
    <t>Status/reason</t>
  </si>
  <si>
    <t>Actual result</t>
  </si>
  <si>
    <t>Execution planned start date</t>
  </si>
  <si>
    <t>Execution planned end date</t>
  </si>
  <si>
    <t>Execution actual start date</t>
  </si>
  <si>
    <t>Execution actual end date</t>
  </si>
  <si>
    <t>Step 1</t>
  </si>
  <si>
    <t>Login to OBI Analytics as User group</t>
  </si>
  <si>
    <t>Step 2</t>
  </si>
  <si>
    <t>Login should be successful</t>
  </si>
  <si>
    <t>Click on Dashboards drop down list</t>
  </si>
  <si>
    <t>User should be able to see the Performance measures under Arqiva smart metering</t>
  </si>
  <si>
    <t>Click on  Performance Measures</t>
  </si>
  <si>
    <t>User should be able to see the Performance measures dashboard with the PM General tab selected by default, displaying most up to date data</t>
  </si>
  <si>
    <t>Click on the PM 1.4 bar in the bar chart</t>
  </si>
  <si>
    <t>Step 3</t>
  </si>
  <si>
    <t>User should be able to navigate to PM 1.4 summary level report</t>
  </si>
  <si>
    <t>Step 4</t>
  </si>
  <si>
    <t>Step 5</t>
  </si>
  <si>
    <t>Step 6</t>
  </si>
  <si>
    <t>Step 7</t>
  </si>
  <si>
    <t>Step 8</t>
  </si>
  <si>
    <t>Step 9</t>
  </si>
  <si>
    <t>Validate the Communications Hub Connectivity tab</t>
  </si>
  <si>
    <t>Click on the Communications Hub Connectivity tab</t>
  </si>
  <si>
    <t>User should be able to navigate to the PM 1 Performance Area (Communications Hub Connectivity) report</t>
  </si>
  <si>
    <t>Validate the PM 1.4 bar charts</t>
  </si>
  <si>
    <t xml:space="preserve">User should be able to see PM 1.4 daily and monthly bar charts below PM 1.3 </t>
  </si>
  <si>
    <t>PM 1.4 Summary level report</t>
  </si>
  <si>
    <t>Screen shot PM 1 performance area report should be captured high lighting PM 1.4</t>
  </si>
  <si>
    <t>User should be able to see the Performance measures dashboard with the PM General tab selected by default</t>
  </si>
  <si>
    <t>User should be able to navigate to the PM 1.4 Mid level report</t>
  </si>
  <si>
    <t>Select the a date in date prompt</t>
  </si>
  <si>
    <t>User should be able to see the refreshed data in PM General</t>
  </si>
  <si>
    <t>Click on a bar in PM 1.4 monthly trend or daily trend bar chart</t>
  </si>
  <si>
    <t>User should be able to see the subtotal of Missed CH and Exempted CH</t>
  </si>
  <si>
    <t>Validate the total</t>
  </si>
  <si>
    <t>User should be able to see the total as sum of Exempted CH and Missed CH</t>
  </si>
  <si>
    <t>Step 10</t>
  </si>
  <si>
    <t>Click on Missed value under “# of CH (Mmm-yyyy)”  column in the PM 1.4 Mid Level tabular view</t>
  </si>
  <si>
    <t>User should be able to successfully navigate to the PM 1.4 Missed Detail report</t>
  </si>
  <si>
    <t>Click on Exempted CH value under “# of CH (Mmm-yyyy)”  column in the PM 1.4 Mid Level tabular view</t>
  </si>
  <si>
    <t>User should be able to successfully navigate to the PM 1.4 Exempted CH Detail report</t>
  </si>
  <si>
    <t>PM 1.4 Mid level report</t>
  </si>
  <si>
    <t>PM 1.4 Missed detail report</t>
  </si>
  <si>
    <t>Step 11</t>
  </si>
  <si>
    <t>Step 12</t>
  </si>
  <si>
    <t>Step 13</t>
  </si>
  <si>
    <t>Step 14</t>
  </si>
  <si>
    <t>Step 15</t>
  </si>
  <si>
    <t>PM 1.4 Exempted CH detail report</t>
  </si>
  <si>
    <t>Click on the home button on the top right corner</t>
  </si>
  <si>
    <t>User should be able to navigate back to PM General</t>
  </si>
  <si>
    <t>Click on the PM 1.4 bar chart</t>
  </si>
  <si>
    <t>Validate the summary level report and PM 1 performance area report</t>
  </si>
  <si>
    <t>User should be able to see the PM 1.4 report in PM 1 performance area report same as in PM 1.4 summary level report</t>
  </si>
  <si>
    <t>PM 1.4 Summary level report ASL calculation
Test Objective: To validate the ASL calculation with ASL value displayed with the OBI</t>
  </si>
  <si>
    <t xml:space="preserve">User should be able to see calculated ASL value same as ASL value displayed in the OBI
PM 1.4 = 100 * (1 – (Missed/Total))
 Total = CH with Operational Status “Active”
</t>
  </si>
  <si>
    <t>Step 16</t>
  </si>
  <si>
    <t>Select the a date in date prompt according to Pre-requisite 1</t>
  </si>
  <si>
    <t>Step 17</t>
  </si>
  <si>
    <t>Step 18</t>
  </si>
  <si>
    <t>Step 19</t>
  </si>
  <si>
    <t>PM 1.4 report</t>
  </si>
  <si>
    <t>Screen shot of the PM 1.4 summary level report should be captured high lighting the ASL value and exported data base output should be attached</t>
  </si>
  <si>
    <t>Select the date in date prompt</t>
  </si>
  <si>
    <t>User should be able to see the Communications Hub Connectivity tab</t>
  </si>
  <si>
    <t>Screen shot of the PM 1.4 mid level report should be captured and data base result should be attached</t>
  </si>
  <si>
    <t>Screen shot of PM 1.4 Mid level report should be captured highlighting the Pie Chart table with subtotal and total</t>
  </si>
  <si>
    <t>NA</t>
  </si>
  <si>
    <t xml:space="preserve">PM 1.4  Exempted CH Qualification against PM
Test Objective:To validate the criteria used to determine 'Exempted' for CH against the measurement period
</t>
  </si>
  <si>
    <t xml:space="preserve">User should be able to see the Mid level report.
</t>
  </si>
  <si>
    <t>Click on "Exempted CH" value under “# of CH (Mmm-yyyy)”  column in the PM 1.4 Mid Level tabular view</t>
  </si>
  <si>
    <t xml:space="preserve">User should be able to successfully navigate to the PM 1.4 Exempted CH  Detail report
</t>
  </si>
  <si>
    <t xml:space="preserve">User should be able to see detail of the CH which meet pre-requisite 1 displayed in the detail level report
</t>
  </si>
  <si>
    <t>Screen shot of the PM 1.4 Exempted detail report highlighting the values should be captured.</t>
  </si>
  <si>
    <t>TC_OBI_PM 1.4_001 _CH qualification against PM_Exempted CH_Criterial1</t>
  </si>
  <si>
    <t>TC_OBI_PM 1.4_002 _CH qualification against PM_Exempted CH_Criteria2</t>
  </si>
  <si>
    <t>C_OBI_PM 1.4_002 _CH qualification against PM_Exempted CH_Criteria2</t>
  </si>
  <si>
    <t>BR ID</t>
  </si>
  <si>
    <t>Testcase ID</t>
  </si>
  <si>
    <t>SMBSS.NTTD.PM_1.4.108</t>
  </si>
  <si>
    <t>SMBSS.NTTD.PM_1.4.109</t>
  </si>
  <si>
    <t>TC_OBI_PM 1.4_001_Summary level report_ASL calculation</t>
  </si>
  <si>
    <t>SMBSS.NTTD.PM_1.4.017</t>
  </si>
  <si>
    <t>TC_OBI_PM 1.4_003_CH Qualification against PM_Criteria 3</t>
  </si>
  <si>
    <t>PM 1.4 Mid level tabular view data validation
Test Objective: To validate the data in the Mid level tabular view and data for  the CH haven't consider  as "Total",  "Missed" or "Allowed Exception"  against measurement period, if CH qualifies as "Excluded CH" against that measurement period</t>
  </si>
  <si>
    <t>TC_OBI_PM 1.4_004_CH Qualification against PM_Criteria 4</t>
  </si>
  <si>
    <t>PM 1.4 Mid level tabular view data validation
Test Objective: To validate the data in the Mid level tabular view and data for  the CH haven't consider  as "Total" or "Missed" against the measurement period, if CH qualifies as "Allowed Exception" against that measurement period</t>
  </si>
  <si>
    <t>CH Satisfies the Pre requisite 1 should not be displayed in PM1.4 mid level tabular view status.</t>
  </si>
  <si>
    <t>SMBSS.NTTD.PM_1.4.094</t>
  </si>
  <si>
    <t>SMBSS.NTTD.PM_1.4.019</t>
  </si>
  <si>
    <t>SMBSS.NTTD.PM_1.4.095</t>
  </si>
  <si>
    <t>TC_OBI_PM 1.4_005_CH Qualification against PM_Criteria 5</t>
  </si>
  <si>
    <t xml:space="preserve">PM 1.4 Mid level tabular view data validation
Test Objective: To validate the data in the Mid level tabular view and data for  the CH reported as Missed and Total at the same time if CH meets both qualifications((Excluded and Allowed exception)
</t>
  </si>
  <si>
    <t>TC_OBI_PM 1.4_006_CH Qualification against PM_ASL value against Allowed and Excluded CH</t>
  </si>
  <si>
    <t>PM 1.4 Summary level report ASL calculation has to be  excluded for  the CH reported as "Allowed Exception" or "Excluded" against that measurement period
Test Objective: To validate PM 1.4 Summary level report ASL calculation has to be  excluded for  the CH reported as "Allowed Exception" or "Excluded" against that measurement period</t>
  </si>
  <si>
    <t xml:space="preserve">User should not be able to see calculated ASL value same as ASL value displayed in the OBI
PM 1.4 = 100 * (1 – (Missed/Total))
 Total = CH with Operational Status “Active”
</t>
  </si>
  <si>
    <t>SMBSS.NTTD.PM_1.4.096</t>
  </si>
  <si>
    <t>TC_OBI_PM 1.4_007 _CH qualification against PM_Qualifies_Missed or Allowed exception</t>
  </si>
  <si>
    <t xml:space="preserve">PM 1.4  Exempted CH Qualification against PM
Test Objective:To validate the criteria used to determine 'Exempted' for CH against the measurement period
</t>
  </si>
  <si>
    <t>SMBSS.NTTD.PM_1.4.097</t>
  </si>
  <si>
    <t>SMBSS.NTTD.PM_1.4.018,SMBSS.NTTD.PM_1.4.097</t>
  </si>
  <si>
    <t>SMBSS.NTTD.PM_1.4.098</t>
  </si>
  <si>
    <t xml:space="preserve">TC_OBI_PM 1.4_008 _CH qualification against PM_Exempted CH from Opted out </t>
  </si>
  <si>
    <t>PM 1.4  Exempted CH Qualification against PM
Test Objective:To validate the criteria used to determine 'Exempted' for  CH has been Opted Out at any point during or before the measurement period, then even if it was Unconnected (Missed) in that measurement period, the CH shall be reported as Allowed Exception for  that measurement period</t>
  </si>
  <si>
    <t>TC_OBI_PM 1.4_009_CH Qualification against PM_Missed Criteria</t>
  </si>
  <si>
    <t>PM 1.4 CH qualification aginst Missed status 
Test Objective: To validate PM 1.4 Missed detail report  for  CH has been Unconnected (Missed) at any point in the measurement period due to an outage, then even if it was Allowed Exception (except if it is Opted Out) in that measurement period due to another outage, that CH shall be reported as Missed and Total for that measurement period</t>
  </si>
  <si>
    <t>Screen shot of the PM 1.4 Missed detail report highlighting the values should be captured.</t>
  </si>
  <si>
    <t xml:space="preserve">CH Satisfies the pre requisite 1 will be displayed in PM1.4 Missed detail report
</t>
  </si>
  <si>
    <t>TC_OBI_PM 1.4_001_CH Qualification against PM_Missed Criteria</t>
  </si>
  <si>
    <t>SMBSS.NTTD.PM_1.4.099</t>
  </si>
  <si>
    <t>SMBSS.NTTD.PM_1.4.100</t>
  </si>
  <si>
    <t>TC_OBI_PM 1.4_002_CH Qualification against PM_Missed _CH reported in more than one month</t>
  </si>
  <si>
    <t xml:space="preserve">PM 1.4 CH qualification aginst Missed status 
Test Objective: To validate PM 1.4 Missed detail report for a CH is able to report the same CH in more than one measurement period if it meets Total, Missed or Allowed Exception criteria </t>
  </si>
  <si>
    <t>SMBSS.NTTD.PM_1.4.101</t>
  </si>
  <si>
    <t>TC_OBI_PM 1.4_003_CH Qualification against PM_Missed _CH reported across number of consecutive months</t>
  </si>
  <si>
    <t xml:space="preserve">PM 1.4 CH qualification aginst Missed status 
Test Objective: To validate PM 1.4 Missed detail report for a CHis able  report the same CH in more than one measurement period when the CH remains disconnected (Missed) or an Allowed Exception across number of sequential measurement periods 
</t>
  </si>
  <si>
    <t>SMBSS.NTTD.PM_1.4.102</t>
  </si>
  <si>
    <t>SMBSS.NTTD.PM_1.4.103</t>
  </si>
  <si>
    <t>PM 1.4 CH qualification aginst Missed status 
Test Objective: To validate PM 1.4 Missed detail report for a CH disconnects (Missed) or meets Allowed Exception criteria more than once within the same measurement period, the CH shall be reported only once in that measurement period</t>
  </si>
  <si>
    <t>TC_OBI_PM 1.4_004_CH Qualification against PM_Missed _Incident raised&lt;=10 days  from outage notication and not an allowed exception</t>
  </si>
  <si>
    <t>TC_OBI_PM 1.4_005_CH Qualification against PM_Missed _CH Gets unconnected more than once ina month.</t>
  </si>
  <si>
    <t>PM 1.4 CH qualification aginst Missed status 
Test Objective: To validate PM 1.4 Missed detail report for a CH been reported as Allowed Exception across months due to a qualifying incident and at the time of incident closure it was identified that CH is not an Allowed Exception, then the CH qualification for the previous months shall be recalculated</t>
  </si>
  <si>
    <t>TC_OBI_PM 1.4_006_CH Qualification against PM_Missed _Outage Duration_calculation</t>
  </si>
  <si>
    <t xml:space="preserve">CH Satisfies the pre requisite 1 and Outage duration  will be calculated in PM1.4 Missed detail report
</t>
  </si>
  <si>
    <t>SMBSS.NTTD.PM_1.4.110</t>
  </si>
  <si>
    <t>TC_OBI_PM 1.4_007_Missed detail report _Outage 1_outage 2 filed validation</t>
  </si>
  <si>
    <t>PM 1.4 Outage 1 and outage 2 field  validation of  Missed detail level report
Test Objective: To validate the data for   Outage 1 and outage 2 field  validation of  PM1.4 Missed detail level report</t>
  </si>
  <si>
    <t xml:space="preserve">CH Satisfies the pre requisite 1  and Prerequisite 2 should be displayed in PM1.4 Missed detail report accordingly.
</t>
  </si>
  <si>
    <t>SMBSS.NTTD.PM_1.4.111,SMBSS.NTTD.PM_1.4.112</t>
  </si>
  <si>
    <t>TC_OBI_PM 1.4_008_Missed detail report _Outage 1 start,outage 1 end_outage 2 start ,outage 2 end_Field validation</t>
  </si>
  <si>
    <t>PM 1.4 Outage 1 start,outage 1 end_outage 2 start ,outage 2 end field  validation of  Missed detail level report
Test Objective: To validate the data for Outage 1 start,outage 1 end_outage 2 start ,outage 2 end field  validation of  Missed detail level report</t>
  </si>
  <si>
    <t>TC_OBI_PM 1.4_007_Exempted CH detail report _Outage  start,outage end_Field validation</t>
  </si>
  <si>
    <t>User should be able to successfully navigate to the PM 1.4 Exempted CH  Detail report</t>
  </si>
  <si>
    <t xml:space="preserve">CH Satisfies the pre requisite 1  and Prerequisite 2 should be displayed in PM1.4 Exempted CH  detail report accordingly.
</t>
  </si>
  <si>
    <t>Screen shot of highlighted values should be captured along with database.</t>
  </si>
  <si>
    <t>SMBSS.NTTD.PM_1.4.113,SMBSS.NTTD.PM_1.4.114</t>
  </si>
  <si>
    <t>SMBSS.NTTD.PM_1.4.012</t>
  </si>
  <si>
    <t xml:space="preserve">Pre requiste 2:  CH has been reported on a daily basis if it meets Total, Missed or Allowed Exception criteria </t>
  </si>
  <si>
    <t>1.CH Satisfies the Pre requisite 1 should  be displayed in PM1.4 mid level tabular view status.
2.Useer should be able to see the updated data on a daily basis in the PM1.4 mid level report.</t>
  </si>
  <si>
    <t>Pre-requisite 2: Data should be available as per the below criteria.
--If there are more than one outage for the same CH in the measurement period which resulted in Allowed Exceptions, then the Exempt CH report shall show 1st and most recent outage that occurred in a month displaying them on a separate rows</t>
  </si>
  <si>
    <t>Pre-requisite 1: Data should be available as per the below criteria.
---Outage Start is the date (Last Toi) of the start of the Outage Period
--
---Outage End is the date (Last Toi) of the end of the Outage Period</t>
  </si>
  <si>
    <t>SMBSS.NTTD.PM_1.4.115</t>
  </si>
  <si>
    <t>Click on  performance measures</t>
  </si>
  <si>
    <t>User should be able to see Performance measures dashboard with the General PM tab selected by default</t>
  </si>
  <si>
    <t>N/A</t>
  </si>
  <si>
    <t>Pre-requisite 2:Comms hub should be available for Missed  after processing the manual override file(Manual_PM_Override_Flag=0)</t>
  </si>
  <si>
    <t>Screenshot of DB result should be captured</t>
  </si>
  <si>
    <t xml:space="preserve">Repeat the steps from step 2 to step 6 </t>
  </si>
  <si>
    <t>Screen shot of summary report should be captured</t>
  </si>
  <si>
    <t>Click on any bar in the Weekly/Quarterly trend bar chart displayed.</t>
  </si>
  <si>
    <t>User should be navigated to the Mid level report of the selected day.</t>
  </si>
  <si>
    <t>Click on number displayed against Missed  status in the tabular view</t>
  </si>
  <si>
    <t>Validate the data in detailed report against database.
Login to SQL developer and run the attached query.</t>
  </si>
  <si>
    <t>Screen shot of report values along with database should be captured</t>
  </si>
  <si>
    <t>TC_OBI_PM1.4_001_CH_Manual PM override_Missed to allowed exception</t>
  </si>
  <si>
    <t>PM1.4 Detail level report</t>
  </si>
  <si>
    <t>Select the appropriate date in PM_General date prompt for which data is present for PM_1.4</t>
  </si>
  <si>
    <t>User should be able to see PM_1.4 in the Bar chart.</t>
  </si>
  <si>
    <t>Click on the PM_1.4 bar chart displayed in PM_General report</t>
  </si>
  <si>
    <t>User should be able to see the Summary page of PM_1.4 in the new tab.</t>
  </si>
  <si>
    <t>CH satisfied the pre requisite 2 will be displayed in the PM1.4 Missed detail report and this should match with database values.</t>
  </si>
  <si>
    <t>Click on abar in th Daily/monthly trend bar chart</t>
  </si>
  <si>
    <t>User should be able to successfully navigate to the PM 1.4 Mid level report</t>
  </si>
  <si>
    <t>Pre-requisite 2:Comms hub should be available for Missed  after processing the manual override file(Manual_PM_Override_Flag=2)</t>
  </si>
  <si>
    <t>TC_OBI_PM1.4_002_CH_Manual PM override_ allowed exception to Total</t>
  </si>
  <si>
    <t>Validate the report when manual override flag value is updated from  missed to allowed exception
Test Objective: To Validate the report when manual override flag value is updated from  missed to allowed exception</t>
  </si>
  <si>
    <t>Validate the report when manual override flag value is updated from  allowed exception to total
Test Objective: To Validate the report when manual override flag value is updated from  allowed exception to total</t>
  </si>
  <si>
    <t>Click on number displayed against Exempted CH  status in the tabular view</t>
  </si>
  <si>
    <t>User should be navigated to the Exempted CH Detail_level report.</t>
  </si>
  <si>
    <t>CH satisfied the pre requisite 2 will be displayed in the PM1.4 Exempted CH detail report and this should match with database values.</t>
  </si>
  <si>
    <t>TC_OBI_PM1.4_003_CH_Manual PM override_ allowed exception to Missed</t>
  </si>
  <si>
    <t>Validate the report when manual override flag value is updated from  allowed exception to Missed
Test Objective: To Validate the report when manual override flag value is updated from  allowed exception to Missed</t>
  </si>
  <si>
    <t>Pre-requisite 2:Comms hub should be available for Total  after processing the manual override file</t>
  </si>
  <si>
    <t>TC_OBI_PM1.4_004_CH_Manual PM override_ Missed and Total to Total</t>
  </si>
  <si>
    <t>Validate the report when manual override flag value is updated from Missed and Total to Total
Test Objective: To Validate the report when manual override flag value is updated from Missed and Total to Total</t>
  </si>
  <si>
    <t>TC_OBI_PM1.4_005_CH_Manual PM override_ Total to allowed exception</t>
  </si>
  <si>
    <t xml:space="preserve">Validate the report when manual override flag value is updated from total to allowed exception 
Test Objective: To validate the report when manual override flag value is updated from total to allowed exception </t>
  </si>
  <si>
    <t>Pre-requisite 2:Comms hub should be available for allowed exception after processing the manual override file</t>
  </si>
  <si>
    <t>TC_OBI_PM1.4_006_CH_Manual PM override_ Total to Missed</t>
  </si>
  <si>
    <t>TC_OBI_PM1.4_005_CH_Manual PM override_ Total to Missed</t>
  </si>
  <si>
    <t xml:space="preserve">Validate the report when manual override flag value is updated from total to Missed.
Test Objective: To Validate the report when manual override flag value is updated from total to Missed.
</t>
  </si>
  <si>
    <t>Pre-requisite 2:Comms hub should be available for Missed after processing the manual override file</t>
  </si>
  <si>
    <t>User should be navigated to the Missed Detail_level report.</t>
  </si>
  <si>
    <t xml:space="preserve">Validate the report when CH with Manual PM Overrides feed for the particular month the CH was unconnected 
Test Objective: To Validate the report when CH with Manual PM Overrides feed for the particular month the CH was unconnected </t>
  </si>
  <si>
    <t>Step 20</t>
  </si>
  <si>
    <t>TC_OBI_PM1.4_006_CH_Manual PM override_ Same CH Override _current month</t>
  </si>
  <si>
    <t>TC_OBI_PM1.4_001_CH_Manual PM override_Missed to allowed exception,</t>
  </si>
  <si>
    <t>Screen shot of database values should be captured.</t>
  </si>
  <si>
    <t>Click on any bar in the daily/Monthly trend bar chart displayed.</t>
  </si>
  <si>
    <t>Validate the CH_ID's displayed in the detailed report.</t>
  </si>
  <si>
    <t>Screen shot of detailed report values along with database results should be captured</t>
  </si>
  <si>
    <t xml:space="preserve">TC_OBI_PM1.4_007_CH_Manual override_flag 2 </t>
  </si>
  <si>
    <t>PM_1.4_detail level report</t>
  </si>
  <si>
    <t>TC_OBI_PM1.4_008_CH_Manual override_flag 3</t>
  </si>
  <si>
    <t xml:space="preserve">TC_OBI_PM1.4_008_CH_Manual override_flag 3,TC_OBI_PM1.4_007_CH_Manual override_flag 2 </t>
  </si>
  <si>
    <t>Validate the value displayed against 'Exempted CH' status in tabular View.</t>
  </si>
  <si>
    <t>Screen-shot of the Mid-level report with Exempted CH status in tabular view highlighted should be captured.</t>
  </si>
  <si>
    <t>The value displayed against 'Exempted CH' status is equal to the number of CH's which are according to Pre requisite 1 or prerequisite 2.</t>
  </si>
  <si>
    <t>Click on number displayed against Exempted CH status in the tabular view</t>
  </si>
  <si>
    <t>Screen-shot of Mid_level page with Exempted CH value in tabular view highlighted and the screen-shot of Exempted CH_Detail_level should be captured.</t>
  </si>
  <si>
    <t>SMBSS.NTTD.PM_1.4.131,SMBSS.NTTD.PM_1.4.126,SMBSS.NTTD.PM_1.4.140</t>
  </si>
  <si>
    <t>SMBSS.NTTD.PM_1.4.132,SMBSS.NTTD.PM_1.4.140</t>
  </si>
  <si>
    <t>SMBSS.NTTD.PM_1.4.133,SMBSS.NTTD.PM_1.4.140</t>
  </si>
  <si>
    <t>SMBSS.NTTD.PM_1.4.130,SMBSS.NTTD.PM_1.4.141,SMBSS.NTTD.PM_1.4.140</t>
  </si>
  <si>
    <t>SMBSS.NTTD.PM_1.4.129,SMBSS.NTTD.PM_1.4.141,SMBSS.NTTD.PM_1.4.140</t>
  </si>
  <si>
    <t>SMBSS.NTTD.PM_1.4.128,SMBSS.NTTD.PM_1.4.141,SMBSS.NTTD.PM_1.4.140</t>
  </si>
  <si>
    <t>SMBSS.NTTD.PM_1.4.127,SMBSS.NTTD.PM_1.4.141,SMBSS.NTTD.PM_1.4.140</t>
  </si>
  <si>
    <t>SMBSS.NTTD.PM_1.4.107,SMBSS.NTTD.PM_1.4.141,SMBSS.NTTD.PM_1.4.140</t>
  </si>
  <si>
    <t>PM 1.4 Days taken to incident  field  validation of  Exempted CH detail level report
Test Objective: To validate the data for PM 1.4 Days taken to incident  field  validation of  Exempted CH detail level report</t>
  </si>
  <si>
    <t>SMBSS.NTTD.PM_1.4.118</t>
  </si>
  <si>
    <t>PM 1.4 Days taken to re-assign incident to SU  field  validation of  Exempted CH detail level report
Test Objective: To validate the data for PM 1.4 Days taken to re-assign incident to SU  field  validation of  Exempted CH detail level report</t>
  </si>
  <si>
    <t>TC_OBI_PM 1.4_009_Missed detail report _Days taken to re-assign incident to SU_field validation</t>
  </si>
  <si>
    <t>PM 1.4 Days taken to re-assign incident to SU  field  validation of  Missed detail level report
Test Objective: To validate the data for PM 1.4 Days taken to re-assign incident to SU  field  validation of  Missed detail level report</t>
  </si>
  <si>
    <t>User should be able to successfully navigate to the PM 1.4 Missed  Detail report</t>
  </si>
  <si>
    <t xml:space="preserve">CH Satisfies the pre requisite 1  and Prerequisite 2 should be displayed in PM1.4 Missed  detail report accordingly.
</t>
  </si>
  <si>
    <t>SMBSS.NTTD.PM_1.4.121</t>
  </si>
  <si>
    <t>PM 1.4  Exception reason field  validation of  Exempted CH detail level report
Test Objective: To validate the data for PM 1.4  Exception reason field  validation of  Exempted CH detail level report</t>
  </si>
  <si>
    <t xml:space="preserve">CH Satisfies the pre requisite 1  should be displayed in PM1.4 Exempted CH  detail report accordingly.
</t>
  </si>
  <si>
    <t>SMBSS.NTTD.PM_1.4.116</t>
  </si>
  <si>
    <t>PM 1.4 "Incident first assigned to Arqiva  field  validation of  Exempted CH detail level report
Test Objective: To validate the data for PM 1.4 "Incident first assigned to Arqiva  field  validation of  Exempted CH detail level report</t>
  </si>
  <si>
    <t>SMBSS.NTTD.PM_1.4.119</t>
  </si>
  <si>
    <t>PM 1.4 Incident first assigned to SU  field  validation of  Missed detail level report
Test Objective: To validate the data for PM 1.4 Incident first assigned to SU  field  validation of  Missed detail level report</t>
  </si>
  <si>
    <t>TC_OBI_PM 1.4_010_Missed detail report _Incident first assigned to SU_field validation</t>
  </si>
  <si>
    <t>SMBSS.NTTD.PM_1.4.120,</t>
  </si>
  <si>
    <t>Screen shot of the PM 1.4 mid level report should be captured along with the database results.</t>
  </si>
  <si>
    <t>TC_OBI_PM 1.4_010_Exempted CH detail report _Outage  start,outage end_Field validation</t>
  </si>
  <si>
    <t>TC_OBI_PM 1.4_011_Exempted CH detail report _Days taken to raise incident_field validation</t>
  </si>
  <si>
    <t>TC_OBI_PM 1.4_012_Exempted CH detail report _Days taken to re-assign incident to SU_field validation</t>
  </si>
  <si>
    <t>TC_OBI_PM 1.4_013_Exempted CH detail report _Exception reason_field validation</t>
  </si>
  <si>
    <t>TC_OBI_PM 1.4_014_Exempted CH detail report _"Incident first assigned to Arqiva"_field validation</t>
  </si>
  <si>
    <t>PM 1.4 "Incident first assigned to SU  field  validation of  Exempted CH detail level report
Test Objective: To validate the data for PM 1.4 "Incident first assigned to SU field  validation of  Exempted CH detail level report</t>
  </si>
  <si>
    <t>TC_OBI_PM 1.4_015_Exempted CH detail report _Incident first assigned to SU_field validation</t>
  </si>
  <si>
    <t>TC_OBI_PM 1.4_010_Missed detail report _Incident first assigned to SU_field validation,TC_OBI_PM 1.4_015_Exempted CH detail report _Incident first assigned to SU_field validation</t>
  </si>
  <si>
    <t>TC_OBI_PM 1.4_009_Missed detail report _Days taken to re-assign incident to SU_field validation,TC_OBI_PM 1.4_012_Exempted CH detail report _Days taken to re-assign incident to SU_field validation</t>
  </si>
  <si>
    <t>TC_OBI_PM 1.4_016_Exempted CH detail report _Manual PM Override Flag field_field validation</t>
  </si>
  <si>
    <t>Validate the Manual PM Override Flag field</t>
  </si>
  <si>
    <t xml:space="preserve">Screen shot of highlighted report values should be captured </t>
  </si>
  <si>
    <t>TC_OBI_PM 1.4_011_Missed detail report _Manual PM Override Flag field_field validation</t>
  </si>
  <si>
    <t xml:space="preserve">CH Satisfies the pre requisite 1  should be displayed in PM1.4 Missed  detail report accordingly.
</t>
  </si>
  <si>
    <t>SMBSS.NTTD.PM_1.4.122</t>
  </si>
  <si>
    <t>TC_OBI_PM 1.4_016_Exempted CH detail report _Manual PM Override Flag field_field validation,TC_OBI_PM 1.4_011_Missed detail report _Manual PM Override Flag field_field validation</t>
  </si>
  <si>
    <t>SMBSS.NTTD.PM_1.4.090</t>
  </si>
  <si>
    <t>TC_OBI_PM 1.4_007_Missed detail report _Outage 1_outage 2 Field validation</t>
  </si>
  <si>
    <t>TC_OBI_PM 1.4_010_Exempted CH detail report _Outage  start,outage end_Field validation,TC_OBI_PM 1.4_008_Missed detail report _Outage 1 start,outage 1 end_outage 2 start ,outage 2 end_Field validation</t>
  </si>
  <si>
    <t>TC_OBI_PM 1.4_005_CH Qualification against PM_Reporting date</t>
  </si>
  <si>
    <t>SMBSS.NTTD.PM_1.4.005</t>
  </si>
  <si>
    <t>TC_OBI_PM 1.4_002_Mid level report_Total _validation</t>
  </si>
  <si>
    <t>PM 1.4 Mid level report Total validation
Test Objective: To validate the values displayed against the Total value in PM1.4 Mid level report</t>
  </si>
  <si>
    <t xml:space="preserve">1.CH Satisfies the Pre requisite 1 should  be displayed in PM1.4 mid level tabular view status.
</t>
  </si>
  <si>
    <t>1.CH Satisfies the Pre requisite 1 should  be displayed in PM1.4 mid level tabular view status.
2.User should be able to see the updated data on a daily basis in the PM1.4 mid level report.</t>
  </si>
  <si>
    <t xml:space="preserve">PM1.4 Exempted CH Detail Report </t>
  </si>
  <si>
    <t>Validate the filters displayed in the PM1.4 Missed detail report
Test Objective:To Validate the filters displayed in the PM1.4 Missed detail report</t>
  </si>
  <si>
    <t xml:space="preserve">Login to OBI Analytics as User group and navigate to PM General home page </t>
  </si>
  <si>
    <t>User should be able to see PM1.4 in the bar chart</t>
  </si>
  <si>
    <t>Click on the PM1.4 bar chart</t>
  </si>
  <si>
    <t xml:space="preserve">Click on any of the daily/monthly trend bar chart </t>
  </si>
  <si>
    <t>screen shot of the report should be captured</t>
  </si>
  <si>
    <t>User should be able to navigate to PM 1.4  Mid-level report</t>
  </si>
  <si>
    <t>Click on Exempted CH value under “# of CH (Mmm-yyyy)” column in the PM 1.4 Mid Level tabular view</t>
  </si>
  <si>
    <t>screen shot of the missed detail report should be captured</t>
  </si>
  <si>
    <t>Validate the filters displayed in the exempted CH detail report</t>
  </si>
  <si>
    <t>screen shot of the report highlighting the filters should be captured</t>
  </si>
  <si>
    <t xml:space="preserve">User should be able to see the following filters in the header as follow:
i)Comms Hub ID 
ii)Exception Reason 
iii)Incident ID 
iv)Incident Status 
v)Pending SU Visit (80 Days) 
vi)Opted Out  
vii)Opted Out Date 
vii)Manual PM Override Flag
ix)Res Cat Tier 1- 3 
x)Prod Cat Tier 1 - 3  </t>
  </si>
  <si>
    <t>Validate the "Exception Reason","Incident status" and "Manual PM OverrideFlag" filter prompts</t>
  </si>
  <si>
    <t>screen shot of the report highlighting the three filters should be captured</t>
  </si>
  <si>
    <t>User should be able to select more than one option from the drop down filters</t>
  </si>
  <si>
    <t>PM1.4 Exempted CH detail report</t>
  </si>
  <si>
    <t>Validate the comms_hub_id and incident id in the PM1.4 exempted  CH detail report
Test Objective:To Validate the comms_hub_id and incident id in the PM1.4 exempted  CH detail report</t>
  </si>
  <si>
    <t>step 1</t>
  </si>
  <si>
    <t>step 2</t>
  </si>
  <si>
    <t>step 3</t>
  </si>
  <si>
    <t>User should be able to navigate to PM1.4 mid level report</t>
  </si>
  <si>
    <t>step 4</t>
  </si>
  <si>
    <t>Click on Exempted value under “# of CH (Mmm-yyyy)”  column in the PM 1.4 Mid Level tabular view</t>
  </si>
  <si>
    <t>screen shot of the exempted CH detail report should be captured</t>
  </si>
  <si>
    <t>Users should be able to navigate to PM1.4 Exempted CH Detail report</t>
  </si>
  <si>
    <t>step 5</t>
  </si>
  <si>
    <t>Validate the Comms_Hub_id in the filter prompt</t>
  </si>
  <si>
    <t>screen shot of the report highlighting the comms_hub_id filter should be captured</t>
  </si>
  <si>
    <t xml:space="preserve">User should be able to type the beginning of the searched value in "Comms Hub" filter in exempted CH detail report 
</t>
  </si>
  <si>
    <t>step 6</t>
  </si>
  <si>
    <t>Enter a relevant  value in Comms_Hub_id filter and Click on the Apply button</t>
  </si>
  <si>
    <t>User should be able to see the data in the report relevant to the search value in the  Comms_Hub_id  filter</t>
  </si>
  <si>
    <t>step 7</t>
  </si>
  <si>
    <t>Screen shot of the PM 1.4 exempted detail level report should be captured and data base result should be attached</t>
  </si>
  <si>
    <t>User should be able to see the same filtered data in the OBI and the database</t>
  </si>
  <si>
    <t>step 8</t>
  </si>
  <si>
    <t>Click on the Reset button</t>
  </si>
  <si>
    <t>User should be able to see the report  reset to the default selection</t>
  </si>
  <si>
    <t>step 9</t>
  </si>
  <si>
    <t xml:space="preserve">Validate the Incident_id in the filter prompt </t>
  </si>
  <si>
    <t xml:space="preserve">User should be able to type the exact searched value in the  "Incident ID" filter in Exempted CH detail report
</t>
  </si>
  <si>
    <t>step 10</t>
  </si>
  <si>
    <t>Enter a relevant  value in Incident_id filter and Click on the Apply button</t>
  </si>
  <si>
    <t>User should be able to see the data in the report relevant to the search value in the  Incident_id  filter</t>
  </si>
  <si>
    <t>step 11</t>
  </si>
  <si>
    <t>PM1.4 Exempted CH Detail report</t>
  </si>
  <si>
    <t>Validate the   columns displayed in PM1.4 Exempted CH detail report
Test Objective:To Validate the   columns displayed in PM1.4 Exempted CH detail report</t>
  </si>
  <si>
    <t>Click on Exempted CH  value under “# of CH (Mmm-yyyy)” column in the PM 1.4 Mid Level tabular view</t>
  </si>
  <si>
    <t>User should be able to successfully navigate to the PM 1.4 exempted CH  Detail report</t>
  </si>
  <si>
    <t xml:space="preserve">Validate the columns displayed in PM1.4 Exempted CH  detail report </t>
  </si>
  <si>
    <t>screen shot of the report highlighting the columns should be captured</t>
  </si>
  <si>
    <t>User should be able to see the following columns:
i)Comms Hub ID 
ii)Exception Reason 
iii)Outage Start 
iv)Outage End 
v)Outage Duration 
vi)Incident ID 
vii)Incident Status 
viii)Assigned by DCC Flag 
ix)Incident Reported Date 
Days taken to raise incident
Incident first assigned to Arqiva
Incident first assigned to SU 
Days taken to re-assign incident to SU 
Pending SU Visit (80 Days)
Res Cat Tier 1
Opted Out 
Opted Out Date 
Manual PM Override Flag
Manual PM Override Description
Prod Cat Tier 1</t>
  </si>
  <si>
    <t>TC_OBI_001_CR109_PM1.4_Mid_Level_Report_Barchart_and_Tabular_View_Validation</t>
  </si>
  <si>
    <t xml:space="preserve">PM1.4 Mid level report </t>
  </si>
  <si>
    <t>Validate the pie chart and tabular view displayed in the PM1.4 mid level report
Test Objective: To Validate the pie chart and tabular view displayed in the PM1.4 mid level report</t>
  </si>
  <si>
    <t xml:space="preserve">Validate the pie chart </t>
  </si>
  <si>
    <t xml:space="preserve">screen shot of the report highlighting the pie charts  should be captured </t>
  </si>
  <si>
    <t>User should be able to see the Pie Chart showing the number of Comms Hubs split by the following statuses: 
i)Missed
ii)Exempted CH
iii)Total</t>
  </si>
  <si>
    <t xml:space="preserve"> Validate the subtotal of Missed CH and Exempted CH</t>
  </si>
  <si>
    <t xml:space="preserve">PM1.4 summary level report </t>
  </si>
  <si>
    <t xml:space="preserve">Validate the MSL  line displayed in the PM1.4 summary level report 
Test Objective: To Validate the MSL  line displayed in the PM1.4 summary level report </t>
  </si>
  <si>
    <t>Pre-Requisite1:Data should be available in WC_PM_D for MSL with 99%</t>
  </si>
  <si>
    <t>screenshot of the database should be captured</t>
  </si>
  <si>
    <t xml:space="preserve">Hover on the MSL line in the daily and monthly trend bar chart </t>
  </si>
  <si>
    <t>screen shot of the report highlighting the MSL line should be captured</t>
  </si>
  <si>
    <t>User should be able to see the value as 99%</t>
  </si>
  <si>
    <t>Validate the MSL line displayed in the daily and monthly trend bar chart against the database
Login into SQL developer and run the attached query.
Table Name:WC_PM_D</t>
  </si>
  <si>
    <t>screen shot of the report and database should be captured</t>
  </si>
  <si>
    <t>User should be able to see the same data in the report and in the database</t>
  </si>
  <si>
    <t xml:space="preserve">Validate the TSL  line displayed in the PM1.4 summary level report 
Test Objective: To Validate the TSL  line displayed in the PM1.4 summary level report </t>
  </si>
  <si>
    <t>Pre-Requisite1:Data should be available in WC_PM_D for MSL with 99.9%</t>
  </si>
  <si>
    <t xml:space="preserve">Hover on the TSL line in the daily and monthly trend bar chart </t>
  </si>
  <si>
    <t>Validate the TSL line displayed in the daily and monthly trend bar chart against the database
Login into SQL developer and run the attached query.
Table Name:WC_PM_D</t>
  </si>
  <si>
    <t>TC_OBI_003_CR109_PM1.4_Legend_Validation</t>
  </si>
  <si>
    <t>Validate the legends displayed in the PM1.4 summary level .
Test Objective:To Validate the legends displayed in the PM1.4 summary level .</t>
  </si>
  <si>
    <t xml:space="preserve">Validate the legends in the PM1.4 summary level report </t>
  </si>
  <si>
    <t>screen shot of the report highlighting the legends should be captured</t>
  </si>
  <si>
    <t>User should be able to see the following legends next to the bar charts:
i)TSL Met
ii)TSL Not Met
iii)MSL Not Met
iv)TSL
v)MSL
vi)ASL = 0</t>
  </si>
  <si>
    <t>TC_OBI_004_CR109_PM1.4_"Click here for report values table" _Link_Under_Monthly_Bar_chart</t>
  </si>
  <si>
    <t>Validate the "Click here for report values table" link under the monthly trend bar chart
Test Objective:To Validate the "Click here for report values table" link under the monthly trend bar chart</t>
  </si>
  <si>
    <t>Validate the "Click here for report values table" link under the monthly trend bar chart</t>
  </si>
  <si>
    <t>screen shot of the report highlighting the link should be captured</t>
  </si>
  <si>
    <t>User should be able to see the  "Click here for report values table" link under the monthly trend bar chart</t>
  </si>
  <si>
    <t>Click on  "Click here for report values table" link under the monthly trend bar chart and validate the data in the report against the database 
Login into SQL developer and run the attached query
Table Name:WC_PM_EVENT_MONTHLY_F</t>
  </si>
  <si>
    <t xml:space="preserve">screen shot of the report highlighting the monthly trend tabular view  and database should be captured </t>
  </si>
  <si>
    <t xml:space="preserve">i)User should be able to see the monthly trend tabular view  for the selected month and the three previous months
ii)User should be able to see the same data in the report and in the database </t>
  </si>
  <si>
    <t>TC_OBI_001_CR109_PM1.4_Missed_detail_Report_Filter_Validation</t>
  </si>
  <si>
    <t xml:space="preserve">PM1.4 Missed Detail Report </t>
  </si>
  <si>
    <t>Click on Missed value under “# of CH (Mmm-yyyy)” column in the PM 1.4 Mid Level tabular view</t>
  </si>
  <si>
    <t>Validate the filters displayed in the missed detail report</t>
  </si>
  <si>
    <t>User should be able to see the following filters in the header as follow:
i)Comms Hub ID
ii)Uplink Tower ID Last
iii)CH Firmware Current
iv)Tamper Event
v)Tamper Event Date between 
vi)Manual PM Override Flag</t>
  </si>
  <si>
    <t>TC_OBI_002_CR109_PM1.4_Missed_detail_Report_Column_Validation</t>
  </si>
  <si>
    <t>Validate the   columns displayed in PM1.4 missed detail report
Test Objective:To Validate the   columns displayed in PM1.4 missed detail report</t>
  </si>
  <si>
    <t xml:space="preserve">Validate the columns displayed in PM1.4 Mised detail report </t>
  </si>
  <si>
    <t>User should be able to see the following columns:
i)Comms Hub ID
ii)Outage 1 Start 
iii)Outage 1 End 
iv)Outage 1 Duration 
v)Outage 2 Start
vi)Outage 2 End
vii)Outage 2 Duration 
viii)Uplink Tower ID Last 
ix)CH Firmware Current 
x)CH Buddy ID 
xi)Uplink Tower ID Best 
xii)Tamper Event 
xiiii)Tamper Event Date  
xiv)Manual PM Override Flag
xv)Manual PM Override Description</t>
  </si>
  <si>
    <t>PM1.4 Exempted detail report</t>
  </si>
  <si>
    <t>Validate the comms_hub_id field in the PM1.4 missed detail report
Test Objective:To Validate the comms_hub_id field   in the PM1.4 missed detail report</t>
  </si>
  <si>
    <t>Click on Missed  value under “# of CH (Mmm-yyyy)”  column in the PM 1.4 Mid Level tabular view</t>
  </si>
  <si>
    <t>Users should be able to navigate to PM1.4 Missed  Detail report</t>
  </si>
  <si>
    <t>Screen shot of the PM 1.4 missed detail level report should be captured and data base result should be attached</t>
  </si>
  <si>
    <t>TC_OBI_PM1.4_007_Summary_Page_Bar_Chart_Data_Validation,
TC_OBI_PM1.4_008_PM_General_Data_Validation,
TC_OBI_PM1.4_012_Performance_Area_Report_Data_Validation
TC_008_OBI_PM_Annual_Actual_Service_Level_report_Data_Validation,
TC_049_OBI_PM_Annual_Service_Failures_Report_Summary_Report_Tabular_View_Data_Validation,
TC_024_OBI_PM_Annual_Service_Points_and_Credits_Report_Service_Points_Yearly_ternd_tabular_View_Data_Validation
TC_OBI_PM_Quarterly_007_Actual_Service_Level_Report_Data_Validation,
TC_OBI_PM_Quaterly_018_Service_Points_And_Credits_Report_Stacked_Bar_Chart_Monthly_Trend_Service_Points_Data_Validation
TC_OBI_PMSCD_001_ detail report_data validation,
TC_OBI_PMSCD_002_data validation _summary report
TC_OBI_BillingServiceCrDetail_030_Service_credit_detail_calculation,
TC_OBI_BillingServiceDb_026_Service_debit_summary_data_validation,
TC_OBI_BillingServiceCr_023_Service_credit_summary_data_validation,TC_OBI_PM 1.4_001_PM 1_ Performance Area_Navigation,TC_OBI_PM 1.4_016_Detail level report Drop down filter_Single selection,TC_OBI_PM 1.4_007_Mid level report_Pie Chart_Validation,TC_OBI_PM 1.4_009_Mid level report_Tabular view_total and sub total</t>
  </si>
  <si>
    <t>TC_OBI_001_CR109_PM1.4_Exclusion_Condition_1</t>
  </si>
  <si>
    <t xml:space="preserve">PM1.4 detail report </t>
  </si>
  <si>
    <t>Validate the Comms_Hub_id's are not displayed in the PM1.4 Missed and Exempted CH Detail level report if CH is less or equal to a Rollout Date (Primavera) for the Site ID (Primavera), where the Site ID is associated to the Best Server Uplink Link if not then Downlink ID (Planet) for a Postcode (CHSU&amp;Planet) where the CH is installed 
Test Objective:To Validate the Comms_Hub_id's are not displayed in the PM1.4 Missed and Exempted CH Detail level report if CH is less or equal to a Rollout Date (Primavera) for the Site ID (Primavera), where the Site ID is associated to the Best Server Uplink Link if not then Downlink ID (Planet) for a Postcode (CHSU&amp;Planet) where the CH is installed</t>
  </si>
  <si>
    <t>Pre-Requisite 1:Data should be available  where ods_ch_logistical.JSR_Install_Datetime&lt;=ods_site_rollout.Rollout_Date for the site_id where ods_site_rollout.Site_Id=ods_pc_covg.Best_Server_Ul and ods_ch_logistical.JSR_PostCode=ods_pc_covg.Post_Code</t>
  </si>
  <si>
    <t>screen shot of the database should be captured</t>
  </si>
  <si>
    <t>Login to OBI Analytics as User group,click on Dashboards drop down list and Click on  performance measures</t>
  </si>
  <si>
    <t>Select the appropriate date as per pre-requisite 1</t>
  </si>
  <si>
    <t>User should be able to see PM1.4  in the Bar chart.</t>
  </si>
  <si>
    <t>Click on the PM1.4 bar chart displayed in PM_General report</t>
  </si>
  <si>
    <t>User should be able to see the Summary page of PM1.4 in the new tab.</t>
  </si>
  <si>
    <t>Click on a bar in PM1.4 monthly/daily  trend bar chart</t>
  </si>
  <si>
    <t>Screen shot of PM1.4 mid level report  should be captured</t>
  </si>
  <si>
    <t>Click on the any of the values in Missed column of the tabular view</t>
  </si>
  <si>
    <t>Screen shot of  PM1.4 detail level report should be captured</t>
  </si>
  <si>
    <t>User should be able to navigate to the  PM1.4 detail level report</t>
  </si>
  <si>
    <t>screen shot of the database and the report should be captured</t>
  </si>
  <si>
    <t>User should not be able to see the CH_ID's in the report  that satisfy the pre-requisite 1</t>
  </si>
  <si>
    <t xml:space="preserve">click on the return link </t>
  </si>
  <si>
    <t xml:space="preserve">User should be able to navigate back to the PM1.4 Mid level report </t>
  </si>
  <si>
    <t>Click on the any of the values in Exempted CH column of the tabular view</t>
  </si>
  <si>
    <t>User should be able to navigate to the  PM1.4 Exempted CH level report</t>
  </si>
  <si>
    <t>TC_OBI_002_CR_109_PM1.4_Exclusion_Condition_2</t>
  </si>
  <si>
    <t xml:space="preserve">Validate the Comms_Hub_id's are not displayed in the PM1.4 Exempted CH and Missed Detail level report if the Metal_Obstruction_Chk='Yes' 
Test Objective:To Validate the Comms_Hub_id's are not displayed in the PM1.4 Exempted CH and Missed Detail level report if the Metal_Obstruction_Chk='Yes' </t>
  </si>
  <si>
    <t>Select the appropriate date for which data is present for PM1.4</t>
  </si>
  <si>
    <t>User should be able to see PM1.4 in the Bar chart.</t>
  </si>
  <si>
    <t>Click on the PM 1.4 bar chart displayed in PM_General report</t>
  </si>
  <si>
    <t>User should be able to see the Summary page of PM 1.4 in the new tab.</t>
  </si>
  <si>
    <t>Click on a bar in PM 1.4  daily/monthly trend bar chart</t>
  </si>
  <si>
    <t>Screen shot of PM 1.4 mid level report  should be captured</t>
  </si>
  <si>
    <t>User should be able to navigate to PM 1.4 mid level report</t>
  </si>
  <si>
    <t>Screen shot of  PM 1.4 detail level report should be captured</t>
  </si>
  <si>
    <t>User should be able to navigate to the  PM 1.4 detail level report</t>
  </si>
  <si>
    <t>User should be able to navigate to the  PM 1.4 Exempted CH detail level report</t>
  </si>
  <si>
    <t>TC_OBI_003_CR_109_PM1.4_Exclusion_Condition_3</t>
  </si>
  <si>
    <t>Validate the Comms_Hub_id's are not displayed in the PM1.4 Missed and Exempted CH detail level report that satisfies the pre-requisite1
Test Objective:To Validate the Comms_Hub_id's are not displayed in the PM1.4 Missed and Exempted CH detail level report that satisfies the pre-requisite1</t>
  </si>
  <si>
    <t>Pre-Requisite 1:Dats should be  available for ODS_CH_LOSS_OF_SMWAN_CONN satisfying the following condition:
-i)IncidentRecord. Summary = "CHF Install – no SM WAN" AND 
 IncidentRecord. Reported Source "Job Status Report" AND
IncidentRecord. Resolution Categorisation Tier 1 = “No Fault Found” AND
 IncidentRecord. Resolution Categorisation Tier 2 = “User Error”  AND
 IncidentRecord. Resolution Categorisation Tier 3 = “Physical Damage” OR  “Failed to follow CHIPSM” OR “Failed to follow CHMSM” AND
-IncidentRecord. Status = "Closed"</t>
  </si>
  <si>
    <t>TC_OBI_004_CR109_PM1.4_Exclusion_Condition_4</t>
  </si>
  <si>
    <t xml:space="preserve">Validate the Comms_Hub_id's are not displayed in the PM1.4 Missed and Exempted CH  Detail level report  when the CH is identified as  Exclusion through Manual PM Overrides Feed  
Test Objective:To Validate the Comms_Hub_id's are not displayed in the PM1.4 Missed and Exempted CH  Detail level report  when the CH is identified as  Exclusion through Manual PM Overrides Feed  </t>
  </si>
  <si>
    <t>Prerequisite 1: CH is identified as Exclusion through Manual PM Overrides Feed .</t>
  </si>
  <si>
    <t>Data should be available for the condition override flag=4 in DWH for testing.</t>
  </si>
  <si>
    <t>Select  any date other than the install date</t>
  </si>
  <si>
    <t>Click on a bar in PM1.4  daily/monthly trend bar chart</t>
  </si>
  <si>
    <t xml:space="preserve">Click on the return link </t>
  </si>
  <si>
    <t>Click on the any of the values in Allowed Exception  column of the tabular view</t>
  </si>
  <si>
    <t>User should be able to navigate to the  PM1.4 Allowed Exception level report</t>
  </si>
  <si>
    <t xml:space="preserve">TC_OBI_PM 1.4_001_CR109_PM 1_ Performance Area_Report
</t>
  </si>
  <si>
    <t xml:space="preserve">PM1.4 Performance area report </t>
  </si>
  <si>
    <t xml:space="preserve">Validate the data displayed in the PM1.4 performance area report is same as per PM1.4 summary level report 
Test Objective:To Validate the data displayed in the PM1.4 performance area report is same as per PM1.4 summary level report </t>
  </si>
  <si>
    <t xml:space="preserve">Validate the legends displayed next to monthly and daily trend bar charts in the PM1.4 Performance area  report </t>
  </si>
  <si>
    <t>step 12</t>
  </si>
  <si>
    <t>JAMA Folder</t>
  </si>
  <si>
    <t>Executed?</t>
  </si>
  <si>
    <t>Test Case ID</t>
  </si>
  <si>
    <t>Subject Area</t>
  </si>
  <si>
    <t>Test Name</t>
  </si>
  <si>
    <t>Test Data</t>
  </si>
  <si>
    <t>Expected Result</t>
  </si>
  <si>
    <t>Feedback Comments</t>
  </si>
  <si>
    <t>Status/Reason</t>
  </si>
  <si>
    <t>Actual Result</t>
  </si>
  <si>
    <t>Execution Planned Start Date</t>
  </si>
  <si>
    <t>Execution Planned End Date</t>
  </si>
  <si>
    <t>Execution Actual Start Date</t>
  </si>
  <si>
    <t>Execution Actual End Date</t>
  </si>
  <si>
    <t>Status</t>
  </si>
  <si>
    <t>Comments</t>
  </si>
  <si>
    <t>TC_OBI_PMRBE_001_CR109_PM 1.4_Summary report_Email_Functionality_ no condition.</t>
  </si>
  <si>
    <t>PM Reports By Email</t>
  </si>
  <si>
    <t>Validate PM 1.4  Summary  level emailed report
Test Objective:  To Validate PM 1.4 Summary  level emailed report</t>
  </si>
  <si>
    <t>Pre-requisite 1: On a Monthly basis (1st day of the month) for the previous complete month with no condition should be sent to the specified email recipient (smart.servicelevelmanagement@arqiva.com)</t>
  </si>
  <si>
    <t>Pre-requisite  2: For testing purpose testers Email ID should be configured to receive reports</t>
  </si>
  <si>
    <t>Pre-requisite 3: Data should be available for PM1.4 summary level report for previous month.</t>
  </si>
  <si>
    <t>Login to Arqiva email account and validate the document attached is in PDF format and also name of the document</t>
  </si>
  <si>
    <t>User should be able to see the attached pdf document and also name of it  as "Full Report Title "
Example: "Performance Measure # on &lt;dd Mmm yyyy&gt;</t>
  </si>
  <si>
    <t xml:space="preserve">Validate the Subject of Email </t>
  </si>
  <si>
    <t>User should be able to see the subject of the email " Full Report Title - Smart Metering "
Example: "Performance Measure # on &lt;dd Mmm yyyy&gt; - Smart Metering</t>
  </si>
  <si>
    <t>Click on the pdf document</t>
  </si>
  <si>
    <t>User should be able to save or open the pdf</t>
  </si>
  <si>
    <t>Validate the bar charts and tabular views in the emailed report</t>
  </si>
  <si>
    <t>i)User should be able to see the bar charts and tabular views in the Summary level report.
Ii)User should be able to see values that are represented by the bar charts in the tabular view</t>
  </si>
  <si>
    <t>Validate the  Arqiva logo, footer and note in the attached report</t>
  </si>
  <si>
    <t>Screen shot of the report should be captured with the Arqiva logo, footer and note  highlighted</t>
  </si>
  <si>
    <t>User should be able to see the Arqiva logo and "Confidential and Commercially Sensitive not to be shared with other DCC Service Providers" in the footer and "Smart Metering" note</t>
  </si>
  <si>
    <t>User should be able to see the Performance Measures under Arqiva smart metering</t>
  </si>
  <si>
    <t>Click on Performance Measure  tab</t>
  </si>
  <si>
    <t>User should be able to see the Performance measures dashboard with the General PM tab selected by default</t>
  </si>
  <si>
    <t>Validate the summary report details with the emailed pdf report</t>
  </si>
  <si>
    <t xml:space="preserve">Screen shot of the PM 1.4 summary  report should be captured along with the emailed pdf document </t>
  </si>
  <si>
    <t>User should be able to see the PM1.4 summary level report data same as the data emailed in PDF</t>
  </si>
  <si>
    <t>TC_OBI_PMRBE_002_CR_109_PM 1.4_Summary report_Email Functionality_ ASL&lt;TSL</t>
  </si>
  <si>
    <t>Validate PM 1.4 Summary  level emailed report when ASL&lt;TSL
Test Objective:  To validate PM 1.4 Summary  level emailed report when ASL&lt;TSL</t>
  </si>
  <si>
    <t>Pre-requisite 1: On a daily basis at 08:00 AM for current month, PM 1.4  summary level report should be sent to the specified email recipient (smart.servicelevelmanagement@arqiva.com)</t>
  </si>
  <si>
    <t>Pre-requisite 3: Data should be available for the 3rd month previous to last complete month if ASL &lt; TSL for the 3rd month previous to last complete month (e.g. On 1st May 2017, the emailed reports shall display data for  Jan 2017)</t>
  </si>
  <si>
    <t>User should be able to see the PM1.4 summary level report data same as the data emailed in PDF as per the prerequisite 3.</t>
  </si>
  <si>
    <t>TC_OBI_PMRBE_003_CR_109_PM 1.4_Missed detail report_Email Functionality_ ASL&lt;TSL</t>
  </si>
  <si>
    <t>Validate PM 1.4 Missed CH detail emailed report 
Test Objective:  To validate the email functionality of the PM 1.4 Missed CH detail report</t>
  </si>
  <si>
    <t>Pre-requisite 1: On a daily basis at 08:00 AM, PM 1.4  Missed CH Detail report should be sent to the specified email recipient (smart.servicelevelmanagement@arqiva.com)</t>
  </si>
  <si>
    <t>Login to Arqiva email account and validate the document attached is in Excel format and also name of the document</t>
  </si>
  <si>
    <t>User should be able to see the attached Excel document and also name of it  as "Full Report Title "
Example: PM 1.4 – Missed CH – Detail – Smart Metering</t>
  </si>
  <si>
    <t>User should be able to see the subject of the email as " Full Report Title - Smart Metering "
Example: PM 1.4 – Missed CH – Detail – Smart Metering</t>
  </si>
  <si>
    <t>Click on the Excel document</t>
  </si>
  <si>
    <t>User should be able to save or open the Excel</t>
  </si>
  <si>
    <t>User should be able to see the Performance Measure Dashboard.</t>
  </si>
  <si>
    <t>Click on the PM 1.4 bar in the PM General report</t>
  </si>
  <si>
    <t>User should be able to see the PM 1.4 daily and monthly trend bar charts</t>
  </si>
  <si>
    <t>Click on any bar of the daily or monthly trend bar charts of PM 1.4</t>
  </si>
  <si>
    <t>User should be able to navigate to the PM 1.4 Mid Level report</t>
  </si>
  <si>
    <t>Click on Missed CH value under “# of CH (Mmm-yyyy)”  column in the PM 1.4 Mid Level tabular view</t>
  </si>
  <si>
    <t>User should be able to navigate to the PM 1.4 Missed CH Detail report</t>
  </si>
  <si>
    <t>Validate the report details with the emailed Excel report</t>
  </si>
  <si>
    <t xml:space="preserve">Screen shot of the PM 1.4 Missed CH Detail report  should be captured along with the emailed Excel document </t>
  </si>
  <si>
    <t>User should be able to see the PM 1.4 Missed CH Detail   report data same as the data emailed in Excel</t>
  </si>
  <si>
    <t>TC_OBI_PMRBE_004_CR109_PM 1.4_Summary report_Email_Functionality_no condition</t>
  </si>
  <si>
    <t>Validate PM 1.4 Summary  level emailed report
Test Objective:  To Validate PM 1.4 Summary  level emailed report</t>
  </si>
  <si>
    <t xml:space="preserve">Screen shot of the PM 1.4  summary  report should be captured along with the emailed pdf document </t>
  </si>
  <si>
    <t>TC_OBI_PMRBE_005_CR109_PM 1.4_Summary report_Email Functionality_ ASL&gt;TSL</t>
  </si>
  <si>
    <t>Validate PM 1.4 Summary  level emailed report when ASL&gt;TSL
Test Objective:  To validate PM 1.4 Summary  level emailed report when ASL &gt;TSL</t>
  </si>
  <si>
    <t>Pre-requisite 3: Data should be available for the 3rd month previous to last complete month if ASL &gt;TSL for the 3rd month previous to last complete month (e.g. On 1st May 2017, the emailed reports shall display data for  Jan 2017)</t>
  </si>
  <si>
    <t>User should not receive any email as the condition is ASL is greater than TSL</t>
  </si>
  <si>
    <t>TC_OBI_PMRBE_006_CR109_PM 1.4_Missed detail report_Email Functionality_ ASL&gt;TSL</t>
  </si>
  <si>
    <t>SMBSS.NTTD.PM_1.4.029</t>
  </si>
  <si>
    <t>SMBSS.NTTD.PM_1.4.030</t>
  </si>
  <si>
    <t>SMBSS.NTTD.PM_1.4.037</t>
  </si>
  <si>
    <t>SMBSS.NTTD.PM_1.4.041</t>
  </si>
  <si>
    <t>SMBSS.NTTD.PM_1.4.058</t>
  </si>
  <si>
    <t>SMBSS.NTTD.PM_1.4.057</t>
  </si>
  <si>
    <t>SMBSS.NTTD.PM_1.4.015</t>
  </si>
  <si>
    <t>SMBSS.NTTD.PM_1.4.104</t>
  </si>
  <si>
    <t>TC_OBI_002_PM1.4_Exclusion_Condition_2</t>
  </si>
  <si>
    <t>SMBSS.NTTD.PM_1.4.105</t>
  </si>
  <si>
    <t>TC_OBI_003_PM1.4_Exclusion_Condition_3</t>
  </si>
  <si>
    <t>SMBSS.NTTD.PM_1.4.106</t>
  </si>
  <si>
    <t>TC_OBI_004_PM1.4_Exclusion_Condition_4</t>
  </si>
  <si>
    <t>SMBSS.NTTD.PM_1.4.069</t>
  </si>
  <si>
    <t>TC_OBI_PMRBE_001_PM 1.4_Summary report_Email_Functionality_ no condition.</t>
  </si>
  <si>
    <t>SMBSS.NTTD.PM_1.4.070</t>
  </si>
  <si>
    <t>SMBSS.NTTD.PM_1.4.071</t>
  </si>
  <si>
    <t>SMBSS.NTTD.PM_1.4.080</t>
  </si>
  <si>
    <t>SMBSS.NTTD.PM_1.4.082</t>
  </si>
  <si>
    <t>SMBSS.NTTD.PM1_1.4_Email.010</t>
  </si>
  <si>
    <t>TC_OBI_PMRBE_002_PM 1.4_Summary report_Email Functionality_ ASL&lt;TSL</t>
  </si>
  <si>
    <t>SMBSS.NTTD.PM1_1.4_Email.011</t>
  </si>
  <si>
    <t>TC_OBI_PMRBE_003_PM 1.4_Missed detail report_Email Functionality_ ASL&lt;TSL</t>
  </si>
  <si>
    <t>SMBSS.NTTD.PM1_1.4_Email.012</t>
  </si>
  <si>
    <t>TC_OBI_PMRBE_004_PM 1.4_Summary report_Email_Functionality_no condition</t>
  </si>
  <si>
    <t>SMBSS.NTTD.PM_1.4.078</t>
  </si>
  <si>
    <t xml:space="preserve">TC_OBI_PM 1.4_001_PM 1_ Performance Area_Report
</t>
  </si>
  <si>
    <t>SMBSS.NTTD.PM_1.4.092</t>
  </si>
  <si>
    <t>SMBSS.NTTD.PM_1.4.093</t>
  </si>
  <si>
    <t>SMBSS.NTTD.PM_1.4.142---Regression</t>
  </si>
  <si>
    <t>PM 1.4  Exempted CH Qualification against PM
Test Objective:To validate the criteria used to determine 'Exempted' for CH against the measurement period</t>
  </si>
  <si>
    <r>
      <t>TC_OBI_PM 1.4_001 _CH qualification against PM_Exempted CH_</t>
    </r>
    <r>
      <rPr>
        <sz val="10"/>
        <rFont val="Calibri"/>
        <family val="2"/>
        <scheme val="minor"/>
      </rPr>
      <t>Criterial1</t>
    </r>
  </si>
  <si>
    <t>Screen shot of database should be captured</t>
  </si>
  <si>
    <t>PM 1.4 Outage  start,outage end field  validation of  Exempted CH detail level report
Test Objective: To validate the data for Outage  start,outage end field  validation of  Exempted CH detail level report</t>
  </si>
  <si>
    <r>
      <t>PM 1.4 "Manual PM Override Flag"</t>
    </r>
    <r>
      <rPr>
        <sz val="10"/>
        <rFont val="Calibri"/>
        <family val="2"/>
        <scheme val="minor"/>
      </rPr>
      <t xml:space="preserve">field  </t>
    </r>
    <r>
      <rPr>
        <sz val="10"/>
        <color theme="1"/>
        <rFont val="Calibri"/>
        <family val="2"/>
        <scheme val="minor"/>
      </rPr>
      <t xml:space="preserve"> validation of  Exempted CH detail level report
Test Objective: To validate the data for PM 1.4 "Manual PM Override Flag " field  validation of  Exempted CH detail level report</t>
    </r>
  </si>
  <si>
    <r>
      <t>Validate the filters displayed in the PM1.4</t>
    </r>
    <r>
      <rPr>
        <sz val="9"/>
        <color rgb="FFFF0000"/>
        <rFont val="Calibri"/>
        <family val="2"/>
        <scheme val="minor"/>
      </rPr>
      <t xml:space="preserve"> </t>
    </r>
    <r>
      <rPr>
        <sz val="9"/>
        <rFont val="Calibri"/>
        <family val="2"/>
        <scheme val="minor"/>
      </rPr>
      <t>Exempted cH</t>
    </r>
    <r>
      <rPr>
        <sz val="9"/>
        <color theme="1"/>
        <rFont val="Calibri"/>
        <family val="2"/>
        <scheme val="minor"/>
      </rPr>
      <t xml:space="preserve">detail report
Test Objective:To Validate the filters displayed in the PM1.4 </t>
    </r>
    <r>
      <rPr>
        <sz val="9"/>
        <rFont val="Calibri"/>
        <family val="2"/>
        <scheme val="minor"/>
      </rPr>
      <t>Exempted CH</t>
    </r>
    <r>
      <rPr>
        <sz val="9"/>
        <color rgb="FFFF0000"/>
        <rFont val="Calibri"/>
        <family val="2"/>
        <scheme val="minor"/>
      </rPr>
      <t xml:space="preserve"> </t>
    </r>
    <r>
      <rPr>
        <sz val="9"/>
        <color theme="1"/>
        <rFont val="Calibri"/>
        <family val="2"/>
        <scheme val="minor"/>
      </rPr>
      <t>detail report</t>
    </r>
  </si>
  <si>
    <t>Click on the daily/monthly  bar in the summary level report</t>
  </si>
  <si>
    <t>User should be able to navigate to PM 1.4 Mid level report</t>
  </si>
  <si>
    <t>Screens hot of database should be captured</t>
  </si>
  <si>
    <t>To validate the Comm's hub ID for which Manualoverrideflag="2 " in allowed exception detailed report.
Test Objective: To validate the Comm's hub ID for which Manualoverrideflag="2 " in allowed exception detailed report.</t>
  </si>
  <si>
    <t>To validate the Comm's hub ID for which Manualoverrideflag="3 " in allowed exception detailed report.
Test Objective: To validate the Comm's hub ID for which Manualoverrideflag="3 " in allowed exception detailed report.</t>
  </si>
  <si>
    <t>User should be navigated to the Exempted CH_Detail_level report.</t>
  </si>
  <si>
    <t xml:space="preserve">1.The number of CH_ID's displayed in detailed report should be equal to the number displayed against Exempted CH Status in tabular view of Mid_Level report for selected date in PM_General date prompt as per the pre requisite
</t>
  </si>
  <si>
    <t>The value displayed against 'Exempted CH' status is equal to the number of CH's which are according to Pre requisite 1</t>
  </si>
  <si>
    <t xml:space="preserve">1.The number of CH_ID's displayed in detailed report should be equal to the number displayed against Exempted CH Status in tabular view of Mid_Level report for selected date in PM_General date prompt as per the pre requisite 1.
</t>
  </si>
  <si>
    <t>TC_OBI_017_CR109_PM1.4_Exempted_CH_detail_Report_Filter_Validation</t>
  </si>
  <si>
    <t>TC_OBI_018_CR109_PM1.4_Exempted_CH_Comms_Hub_and_Incident_ID_Validation</t>
  </si>
  <si>
    <t>SMBSS.NTTD.PM_1.4.062</t>
  </si>
  <si>
    <t>SMBSS.NTTD.PM_1.4.124</t>
  </si>
  <si>
    <t>SMBSS.NTTD.PM_1.4.124,SMBSS.NTTD.PM_1.4.125</t>
  </si>
  <si>
    <t>TC_OBI_019_CR109_PM1.4_Exempted_CH_detail_Report_Column_Validation</t>
  </si>
  <si>
    <t>SMBSS.NTTD.PM_1.4.061</t>
  </si>
  <si>
    <t>TC_OBI_003_CR109_PM1.4_MSL_Line_Validation</t>
  </si>
  <si>
    <t>TC_OBI_004_CR109_PM1.4_TSL_Line_Validation</t>
  </si>
  <si>
    <t>TC_OBI_005_CR109_PM1.4_Legend_Validation</t>
  </si>
  <si>
    <t>TC_OBI_006_CR109_PM1.4_"Click here for report values table" _Link_Under_Monthly_Bar_chart</t>
  </si>
  <si>
    <t>TC_OBI_007_CR109_PM1.4_Mid_Level_Report_Barchart_and_Tabular_View_Validation</t>
  </si>
  <si>
    <t>SMBSS.NTTD.PM_1.4.041,SMBSS.NTTD.PM_1.4.037</t>
  </si>
  <si>
    <t xml:space="preserve">User should be able to type the beginning of the searched value in "Comms Hub" filter in missed detail report 
</t>
  </si>
  <si>
    <t>TC_OBI_012_CR109_PM1.4_Missed_detail_Report_Filter_Validation</t>
  </si>
  <si>
    <t>TC_OBI_013_CR109_PM1.4_Missed_detail_Report_Column_Validation</t>
  </si>
  <si>
    <t>TC_OBI_014_CR109_PM1.4_Missed_Detail_Comms_Hub_ID_Filter_Validation</t>
  </si>
  <si>
    <t>PM 1.4 Outage duration for Missed detail level report
Test Objective: To validate outage duration PM 1.4 Missed detail report for a CH has been connected on the current date  and not connected on the current date.</t>
  </si>
  <si>
    <t>PM 1.4 "Manual PM Override Flag @field    validation of  Missed detail level report
Test Objective: To validate the data for PM 1.4 "Manual PM Override Flag " field  validation of  Missed detail level report</t>
  </si>
  <si>
    <t>CH Id has been Identified as allowed exception and Run the PM Manual over ride  file  with the condition (Manual_PM_Override_Flag=2)</t>
  </si>
  <si>
    <t xml:space="preserve">CH Id has been Identified as Total and Run the PM Manual over ride  file  </t>
  </si>
  <si>
    <t xml:space="preserve">CH Id has been Identified as Allowed exception and Run the PM Manual over ride  file  </t>
  </si>
  <si>
    <t xml:space="preserve">CH Id has been Identified as Missed and Run the PM Manual over ride  file  </t>
  </si>
  <si>
    <t>Scenarios</t>
  </si>
  <si>
    <t>Testcases</t>
  </si>
  <si>
    <t>validate PM 1.4 Missed detail report  for  CH has been Unconnected (Missed) at any point in the measurement period due to an outage, then even if it was Allowed Exception (except if it is Opted Out) in that measurement period due to another outage, that CH shall be reported as Missed and Total for that measurement period</t>
  </si>
  <si>
    <t>To validate PM 1.4 Missed detail report for a CH disconnects (Missed) or meets Allowed Exception criteria more than once within the same measurement period, the CH shall be reported only once in that measurement period</t>
  </si>
  <si>
    <t>Exempted CH criteria-For a particular CH Opt Out feed.Opt Out Status = 1 (Yes) within the measurement period or before the measurement period</t>
  </si>
  <si>
    <t xml:space="preserve">To validate the criteria used to determine 'Exempted' for CH against the measurement period
</t>
  </si>
  <si>
    <t>Validate the report when manual override flag value is updated from  missed to allowed exception</t>
  </si>
  <si>
    <t>To Validate the report when manual override flag value is updated from  allowed exception to Missed</t>
  </si>
  <si>
    <t xml:space="preserve">Validate the report when CH with Manual PM Overrides feed for the particular month the CH was unconnected </t>
  </si>
  <si>
    <t>Validate the Comms_Hub_id's are not displayed in the PM1.4 Missed and Exempted CH Detail level report if CH is less or equal to a Rollout Date (Primavera) for the Site ID (Primavera), where the Site ID is associated to the Best Server Uplink Link if not then Downlink ID (Planet) for a Postcode (CHSU&amp;Planet) where the CH is installed</t>
  </si>
  <si>
    <t xml:space="preserve">Validate the Comms_Hub_id's are not displayed in the PM1.4 Exempted CH and Missed Detail level report if the Metal_Obstruction_Chk='Yes' </t>
  </si>
  <si>
    <t xml:space="preserve">Validate the Comms_Hub_id's are not displayed in the PM1.4 Missed and Exempted CH  Detail level report  when the CH is identified as  Exclusion through Manual PM Overrides Feed  </t>
  </si>
  <si>
    <t>Pre-requisite 1: Data should be available such that for a particular CH Opt Out feed.Opt Out Status = 1 (Yes) within the measurement period or before the measurement period
Tablename: ods_ch_loss_of_smwan_conn</t>
  </si>
  <si>
    <t>Validate the data
Login to SQL developer
Run the attached query
Table Name:
ods_ch_loss_of_smwan_conn</t>
  </si>
  <si>
    <t>Pre requisite 1:
 if CH qualifies as "Excluded CH" against that measurement period,then CH should not be reported as "Total",  "Missed" or "Allowed Exception"  against measurement period for PM1.4
Tablename: ods_ch_loss_of_smwan_conn</t>
  </si>
  <si>
    <t>Validate the data in PM 1.4 mid level report tabular report
Go to SQL developer and run the query
Table name: ods_ch_loss_of_smwan_conn</t>
  </si>
  <si>
    <t>Pre requisite 1:
 if CH qualifies as "Allowed exception" against that measurement period,then CH should not be reported as "Total",  "Missed"  against measurement period for PM1.4
Tablename: ods_ch_loss_of_smwan_conn</t>
  </si>
  <si>
    <t>Pre requisite 1: Data should be available as per th below criteria in tha database
-- CH reported as Missed and Total at the same time if CH meets both qualifications(Missed and Total)
 Total = CH with Operational Status “Active”
Tablename: ods_ch_loss_of_smwan_conn</t>
  </si>
  <si>
    <t>Pre-requisite 1: Data should be available for PM 1.4 such that PM 1.4 Summary level report ASL calculation has to be  excluded for  the CH reported as "Allowed Exception" or "Excluded" against that measurement period
 --Total = CH with Operational Status “Active”
--If CH qualifies as Active at any point during the measurement period, then that CH shall be reported as "Total" for that measurement period e.g. CH was Active until 15th Jan, after that CH was no longer Active - at the end of the Jan CH shall be reported as Active
Tablename: ods_ch_loss_of_smwan_conn</t>
  </si>
  <si>
    <t>Validate the ASL value
Login to SQL developer
Run the attached query
Table Name: 
ods_ch_loss_of_smwan_conn</t>
  </si>
  <si>
    <t>Pre-requisite 1: Data should be available such that for a particular CH 
--Incident raised with in 10 days of outage notification  and it is closed 
--Incident raised with in 10 days of outage notification  and it is closed  befor outage end.
Tablename: ods_ch_loss_of_smwan_conn</t>
  </si>
  <si>
    <t>Pre-requisite 1: Data should be available such that for a particular CH 
--If CH has been Opted Out at any point during or before the measurement period, then even if it was Unconnected (Missed) in that measurement period, the CH shall be reported as Allowed Exception for  that measurement period
Tablename: ods_ch_loss_of_smwan_conn</t>
  </si>
  <si>
    <t>Pre-requisite 1: Data should be available as per the below criteria.
 --Total = CH with Operational Status “Active”
 CH has been Unconnected (Missed) at any point in the measurement period due to an outage, then even if it was Allowed Exception (except if it is Opted Out) in that measurement period due to another outage, that CH shall be reported as Missed and Total for that measurement period
Tablename: ods_ch_loss_of_smwan_conn</t>
  </si>
  <si>
    <t>Validate the data for Outage 1 start,outage 1 end_outage 2 start ,outage 2 end fields
Login to SQL developer
Run the attached query
Table Name:
ods_ch_loss_of_smwan_conn</t>
  </si>
  <si>
    <t>Pre-requisite 1: Data should be available as per the below criteria.
Days taken to raise incident=Incident reported date-outage start date
Tablename: ods_ch_loss_of_smwan_conn</t>
  </si>
  <si>
    <t>Validate the data 
Login to SQL developer
Run the attached query
Table Name:
ods_ch_loss_of_smwan_conn</t>
  </si>
  <si>
    <t>Pre-requisite 1: Data should be available as per the below criteria.
Days taken to re-assign incident to SUt=First incident assignment to Arqiva date - the first assignment to DCC Licensee  following the first  assignment to Arqiva
Tablename: ods_ch_loss_of_smwan_conn</t>
  </si>
  <si>
    <t>Pre-requisite 1: Data should be available as per the below criteria.
-- The field value should be "Manual PM Override", "Opted Out","Pending SU Visit (80 days)", Failed to follow CHIPSM,"CHIPSM not followed",Failed to follow CHMSM,  "CHMSM not followed" "Physical Damage", "Unresolved Incident"
Tablename: ods_ch_loss_of_smwan_conn</t>
  </si>
  <si>
    <t>Pre-requisite 1: Data should be available as per the below criteria.
"Incident first assigned to Arqiva"=the date and time when the incident was first assigned to Arqiva
Tablename: ods_ch_loss_of_smwan_conn</t>
  </si>
  <si>
    <t>Pre-requisite 1: Data should be available as per the below criteria.
Incident first assigned to SU=Display show the date and time when the incident was first assigned to DCC Licensee  following the first  assignment to Arqiva
Tablename: ods_ch_loss_of_smwan_conn</t>
  </si>
  <si>
    <t>Pre-requisite 1: Data should be available as per the below criteria loaded through Manual PM overrides file.
-- the Manual PM Override Flag field in the detail report Should  display the value as per below mapping for the manually updated CH:
-1 = "Override Off"
0 = "Missed"
2 = "Allowed Exception"
3 = "Allowed Exception Met"
Tablename: ods_ch_loss_of_smwan_conn</t>
  </si>
  <si>
    <t>Validate the filtered data in the OBI against database Go to Sql developer and run the attached query Table Name: ods_ch_loss_of_smwan_conn</t>
  </si>
  <si>
    <t>Pre-requisite 1: Data should be available as per the below criteria.
 --Total = CH with Operational Status “Active”
 CH has been Unconnected (Missed) at any point in the measurement period due to an outage, then even if it was Allowed Exception (except if it is Opted Out) in that measurement period due to another outage, that CH shall be reported as Missed and Total for that measurement period
Table name: ods_ch_loss_of_smwan_conn</t>
  </si>
  <si>
    <t xml:space="preserve">Pre-requisite 1: Data should be available as per the below criteria.
 --Total = CH with Operational Status “Active”
--CH is able to report the same CH in more than one measurement period if it meets Total, Missed or Allowed Exception criteria
Table name: ods_ch_loss_of_smwan_conn
</t>
  </si>
  <si>
    <t xml:space="preserve">Pre-requisite 1: Data should be available as per the below criteria.
 --Total = CH with Operational Status “Active”
--CH is able  report the same CH in more than one measurement period when the CH remains disconnected (Missed) or an Allowed Exception across number of sequential measurement periods 
Table name: ods_ch_loss_of_smwan_conn
</t>
  </si>
  <si>
    <t>Pre-requisite 1: Data should be available as per the below criteria.
 --Incident raised with in 10days from outage notication and not an allowed exception
-- Outage Duration &gt; 10 calendar days *
* 864000 seconds, considering timestamp
Table name: ods_ch_loss_of_smwan_conn</t>
  </si>
  <si>
    <t>Pre-requisite 1: Data should be available as per the below criteria.
 --CH gets unconnected more than once in a month
-- CH been reported as Allowed Exception across months due to a qualifying incident and at the time of incident closure it was identified that CH is not an Allowed Exception, then the CH qualification for the previous months shall be recalculated
Table name: ods_ch_loss_of_smwan_conn</t>
  </si>
  <si>
    <t>Pre-requisite 1: Data should be available as per the below criteria.
 --If CH is connected on the current date (it doesn't have to be at the same time), then most recent Last Toi minus Last Toi which is previous to most recent Last Toi
--CH Outage duration=Current date-Last Toi
- If CH was not connected on the current date (it doesn't have to be at the same time), then  System (current) date minus most recent Last Toi
--CH Outage duration=System date-Last Toi
Table name: ods_ch_loss_of_smwan_conn</t>
  </si>
  <si>
    <t>Pre-requisite 1: Data should be available as per the below criteria.
--Outage 1 field: Outage 1 fields in the Missed Detail report display the information of the first Outage that occurred in the month (e.g. if there are three outages in a month, Outage 1 on the report shall be the 1st outage)
Table name: ods_ch_loss_of_smwan_conn</t>
  </si>
  <si>
    <t>Pre-requisite 2: Data should be available as per the below criteria.
--Outage 2 field: Outage 2 fields in the Missed Detail report shall show information of the most recent Outage that occurred in the month (i.e. if there are three outages in a month,  Outage 2 on the report shall be the 3rd outage)
Table name: ods_ch_loss_of_smwan_conn</t>
  </si>
  <si>
    <t>Validate the Outage 1 and outage 2 field data
Login to SQL developer
Run the attached query
Table Name:
ods_ch_loss_of_smwan_conn</t>
  </si>
  <si>
    <t>Pre-requisite 1: Data should be available as per the below criteria.
--Outage 1 Start is the date (Last Toi) of the start of the Outage Period
--Outage 2  Start is the date (Last Toi) of the start of the Outage Period
Table name: ods_ch_loss_of_smwan_conn</t>
  </si>
  <si>
    <t>Pre-requisite 2: Data should be available as per the below criteria.
-Outage 1 End is the date (Last Toi) of the end of the Outage Period
-Outage 2 End is the date (Last Toi) of the end of the Outage Period
Table name: ods_ch_loss_of_smwan_conn</t>
  </si>
  <si>
    <t>Pre-requisite 1: Data should be available as per the below criteria.
Days taken to re-assign incident to SUt=First incident assignment to Arqiva date - the first assignment to DCC Licensee  following the first  assignment to Arqiva
Table name: ods_ch_loss_of_smwan_conn</t>
  </si>
  <si>
    <t>Pre-requisite 1: Data should be available as per the below criteria.
Incident first assigned to SUt=First incident assignment to Arqiva date - the first assignment to DCC Licensee  following the first  assignment to Arqiva
Table name: ods_ch_loss_of_smwan_conn</t>
  </si>
  <si>
    <t>Pre-requisite 1: Data should be available as per the below criteria loaded through Manual PM overrides file.
-- the Manual PM Override Flag field in the detail report Should  display the value as per below mapping for the manually updated CH:
-1 = "Override Off"
0 = "Missed"
2 = "Allowed Exception"
3 = "Allowed Exception Met"
Table name: ods_ch_loss_of_smwan_conn</t>
  </si>
  <si>
    <t>Pre-requisite 1: Data should be available for PM 1.4 such that CH has Operational Status should be "Active" in a given Measurement Period, it should  be reported as PM 1.4 "Total" against that Measurement Period
Table name: WC_PM_DAILY_F,ods_ch_loss_of_smwan_conn</t>
  </si>
  <si>
    <t>Pre-requisite 2: Data should be available for such that connectivity related incident assigned to Arqiva and the CH shall not be reported at all until the incident is  “Closed” and the days from incident should be greater than 10 days
Table name: WC_PM_DAILY_F,ods_ch_loss_of_smwan_conn</t>
  </si>
  <si>
    <t xml:space="preserve">Pre-requisite 1: Data should be available for PM 1.4 such that CH has Operational Status should be "Active" in a given Measurement Period, if:
- CH is identified as Total via Manual PM Overrides Feed (from Missed or Allowed Exception) OR
- CH is not an Allowed Exception AND 
- Operational Status = ACTIVE
Table name: WC_PM_DAILY_F,ods_ch_loss_of_smwan_conn
</t>
  </si>
  <si>
    <t>Validate the data  displayed for "Total" in PM 1.4 mid level report tabular report
Go to SQL developer and run the query
Table name: ods_ch_loss_of_smwan_conn</t>
  </si>
  <si>
    <t>Pre-requisite 1:Comms hub Id's with Missed status in the database should be available for testing.
Table name :ods_ch_loss_of_smwan_conn</t>
  </si>
  <si>
    <t>Pre-requisite 1:Comms hub Id's with Allowed exception status in the database should be available for testing.
Table name :ods_ch_loss_of_smwan_conn</t>
  </si>
  <si>
    <t>Pre-requisite 1:Comms hub Id's with Missed status in the database should be available for testing.
Table name :ods_ch_loss_of_smwan_conn</t>
  </si>
  <si>
    <t>Pre-requisite 1:Comms hub ID's with "Total" as active  should be available in the database for testing
Table name :ods_ch_loss_of_smwan_conn</t>
  </si>
  <si>
    <t>Pre-requisite 1:Comms hub Ids with Missed status for Previous month should be available for testing.
Table name :ods_ch_loss_of_smwan_conn</t>
  </si>
  <si>
    <t>CH Id has been Identified as Missed for current month and Run the PM Manual over ride  file  
Table name :ods_ch_loss_of_smwan_conn</t>
  </si>
  <si>
    <t>Pre-requisite 2:Comms hub should be available for Missed after processing the manual override file
Table name :ods_ch_loss_of_smwan_conn</t>
  </si>
  <si>
    <t>Prerequisite : Data should be available for the condition override flag=2 in DWH for testing.
Table name :ods_ch_loss_of_smwan_conn</t>
  </si>
  <si>
    <t>Prerequisite : Data should be available for the condition override flag=3 in DWH for testing.
Table name :ods_ch_loss_of_smwan_conn</t>
  </si>
  <si>
    <t>Validate the  data in the Missed Detail report  as per pre-requisite 1 against the database
Login into SQL tool and run the attached query
Table Name:ods_ch_loss_of_smwan_conn</t>
  </si>
  <si>
    <t>Validate the  data in the Exempted CH  Detail report  as per pre-requisite 1 against the database
Login into SQL tool and run the attached query
Table Name:ods_ch_loss_of_smwan_conn</t>
  </si>
  <si>
    <t xml:space="preserve">Pre-Requisite 1:CH_IDs should be available in ods_ch_loss_of_smwan_conn satisfying the below condition: 
i)Metal_Obstruction_Chk='Yes' </t>
  </si>
  <si>
    <t>Validate the  data in the Exempted CH   Detail report  as per pre-requisite 1 against the database
Login into SQL tool and run the attached query
Table Name:ods_ch_loss_of_smwan_conn</t>
  </si>
  <si>
    <t>Validate the  data in the Exempted CH Detail report  as per pre-requisite 1 against the database
Login into SQL tool and run the attached query
Table Name:ods_ch_loss_of_smwan_conn</t>
  </si>
  <si>
    <t>Validate the  data in the allowed Exception  Detail report  as per pre-requisite 1 against the database
Login into SQL tool and run the attached query
Table Name:ods_ch_loss_of_smwan_conn</t>
  </si>
  <si>
    <t>TC_OBI_017_CR109_PM1.4_Exempted_CH_detail_Report_Filters_multi selection Validation</t>
  </si>
  <si>
    <t>TC_OBI_005_CR109_PM1.4_Exclusion_Condition_5</t>
  </si>
  <si>
    <t xml:space="preserve">Prerequisite 1:
-- 1.Comms Hubs that are not part of the PM1.4 domain should be available in database for testing.
--2.Comms Hubs that are not part of the PM1.4 domain should not be displayed against PM1.4 Met,Missed and Exempted CH detail level reports.
</t>
  </si>
  <si>
    <t xml:space="preserve">Ensure that data haven't displayed  for PM1.4 Missed and Exempted CH  Detail level report  when Comms Hubs that are not part of the PM1.4 domain 
Test Objective:Ensure that data haven't displayed  for PM1.4 Missed and Exempted CH  Detail level report  when Comms Hubs that are not part of the PM1.4 domain </t>
  </si>
  <si>
    <t>Validate the  data in the allowed Exception  Detail report against the database
Login into SQL tool and run the attached query
Table Name:ods_ch_loss_of_smwan_conn</t>
  </si>
  <si>
    <t>Validate the  data in the Missed Detail report against the database
Login into SQL tool and run the attached query
Table Name:ods_ch_loss_of_smwan_conn</t>
  </si>
  <si>
    <t>Pre-requisite 1: Data should be available such that for a particular CH 
   - CH Outage Duration &gt; 10 calendar days considering timestamp
- AND CH has CH incident (i.e. CH ID or REP ID in Incident Record is not null) 
- AND IncidentRecord.Status &lt;&gt; Cancelled
- AND Incident Reported Date is within 10 days after the Outage start
- AND Incident must be assigned to DCC / SU 
- AND Incident has been assigned to SU within 10 days from Outage Start AND either of the following:
        a) IncidentRecord.Pending 80 Days Flag is set  OR
        b) IncidentRecord.Status = Closed AND 
             •  IncidentRecord. Resolution Categorisation Tier 1 = “No Fault Found” AND
             • IncidentRecord.Resolution Categorisation Tier 2 = “User Error”  AND
             • IncidentRecord. Resolution Categorisation Tier 3 = “Physical Damage” OR “Failed to follow CHIPSM” OR “Failed to follow CHMSM” OR
        c) IncidentRecord.Status &lt;&gt; Closed
Tablename: ods_ch_loss_of_smwan_conn</t>
  </si>
  <si>
    <t>Name</t>
  </si>
  <si>
    <t>Project</t>
  </si>
  <si>
    <t>Step Expected Result</t>
  </si>
  <si>
    <t>Step Notes</t>
  </si>
  <si>
    <t>Test Case</t>
  </si>
  <si>
    <t>Smart Metering - BSS</t>
  </si>
  <si>
    <t/>
  </si>
  <si>
    <t>Validate the filters displayed in the PM1.4 Exempted cHdetail report
Test Objective:To Validate the filters displayed in the PM1.4 Exempted CH detail report</t>
  </si>
  <si>
    <t>User should be able to see the following filters in the header as follow:
i)Comms Hub ID  begins with
ii)Exception Reason 
iii)Incident ID 
iv)Incident Status 
v)Pending SU Visit (80 Days) 
vi)Opted Out  
vii)Opted Out Date between
vii)Manual PM Override Flag
ix)Res Cat Tier 1                                                          
x)Res Cat Tier 2      xi)Res Cat Tier 3                         xii)Prod Cat Tier 1      xiii)Prod Cat Tier 2 xiv)Prod Cat Tier 3</t>
  </si>
  <si>
    <t>User should be able to select any  option from the drop down filters</t>
  </si>
  <si>
    <t>Pre-requisite 1:Data should be available in WC_PM_DAILY_F for exempted CH and missed</t>
  </si>
  <si>
    <t>Validate the report when manual override flag value is updated from total to Missed.
Test Objective: To Validate the report when manual override flag value is updated from total to Missed.</t>
  </si>
  <si>
    <t xml:space="preserve">User should be able to see the corresponding value in mid level tabular view.
User should be able to see the same value in report and in database
</t>
  </si>
  <si>
    <t>User should be able to see corresponding updated  value in mid level tabular view.
User should be able to see the same value in report and in database</t>
  </si>
  <si>
    <t>Pre-requisite 3: Data should be available for the current month and ASL &lt; TSL.</t>
  </si>
  <si>
    <t>User should be able to see the attached pdf document and also name of it  as "Full Report Title "_x000D_
Example: "Performance Measure # on &lt;dd Mmm yyyy&gt;</t>
  </si>
  <si>
    <t>User should be able to see the subject of the email " Full Report Title - Smart Metering "_x000D_
Example: "Performance Measure # on &lt;dd Mmm yyyy&gt; - Smart Metering</t>
  </si>
  <si>
    <t>i)User should be able to see the bar charts and tabular views in the Summary level report._x000D_
_x000D_
Ii)User should be able to see values that are represented by the bar charts in the tabular view</t>
  </si>
  <si>
    <t>User should be able to see the attached Excel document and also name of it  as "Full Report Title "_x000D_
Example: PM 1.4 – Missed CH – Detail – Smart Metering</t>
  </si>
  <si>
    <t>User should be able to see the subject of the email as " Full Report Title - Smart Metering "_x000D_
Example: PM 1.4 – Missed CH – Detail – Smart Metering</t>
  </si>
  <si>
    <t>TC_OBI_PMRBE_005_CR109_PM 1.4_Summary report_Email Functionality_No condition</t>
  </si>
  <si>
    <t>Pre-requisite 1: On a daily basis at 08:00 AM, PM 1.4  summary level report should be sent to the specified email recipient (smart.servicelevelmanagement@arqiva.com)</t>
  </si>
  <si>
    <t>TC_OBI_PMRBE_006_CR109_PM 1.4_Missed detail report_Email Functionality_No condition</t>
  </si>
  <si>
    <t> (NTT DATA - PM 1.4 - Requirements v14), requirements updated tracked through JIRA 2889</t>
  </si>
  <si>
    <t>Pre-requisite 1: Data should be available as per the below criteria.
"Days taken to assign incident to SU" field should  be derived by first assignment to DCC Licensee date minus Outage Start date
Table name: ods_ch_loss_of_smwan_conn</t>
  </si>
  <si>
    <t>Validate the data _x000D_
Login to SQL developer_x000D_
Run the attached query_x000D_
_x000D_
_x000D_
Table Name:_x000D_
ods_ch_loss_of_smwan_conn</t>
  </si>
  <si>
    <t xml:space="preserve">CH Satisfies the pre requisite 1  and Prerequisite 2 should be displayed in PM1.4 Missed  detail report accordingly._x000D_
</t>
  </si>
  <si>
    <t>Pre-requisite 1: Data should be available as per the below criteria.
"Incident first assigned to SU" field should show the date and time when the incident was first assigned to DCC Licensee, e.g. the date of 1st assignment below:
1st assignment - DCC Licensee
2nd assignment -Arqiva
3rd assignment - DCC Licensee
Table name: ods_ch_loss_of_smwan_conn</t>
  </si>
  <si>
    <t>TC_OBI_PM 1.4_001_Summary_Midlevel_Detail_Level _Reports_report_Footer Validation</t>
  </si>
  <si>
    <t>Validate the footer is displayed in summary,mid level and detail level reports
 Objective : To Validate the footer is displayed in summary,mid level and detail level reports</t>
  </si>
  <si>
    <t>Click on Performance Measures</t>
  </si>
  <si>
    <t xml:space="preserve"> Validate the footer message</t>
  </si>
  <si>
    <t>User should be able to see the footer message "Confidential and Commercially Sensitive not to be shared with other DCC Service Providers"</t>
  </si>
  <si>
    <t>screen shot of the summary report highlighting the footer should be captured</t>
  </si>
  <si>
    <t>Validate the note</t>
  </si>
  <si>
    <t>User should be able to see the "Smart Metering" note below the footer message</t>
  </si>
  <si>
    <t>screen shot of the summary report highlighting the note  should be captured</t>
  </si>
  <si>
    <t xml:space="preserve">clcik on any of the bar in daily/monthly trend </t>
  </si>
  <si>
    <t>screen shot of the mid level report highlighting the footer should be captured</t>
  </si>
  <si>
    <t>screen shot of the mid level report highlighting the note  should be captured</t>
  </si>
  <si>
    <t xml:space="preserve">User should be able to successfully navigate to the PM 1.4 Missed Detail report </t>
  </si>
  <si>
    <t>screen shot of the missed detail report highlighting the footer should be captured</t>
  </si>
  <si>
    <t>screen shot of the missed report highlighting the note  should be captured</t>
  </si>
  <si>
    <t>click on the return link</t>
  </si>
  <si>
    <t>User should be able to navigate back to mid level report</t>
  </si>
  <si>
    <t>screen shot of the exempetd report highlighting the footer should be captured</t>
  </si>
  <si>
    <t>screen shot of the exemepted report highlighting the note  should be captured</t>
  </si>
  <si>
    <t>TC_OBI_PM 1.4_002_Summary_Midlevel_Detail_Level _Reports_Print Functionality</t>
  </si>
  <si>
    <t>Validate the print functionality   in summary,mid level and detail level reports
Objective : To Validate the print functionality   in summary,mid level and detail level reports</t>
  </si>
  <si>
    <t>Click on the Page option next to help option to the top right corner</t>
  </si>
  <si>
    <t>User should be able to see the Print Option under the Page Option next to the Help button at the top right corner of the Dashboard.</t>
  </si>
  <si>
    <t>Click on Print option</t>
  </si>
  <si>
    <t>User should be able to print the report in printable pdf or HTML format.</t>
  </si>
  <si>
    <t>Click on 'Open' option</t>
  </si>
  <si>
    <t>The PDF report of CH PM 1.2 summary report page should be displayed</t>
  </si>
  <si>
    <t>Validate the printed report has the relevant formatting</t>
  </si>
  <si>
    <t>User should be able to see the following details: 1)The Arqiva logo should be displayed on the left corner of the page.2)The title and time run should be displayed 3)"Confidential and Commercially Sensitive not to be shared with other DCC Service Providers" in the footer 4)User should be able to see the "Smart Metering" note</t>
  </si>
  <si>
    <t>Screen shot of the report in pdf format should be captured</t>
  </si>
  <si>
    <t>Repeat the steps 6-8  for HTML format</t>
  </si>
  <si>
    <t>User should be able to see the contents on the HTML report same as PM1.4  summary report page</t>
  </si>
  <si>
    <t>Snap-shot of the HTML report should be captured.</t>
  </si>
  <si>
    <t>click on any of the bar in daily/monthly trend bar chart</t>
  </si>
  <si>
    <t>User should be able to naviagte to mid level report</t>
  </si>
  <si>
    <t>The PDF report of PM1.4mid level  report page should be displayed</t>
  </si>
  <si>
    <t>Repeat the steps  12-14 for HTML format</t>
  </si>
  <si>
    <t>User should be able to see the contents on the HTML report same as PM1.4mid level report page</t>
  </si>
  <si>
    <t>User should be able to navigate  to missed       detail report</t>
  </si>
  <si>
    <t>The PDF report of PM1.4   missed detail  report page should be displayed</t>
  </si>
  <si>
    <t>Repeat the steps 18-20  for HTML format</t>
  </si>
  <si>
    <t>User should be able to see the contents on the HTML report same as PM1.4 missed detail report page</t>
  </si>
  <si>
    <t>click on retrun link</t>
  </si>
  <si>
    <t>User should be able to naviagte  to mid level report</t>
  </si>
  <si>
    <t>Click on exempeted  value under “# of CH (Mmm-yyyy)” column in the PM 1.4 Mid Level tabular view</t>
  </si>
  <si>
    <t>User should be able to navigate  to exempted       detail report</t>
  </si>
  <si>
    <t>The PDF report of PM1.4  exempted detail  report page should be displayed</t>
  </si>
  <si>
    <t>Repeat the steps 25-27  for HTML format</t>
  </si>
  <si>
    <t>User should be able to see the contents on the HTML report same as PM1.4 exempted detail report page</t>
  </si>
  <si>
    <t>TC_OBI_PM 1.4_003_Export link</t>
  </si>
  <si>
    <t>Validate the export link of PM 1.4 Mid level,Missed Detail report and Exempted CH detail level report
Objective: To validate the export link of PM 1.4 Mid level,Missed Detail report and Exempted CH detail level report</t>
  </si>
  <si>
    <t xml:space="preserve"> Select the required date in date prompt</t>
  </si>
  <si>
    <t>User should be able to see the  data in PM General report for the date selected</t>
  </si>
  <si>
    <t>Screenshot of PM General report page should be captured</t>
  </si>
  <si>
    <t>Click on the export link under the PM General tabular view</t>
  </si>
  <si>
    <t>User should be able to see the options to select the different format to export like PDF, Excel, Power Point, Web archive, csv , xml etc.</t>
  </si>
  <si>
    <t>Click on the PDF option</t>
  </si>
  <si>
    <t xml:space="preserve"> User should be able to see the option to save and open the tabular view in PDF format</t>
  </si>
  <si>
    <t>Click on the save option</t>
  </si>
  <si>
    <t>User should be able to see the options to open, open folder and cancel</t>
  </si>
  <si>
    <t>Repeat the steps from 5 to 8 for different formats</t>
  </si>
  <si>
    <t>User should be able to export the reports in the PDF, Excel and other OBI default formats</t>
  </si>
  <si>
    <t>Screen shot of PM 1.4 Mid level report should be captured and also attach the exported reports</t>
  </si>
  <si>
    <t xml:space="preserve"> Click on the PM 1.4 bar in the bar chart</t>
  </si>
  <si>
    <t>Click on a bar in PM 1.4 daily trend or Monthly trend bar chart</t>
  </si>
  <si>
    <t>Click on the export link under the pie chart tabular view</t>
  </si>
  <si>
    <t>Screen shot of PM 1.4 Mid level report highliting Export options should be captured</t>
  </si>
  <si>
    <t>Screen shot of the PM 1.4 Missed Detail report and PM 1.4 Mid level report should be captured</t>
  </si>
  <si>
    <t>Click on the export link under the Missed detail table</t>
  </si>
  <si>
    <t>User should be able to see the option to save and open the tabular view in PDF format</t>
  </si>
  <si>
    <t>Screen shot of PM 1.4 Missed detail level report should be captured and also attach the exported reports</t>
  </si>
  <si>
    <t>Click on the Return link under the Missed detail table</t>
  </si>
  <si>
    <t xml:space="preserve">User should be able to navigate to Mid Level report </t>
  </si>
  <si>
    <t>Screen shot of the PM 1.4 Exempted CH Detail report and PM 1.4 Mid level report should be captured</t>
  </si>
  <si>
    <t>Click on the export link under the  Exempted CH Detail table</t>
  </si>
  <si>
    <t>Screen shot of PM 1.4  Exempted CH Detail report report should be captured and also attach the exported reports</t>
  </si>
  <si>
    <t xml:space="preserve">Pre-requisite 1: Data should be available as per the below criteria._x000D_
_x000D_
 --Total = CH with Operational Status “Active”_x000D_
--CH is able to report the same CH in more than one measurement period if it meets Total, Missed or Allowed Exception criteria_x000D_
Table name: ods_ch_loss_of_smwan_conn_x000D_
</t>
  </si>
  <si>
    <t>PM 1.4 CH qualification aginst Missed status 
Test Objective: To validate PM 1.4 Missed detail report for a CH is able to report the same CH in more than one measurement period if it meets Total, Missed or Allowed Exception criteria</t>
  </si>
  <si>
    <t>Validate the data_x000D_
_x000D_
Login to SQL developer_x000D_
Run the attached query_x000D_
_x000D_
_x000D_
Table Name:_x000D_
ods_ch_loss_of_smwan_conn</t>
  </si>
  <si>
    <t xml:space="preserve">CH Satisfies the pre requisite 1 will be displayed in PM1.4 Missed detail report_x000D_
</t>
  </si>
  <si>
    <t xml:space="preserve">Pre-requisite 1: Data should be available as per the below criteria._x000D_
_x000D_
 --Total = CH with Operational Status “Active”_x000D_
--CH is able  report the same CH in more than one measurement period when the CH remains disconnected (Missed) or an Allowed Exception across number of sequential measurement periods _x000D_
_x000D_
Table name: ods_ch_loss_of_smwan_conn_x000D_
</t>
  </si>
  <si>
    <t>PM 1.4 CH qualification aginst Missed status 
Test Objective: To validate PM 1.4 Missed detail report for a CHis able  report the same CH in more than one measurement period when the CH remains disconnected (Missed) or an Allowed Exception across number of sequential measurement periods</t>
  </si>
  <si>
    <t xml:space="preserve">TC_OBI_PM 1.4_001_CR109_PM 1_ Performance Area_Report_x000D_
</t>
  </si>
  <si>
    <t>Validate the data displayed in the PM1.4 performance area report is same as per PM1.4 summary level report 
Test Objective:To Validate the data displayed in the PM1.4 performance area report is same as per PM1.4 summary level report</t>
  </si>
  <si>
    <t>User should be able to see the following legends next to the bar charts:_x000D_
i)TSL Met_x000D_
ii)TSL Not Met_x000D_
iii)MSL Not Met_x000D_
iv)TSL_x000D_
v)MSL_x000D_
vi)ASL = 0</t>
  </si>
  <si>
    <t>Click on  "Click here for report values table" link under the monthly trend bar chart and validate the data in the report against the database _x000D_
Login into SQL developer and run the attached query_x000D_
Table Name:WC_PM_EVENT_MONTHLY_F</t>
  </si>
  <si>
    <t xml:space="preserve">i)User should be able to see the monthly trend tabular view  for the selected month and the three previous months_x000D_
ii)User should be able to see the same data in the report and in the database </t>
  </si>
  <si>
    <t xml:space="preserve">Pre-Requisite 1:CH_IDs should be available in ods_ch_loss_of_smwan_conn satisfying the below condition: _x000D_
i)Metal_Obstruction_Chk='Yes' </t>
  </si>
  <si>
    <t>Validate the Comms_Hub_id's are not displayed in the PM1.4 Exempted CH and Missed Detail level report if the Metal_Obstruction_Chk='Yes' 
Test Objective:To Validate the Comms_Hub_id's are not displayed in the PM1.4 Exempted CH and Missed Detail level report if the Metal_Obstruction_Chk='Yes'</t>
  </si>
  <si>
    <t>Validate the  data in the Missed Detail report  as per pre-requisite 1 against the database_x000D_
Login into SQL tool and run the attached query_x000D_
Table Name:ods_ch_loss_of_smwan_conn</t>
  </si>
  <si>
    <t>Validate the  data in the Exempted CH   Detail report  as per pre-requisite 1 against the database_x000D_
Login into SQL tool and run the attached query_x000D_
Table Name:ods_ch_loss_of_smwan_conn</t>
  </si>
  <si>
    <t>Pre requisite 1:
 if CH qualifies as "Allowed exception" against that measurement period,then CH should not be reported as "total",  "Missed"  against measurement period for PM1.4
Tablename: ods_ch_loss_of_smwan_conn</t>
  </si>
  <si>
    <t>Validate the ch_ids corroponding to missed exempted CH  status against database</t>
  </si>
  <si>
    <t>CH Satisfies the Pre requisite 1 with expempted ch statsu shoul not be availabe in missed detail report</t>
  </si>
  <si>
    <t xml:space="preserve">Screen shot of the PM 1.4 mid level,Missed,exempted cH report should be captured </t>
  </si>
  <si>
    <t>Pre requisite 1: Data should be available as per th below criteria in tha database_x000D_
_x000D_
-- CH reported as Missed and Total at the same time if CH meets both qualifications(Missed and Total)_x000D_
_x000D_
 Total = CH with Operational Status “Active”_x000D_
_x000D_
Tablename: ods_ch_loss_of_smwan_conn</t>
  </si>
  <si>
    <t>PM 1.4 Mid level tabular view data validation
Test Objective: To validate the data in the Mid level tabular view and data for  the CH reported as Missed and Total at the same time if CH meets both qualifications((Excluded and Allowed exception)</t>
  </si>
  <si>
    <t>Validate the data in PM 1.4 mid level report tabular report_x000D_
_x000D_
Go to SQL developer and run the query_x000D_
_x000D_
Table name: ods_ch_loss_of_smwan_conn</t>
  </si>
  <si>
    <t>1.CH Satisfies the Pre requisite 1 should  be displayed in PM1.4 mid level tabular view status._x000D_
_x000D_
2.Useer should be able to see the updated data on a daily basis in the PM1.4 mid level report.</t>
  </si>
  <si>
    <t>Pre-requisite 1: Data should be available for PM 1.4 such that PM 1.4 Summary level report ASL calculation has to be  excluded for  the CH reported as "Allowed Exception" or "Excluded" against that measurement period_x000D_
_x000D_
 --Total = CH with Operational Status “Active”_x000D_
--If CH qualifies as Active at any point during the measurement period, then that CH shall be reported as "Total" for that measurement period e.g. CH was Active until 15th Jan, after that CH was no longer Active - at the end of the Jan CH shall be reported as Active_x000D_
_x000D_
Tablename: ods_ch_loss_of_smwan_conn</t>
  </si>
  <si>
    <t>Validate the ASL value_x000D_
_x000D_
Login to SQL developer_x000D_
Run the attached query_x000D_
_x000D_
Table Name: _x000D_
ods_ch_loss_of_smwan_conn</t>
  </si>
  <si>
    <t xml:space="preserve">User should not be able to see calculated ASL value same as ASL value displayed in the OBI=
100 * (1 – (PM_NOT_MET/(PM_TOTAL- EXCLUSIONS(Q1) - ALLOWED_EXCEPTIONS(Q1) - ALLOWED_EXCEPTIONS_MET(Q1)))) 
</t>
  </si>
  <si>
    <t>Pre-requisite 1: Data should be available such that for a particular CH _x000D_
--Incident raised with in 10 days of outage notification  and it is closed _x000D_
_x000D_
--Incident raised with in 10 days of outage notification  and it is closed  befor outage end._x000D_
_x000D_
Tablename: ods_ch_loss_of_smwan_conn</t>
  </si>
  <si>
    <t xml:space="preserve">User should be able to see the Mid level report._x000D_
_x000D_
</t>
  </si>
  <si>
    <t xml:space="preserve">User should be able to successfully navigate to the PM 1.4 Exempted CH  Detail report_x000D_
</t>
  </si>
  <si>
    <t xml:space="preserve">User should be able to see detail of the CH which meet pre-requisite 1 displayed in the detail level report_x000D_
</t>
  </si>
  <si>
    <t>Pre-requisite 1: Data should be available such that for a particular CH _x000D_
--If CH has been Opted Out at any point during or before the measurement period, then even if it was Unconnected (Missed) in that measurement period, the CH shall be reported as Allowed Exception for  that measurement period_x000D_
_x000D_
Tablename: ods_ch_loss_of_smwan_conn</t>
  </si>
  <si>
    <t>Pre-requisite 1: Data should be available as per the below criteria.
 CH has been Unconnected (Missed) at any point in the measurement period due to an outage, then even if it was Allowed Exception (except if it is Opted Out) in that measurement period due to another outage, that CH shall be reported as Missed and Total for that measurement period
Tablename: ods_ch_loss_of_smwan_conn</t>
  </si>
  <si>
    <t xml:space="preserve">Validate the ASL value for respecttive monh
</t>
  </si>
  <si>
    <t>User should be able to see the ASL value</t>
  </si>
  <si>
    <t>Pre-requisite 1: Data should be available as per the below criteria._x000D_
_x000D_
---Outage Start is the date (Last Toi) of the start of the Outage Period_x000D_
_x000D_
--_x000D_
---Outage End is the date (Last Toi) of the end of the Outage Period</t>
  </si>
  <si>
    <t>Pre-requisite 2: Data should be available as per the below criteria._x000D_
_x000D_
_x000D_
--If there are more than one outage for the same CH in the measurement period which resulted in Allowed Exceptions, then the Exempt CH report shall show 1st and most recent outage that occurred in a month displaying them on a separate rows</t>
  </si>
  <si>
    <t xml:space="preserve">User should not be able to see calculated ASL value same as ASL value displayed in the OBI_x000D_
_x000D_
PM 1.4 = 100 * (1 – (Missed/Total))_x000D_
    _x000D_
 Total = CH with Operational Status “Active”_x000D_
_x000D_
</t>
  </si>
  <si>
    <t>Validate the data for Outage 1 start,outage 1 end_outage 2 start ,outage 2 end fields_x000D_
_x000D_
Login to SQL developer_x000D_
Run the attached query_x000D_
_x000D_
_x000D_
Table Name:_x000D_
ods_ch_loss_of_smwan_conn</t>
  </si>
  <si>
    <t xml:space="preserve">CH Satisfies the pre requisite 1  and Prerequisite 2 should be displayed in PM1.4 Exempted CH  detail report accordingly._x000D_
</t>
  </si>
  <si>
    <t>Pre-requisite 1: Data should be available as per the below criteria._x000D_
_x000D_
Days taken to raise incident=Incident reported date-outage start date_x000D_
_x000D_
Tablename: ods_ch_loss_of_smwan_conn</t>
  </si>
  <si>
    <t xml:space="preserve">CH Satisfies the pre requisite 1  should be displayed in PM1.4 Exempted CH  detail report accordingly._x000D_
</t>
  </si>
  <si>
    <t>Pre-requisite 1: Data should be available as per the below criteria.
"Days taken to assign incident to SU" field should be derived by first assignment to DCC Licensee date minus Outage Start date
Tablename: ods_ch_loss_of_smwan_conn</t>
  </si>
  <si>
    <t>Pre-requisite 1: Data should be available as per the below criteria._x000D_
_x000D_
-- The field value should be "Manual PM Override", "Opted Out","Pending SU Visit (80 days)", Failed to follow CHIPSM,"CHIPSM not followed",Failed to follow CHMSM,  "CHMSM not followed" "Physical Damage", "Unresolved Incident"_x000D_
_x000D_
Tablename: ods_ch_loss_of_smwan_conn</t>
  </si>
  <si>
    <t>Pre-requisite 1: Data should be available as per the below criteria._x000D_
_x000D_
"Incident first assigned to Arqiva"=the date and time when the incident was first assigned to Arqiva_x000D_
Tablename: ods_ch_loss_of_smwan_conn</t>
  </si>
  <si>
    <t>Pre-requisite 1: Data should be available as per the below criteria.
"Incident first assigned to SU" field should  show the date and time when the incident was first assigned to DCC Licensee, e.g. the date of 1st assignment below:
1st assignment - DCC Licensee
2nd assignment - Arqiva
3rd assignment - DCC Licensee
Tablename: ods_ch_loss_of_smwan_conn</t>
  </si>
  <si>
    <t>Pre-requisite 1: Data should be available as per the below criteria loaded through Manual PM overrides file._x000D_
-- the Manual PM Override Flag field in the detail report Should  display the value as per below mapping for the manually updated CH:_x000D_
-1 = "Override Off"_x000D_
0 = "Missed"_x000D_
2 = "Allowed Exception"_x000D_
3 = "Allowed Exception Met"_x000D_
_x000D_
Tablename: ods_ch_loss_of_smwan_conn</t>
  </si>
  <si>
    <t>PM 1.4 "Manual PM Override Flag"field   validation of  Exempted CH detail level report
Test Objective: To validate the data for PM 1.4 "Manual PM Override Flag " field  validation of  Exempted CH detail level report</t>
  </si>
  <si>
    <t xml:space="preserve">User should be able to type the beginning of the searched value in "Comms Hub" filter in exempted CH detail report _x000D_
</t>
  </si>
  <si>
    <t xml:space="preserve">User should be able to type the exact searched value in the  "Incident ID" filter in Exempted CH detail report_x000D_
</t>
  </si>
  <si>
    <t>Pre-requisite 1: Data should be available such that for a particular CH Opt Out feed.Opt Out Status = 1 (Yes) within the measurement period or before the measurement period_x000D_
Tablename: ods_ch_loss_of_smwan_conn</t>
  </si>
  <si>
    <t>User should be able to see the following columns:_x000D_
i)Comms Hub ID _x000D_
ii)Exception Reason _x000D_
iii)Outage Start _x000D_
iv)Outage End _x000D_
v)Outage Duration _x000D_
vi)Incident ID _x000D_
vii)Incident Status _x000D_
viii)Assigned by DCC Flag _x000D_
ix)Incident Reported Date _x000D_
Days taken to raise incident_x000D_
Incident first assigned to Arqiva_x000D_
Incident first assigned to SU _x000D_
Days taken to re-assign incident to SU _x000D_
Pending SU Visit (80 Days)_x000D_
Res Cat Tier 1_x000D_
Opted Out _x000D_
Opted Out Date _x000D_
Manual PM Override Flag_x000D_
Manual PM Override Description_x000D_
Prod Cat Tier 1</t>
  </si>
  <si>
    <t>Pre requisite 1:_x000D_
_x000D_
 if CH qualifies as "Excluded CH" against that measurement period,then CH should not be reported as "Total",  "Missed" or "Allowed Exception"  against measurement period for PM1.4_x000D_
_x000D_
Tablename: ods_ch_loss_of_smwan_conn</t>
  </si>
  <si>
    <t>Pre-requisite 1: Data should be available for PM 1.4 such that PM_1_4_flag is in (0,2,3,4,1) i.e.,
Met, Missed, Allowed_Exception_Met, Allowed_Exception, Exclusion.
Table: ODS_CH_LOSS_OF_SMWAN_CONN.</t>
  </si>
  <si>
    <t>Prerequisite2:
Data should be available for PM_TOTAL where OPERATIONAL_STATUS=Active in ODS_CH_OPERATIONAL table.
Also data should be available in WC_PM_DAILY_F for PM1.4</t>
  </si>
  <si>
    <t xml:space="preserve">Validate the ASL value Login to SQL developer Run the attached query Table Name: wc_pm_daily_f
</t>
  </si>
  <si>
    <t>User should be able to see calculated ASL value same as ASL value displayed in the OBI PM 1.4 ASL
= 100 * (1 – (Missed/(PM_TOTAL- EXCLUSIONS - ALLOWED_EXCEPTIONS - ALLOWED_EXCEPTIONS_MET)) )</t>
  </si>
  <si>
    <t xml:space="preserve">Pre-requisite 1: Data should be available for PM 1.4 such that CH has Operational Status should be "Active" in a given Measurement Period, if:_x000D_
- CH is identified as Total via Manual PM Overrides Feed (from Missed or Allowed Exception) OR_x000D_
- CH is not an Allowed Exception AND _x000D_
- Operational Status = ACTIVE_x000D_
Table name: WC_PM_DAILY_F,ods_ch_loss_of_smwan_conn_x000D_
</t>
  </si>
  <si>
    <t>Validate the data  displayed for "Total" in PM 1.4 mid level report tabular report_x000D_
_x000D_
Go to SQL developer and run the query_x000D_
_x000D_
Table name: ods_ch_loss_of_smwan_conn</t>
  </si>
  <si>
    <t xml:space="preserve">1.CH Satisfies the Pre requisite 1 should  be displayed in PM1.4 mid level tabular view status._x000D_
_x000D_
</t>
  </si>
  <si>
    <t>Pre-requisite 1:Comms hub Id's with Missed status in the database should be available for testing._x000D_
_x000D_
Table name :ods_ch_loss_of_smwan_conn</t>
  </si>
  <si>
    <t>Validate the data in detailed report against database._x000D_
Login to SQL developer and run the attached query.</t>
  </si>
  <si>
    <t>Validate the MSL  line displayed in the PM1.4 summary level report 
Test Objective: To Validate the MSL  line displayed in the PM1.4 summary level report</t>
  </si>
  <si>
    <t>Validate the MSL line displayed in the daily and monthly trend bar chart against the database_x000D_
Login into SQL developer and run the attached query._x000D_
Table Name:WC_PM_D</t>
  </si>
  <si>
    <t>Pre-requisite 1:Comms hub Id's with Allowed exception status in the database should be available for testing._x000D_
Table name :ods_ch_loss_of_smwan_conn</t>
  </si>
  <si>
    <t>Pre-requisite 1:Comms hub ID's with "Total" as active  should be available in the database for testing_x000D_
Table name :ods_ch_loss_of_smwan_conn</t>
  </si>
  <si>
    <t>Validate the report when manual override flag value is updated from total to allowed exception 
Test Objective: To validate the report when manual override flag value is updated from total to allowed exception</t>
  </si>
  <si>
    <t>User should be able to see corresponding values in mid level tabular view                           User should be able to see same value in report and in database</t>
  </si>
  <si>
    <t>User should be able to see corresponding updated values in mid level tabular view                           User should be able to see same value in report and in database</t>
  </si>
  <si>
    <t>Pre-requisite 1:Comms hub Ids with Missed status  should be available for testing.
Table name :ods_ch_loss_of_smwan_conn</t>
  </si>
  <si>
    <t>Validate the report when CH with Manual PM Overrides feed for the particular month the CH was unconnected 
Test Objective: To Validate the report when CH with Manual PM Overrides feed for the particular month the CH was unconnected</t>
  </si>
  <si>
    <t>CH Id has been Identified as Missed for current month and Run the PM Manual over ride  file  _x000D_
Table name :ods_ch_loss_of_smwan_conn</t>
  </si>
  <si>
    <t>Pre-requisite 2:Comms hub should be available for Missed after processing the manual override file_x000D_
Table name :ods_ch_loss_of_smwan_conn</t>
  </si>
  <si>
    <t>Prerequisite : Data should be available for the condition override flag=2 in DWH for testing._x000D_
Table name :ods_ch_loss_of_smwan_conn</t>
  </si>
  <si>
    <t xml:space="preserve">1.The number of CH_ID's displayed in detailed report should be equal to the number displayed against Exempted CH Status in tabular view of Mid_Level report for selected date in PM_General date prompt as per the pre requisite 1._x000D_
</t>
  </si>
  <si>
    <t>Prerequisite : Data should be available for the condition override flag=3 in DWH for testing._x000D_
Table name :ods_ch_loss_of_smwan_conn</t>
  </si>
  <si>
    <t xml:space="preserve">1.The number of CH_ID's displayed in detailed report should be equal to the number displayed against Exempted CH Status in tabular view of Mid_Level report for selected date in PM_General date prompt as per the pre requisite_x000D_
</t>
  </si>
  <si>
    <t>Pre-Requisite 1:Dats should be  available for ODS_CH_LOSS_OF_SMWAN_CONN satisfying the following condition:_x000D_
-i)IncidentRecord. Summary = "CHF Install – no SM WAN" AND _x000D_
 IncidentRecord. Reported Source "Job Status Report" AND_x000D_
IncidentRecord. Resolution Categorisation Tier 1 = “No Fault Found” AND_x000D_
 IncidentRecord. Resolution Categorisation Tier 2 = “User Error”  AND_x000D_
 IncidentRecord. Resolution Categorisation Tier 3 = “Physical Damage” OR  “Failed to follow CHIPSM” OR “Failed to follow CHMSM” AND_x000D_
-IncidentRecord. Status = "Closed"</t>
  </si>
  <si>
    <t>Validate the  data in the Exempted CH Detail report  as per pre-requisite 1 against the database_x000D_
Login into SQL tool and run the attached query_x000D_
Table Name:ods_ch_loss_of_smwan_conn</t>
  </si>
  <si>
    <t>Validate the Comms_Hub_id's are not displayed in the PM1.4 Missed and Exempted CH  Detail level report  when the CH is identified as  Exclusion through Manual PM Overrides Feed  
Test Objective:To Validate the Comms_Hub_id's are not displayed in the PM1.4 Missed and Exempted CH  Detail level report  when the CH is identified as  Exclusion through Manual PM Overrides Feed</t>
  </si>
  <si>
    <t>Validate the  data in the allowed Exception  Detail report  as per pre-requisite 1 against the database_x000D_
Login into SQL tool and run the attached query_x000D_
Table Name:ods_ch_loss_of_smwan_conn</t>
  </si>
  <si>
    <t>Validate the  data in the Exempted CH  Detail report  as per pre-requisite 1 against the database_x000D_
Login into SQL tool and run the attached query_x000D_
Table Name:ods_ch_loss_of_smwan_conn</t>
  </si>
  <si>
    <t>Validate the TSL  line displayed in the PM1.4 summary level report 
Test Objective: To Validate the TSL  line displayed in the PM1.4 summary level report</t>
  </si>
  <si>
    <t>Validate the TSL line displayed in the daily and monthly trend bar chart against the database_x000D_
Login into SQL developer and run the attached query._x000D_
Table Name:WC_PM_D</t>
  </si>
  <si>
    <t xml:space="preserve">Prerequisite 1:_x000D_
_x000D_
-- 1.Comms Hubs that are not part of the PM1.4 domain should be available in database for testing._x000D_
--2.Comms Hubs that are not part of the PM1.4 domain should not be displayed against PM1.4 Met,Missed and Exempted CH detail level reports._x000D_
</t>
  </si>
  <si>
    <t>Ensure that data haven't displayed  for PM1.4 Missed and Exempted CH  Detail level report  when Comms Hubs that are not part of the PM1.4 domain 
Test Objective:Ensure that data haven't displayed  for PM1.4 Missed and Exempted CH  Detail level report  when Comms Hubs that are not part of the PM1.4 domain</t>
  </si>
  <si>
    <t>Validate the  data in the Missed Detail report against the database_x000D_
Login into SQL tool and run the attached query_x000D_
Table Name:ods_ch_loss_of_smwan_conn</t>
  </si>
  <si>
    <t>Validate the  data in the allowed Exception  Detail report against the database_x000D_
Login into SQL tool and run the attached query_x000D_
Table Name:ods_ch_loss_of_smwan_conn</t>
  </si>
  <si>
    <t>Pre-requisite 1: Data should be available as per the below criteria._x000D_
_x000D_
 --Incident raised with in 10days from outage notication and not an allowed exception_x000D_
-- Outage Duration &gt; 10 calendar days *_x000D_
* 864000 seconds, considering timestamp_x000D_
Table name: ods_ch_loss_of_smwan_conn</t>
  </si>
  <si>
    <t>Pre-requisite 1: Data should be available as per the below criteria._x000D_
_x000D_
 --CH gets unconnected more than once in a month_x000D_
_x000D_
-- CH been reported as Allowed Exception across months due to a qualifying incident and at the time of incident closure it was identified that CH is not an Allowed Exception, then the CH qualification for the previous months shall be recalculated_x000D_
Table name: ods_ch_loss_of_smwan_conn</t>
  </si>
  <si>
    <t>User should be able to see the Pie Chart showing the number of Comms Hubs split by the following statuses: _x000D_
i)Missed_x000D_
ii)Exempted CH_x000D_
iii)Total</t>
  </si>
  <si>
    <t>Pre-requisite 1: Data should be available as per the below criteria.
 --If CH is connected on the current date (it doesn't have to be at the same time), then most recent Last Toi minus Last Toi which is previous to most recent Last Toi
--CH Outage duration=Current date-Last Toi
- If CH was not connected on the current date (it doesn't have to be at the same time), then  System (current) date minus most recent Last Toi
--CH Outage duration=System date-Last Toi
Outage Duration 2 to use SYSDATE  when Outage End Date is NULL      Table name: ods_ch_loss_of_smwan_conn</t>
  </si>
  <si>
    <t xml:space="preserve">CH Satisfies the pre requisite 1 and Outage duration  will be calculated in PM1.4 Missed detail report_x000D_
</t>
  </si>
  <si>
    <t>Pre-requisite 1: Data should be available as per the below criteria._x000D_
_x000D_
--Outage 1 field: Outage 1 fields in the Missed Detail report display the information of the first Outage that occurred in the month (e.g. if there are three outages in a month, Outage 1 on the report shall be the 1st outage)_x000D_
Table name: ods_ch_loss_of_smwan_conn</t>
  </si>
  <si>
    <t>Pre-requisite 2: Data should be available as per the below criteria._x000D_
_x000D_
--Outage 2 field: Outage 2 fields in the Missed Detail report shall show information of the most recent Outage that occurred in the month (i.e. if there are three outages in a month,  Outage 2 on the report shall be the 3rd outage)_x000D_
Table name: ods_ch_loss_of_smwan_conn</t>
  </si>
  <si>
    <t>Validate the Outage 1 and outage 2 field data_x000D_
_x000D_
Login to SQL developer_x000D_
Run the attached query_x000D_
_x000D_
_x000D_
Table Name:_x000D_
ods_ch_loss_of_smwan_conn</t>
  </si>
  <si>
    <t xml:space="preserve">CH Satisfies the pre requisite 1  and Prerequisite 2 should be displayed in PM1.4 Missed detail report accordingly._x000D_
</t>
  </si>
  <si>
    <t>TC_OBI_020_CR109_PM1.4_CH Qualification against PM_Met criteria</t>
  </si>
  <si>
    <t>Pre-requisite 1: Data should be available as per the below criteria.
A CH been qualified  as "Met" when:
IF CH is set as Met via Manual Override OR
 CH is not (Exclusion, Allowed Exception, Allowed Exception Met, Missed)  
Tablename: ods_ch_loss_of_smwan_conn</t>
  </si>
  <si>
    <t>To validate  the criteria to determine met for the CH  
 Test Objective: To validate  the criteria to determine met for the CH</t>
  </si>
  <si>
    <t>Validate the CH_ID 's in missed detail level report</t>
  </si>
  <si>
    <t>CH satisfies the MET condition should not be displayed in missed detail level report</t>
  </si>
  <si>
    <t>Screen shot of the PM 1.4  detail level report should be captured</t>
  </si>
  <si>
    <t>Navigate back to midlevel report and Click on Exempted CH value under “# of CH (Mmm-yyyy)”  column in the PM 1.4 Mid Level tabular view</t>
  </si>
  <si>
    <t>User should be able to successfully navigate to the PM 1.4 EXEMPTED CH  Detail report</t>
  </si>
  <si>
    <t>Validate the CH_ID 's in Exempted detail level report</t>
  </si>
  <si>
    <t>CH satisfiees the MET condition should not be displayed in Exempteddetail level report</t>
  </si>
  <si>
    <t>Pre-requisite 1: Data should be available as per the below criteria.
--Outage 1 Start is the date (Last Toi) of the start of the Outage Period
--Outage 2  Start is the date (Last Toi) of the start of the Outage Period
Outage Duration 2 to use SYSDATE  when Outage End Date is NULL    Table name: ods_ch_loss_of_smwan_conn</t>
  </si>
  <si>
    <t>Pre-requisite 2: Data should be available as per the below criteria.
-Outage 1 End is the date (Last Toi) of the end of the Outage Period
-Outage 2 End is the date (Last Toi) of the end of the Outage Period
Outage Duration 2 to use SYSDATE  when Outage End Date is NULL  Table name: ods_ch_loss_of_smwan_conn</t>
  </si>
  <si>
    <t>Pre-requisite 1: Data should be available as per the below criteria loaded through Manual PM overrides file._x000D_
-- the Manual PM Override Flag field in the detail report Should  display the value as per below mapping for the manually updated CH:_x000D_
-1 = "Override Off"_x000D_
0 = "Missed"_x000D_
2 = "Allowed Exception"_x000D_
3 = "Allowed Exception Met"_x000D_
_x000D_
Table name: ods_ch_loss_of_smwan_conn</t>
  </si>
  <si>
    <t xml:space="preserve">CH Satisfies the pre requisite 1  should be displayed in PM1.4 Missed  detail report accordingly._x000D_
</t>
  </si>
  <si>
    <t>User should be able to see the following filters in the header as follow:_x000D_
i)Comms Hub ID_x000D_
ii)Uplink Tower ID Last_x000D_
iii)CH Firmware Current_x000D_
iv)Tamper Event_x000D_
v)Tamper Event Date between _x000D_
vi)Manual PM Override Flag</t>
  </si>
  <si>
    <t>User should be able to see the following columns:_x000D_
i)Comms Hub ID_x000D_
ii)Outage 1 Start _x000D_
iii)Outage 1 End _x000D_
iv)Outage 1 Duration _x000D_
v)Outage 2 Start_x000D_
vi)Outage 2 End_x000D_
vii)Outage 2 Duration _x000D_
viii)Uplink Tower ID Last _x000D_
ix)CH Firmware Current _x000D_
x)CH Buddy ID _x000D_
xi)Uplink Tower ID Best _x000D_
xii)Tamper Event _x000D_
xiiii)Tamper Event Date  _x000D_
xiv)Manual PM Override Flag_x000D_
xv)Manual PM Override Description</t>
  </si>
  <si>
    <t xml:space="preserve">User should be able to type the beginning of the searched value in "Comms Hub" filter in missed detail report _x000D_
</t>
  </si>
  <si>
    <t>Test Case Description</t>
  </si>
  <si>
    <t>Test Step</t>
  </si>
  <si>
    <t>Test ID</t>
  </si>
  <si>
    <t>TC1</t>
  </si>
  <si>
    <t>TC2</t>
  </si>
  <si>
    <t>TC3</t>
  </si>
  <si>
    <t>TC4</t>
  </si>
  <si>
    <t>TC5</t>
  </si>
  <si>
    <t>TC6</t>
  </si>
  <si>
    <t>TC7</t>
  </si>
  <si>
    <t>TC8</t>
  </si>
  <si>
    <t>TC9</t>
  </si>
  <si>
    <t>TC10</t>
  </si>
  <si>
    <t>TC11</t>
  </si>
  <si>
    <t>TC12</t>
  </si>
  <si>
    <t>TC13</t>
  </si>
  <si>
    <t>TC14</t>
  </si>
  <si>
    <t>TC15</t>
  </si>
  <si>
    <t>TC16</t>
  </si>
  <si>
    <t>TC17</t>
  </si>
  <si>
    <t>TC18</t>
  </si>
  <si>
    <t>TC19</t>
  </si>
  <si>
    <t>TC20</t>
  </si>
  <si>
    <t>TC21</t>
  </si>
  <si>
    <t>TC22</t>
  </si>
  <si>
    <t>TC23</t>
  </si>
  <si>
    <t>TC24</t>
  </si>
  <si>
    <t>TC25</t>
  </si>
  <si>
    <t>TC26</t>
  </si>
  <si>
    <t>TC27</t>
  </si>
  <si>
    <t>TC28</t>
  </si>
  <si>
    <t>TC29</t>
  </si>
  <si>
    <t>TC30</t>
  </si>
  <si>
    <t>TC31</t>
  </si>
  <si>
    <t>TC32</t>
  </si>
  <si>
    <t>TC33</t>
  </si>
  <si>
    <t>TC34</t>
  </si>
  <si>
    <t>TC35</t>
  </si>
  <si>
    <t>TC36</t>
  </si>
  <si>
    <t>TC37</t>
  </si>
  <si>
    <t>TC38</t>
  </si>
  <si>
    <t>TC39</t>
  </si>
  <si>
    <t>TC40</t>
  </si>
  <si>
    <t>TC41</t>
  </si>
  <si>
    <t>TC42</t>
  </si>
  <si>
    <t>TC43</t>
  </si>
  <si>
    <t>TC44</t>
  </si>
  <si>
    <t>TC45</t>
  </si>
  <si>
    <t>TC46</t>
  </si>
  <si>
    <t>TC47</t>
  </si>
  <si>
    <t>TC48</t>
  </si>
  <si>
    <t>TC49</t>
  </si>
  <si>
    <t>TC50</t>
  </si>
  <si>
    <t>TC51</t>
  </si>
  <si>
    <t>TC52</t>
  </si>
  <si>
    <t>TC53</t>
  </si>
  <si>
    <t>TC54</t>
  </si>
  <si>
    <t>TC55</t>
  </si>
  <si>
    <t>TC56</t>
  </si>
  <si>
    <t>TC60</t>
  </si>
  <si>
    <t>TC57</t>
  </si>
  <si>
    <t>TC58</t>
  </si>
  <si>
    <t>TC59</t>
  </si>
  <si>
    <t>Test Scenario</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</si>
</sst>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name val="Calibri"/>
      <family val="2"/>
      <scheme val="minor"/>
    </font>
    <font>
      <b/>
      <sz val="11"/>
      <color theme="0"/>
      <name val="Calibri"/>
      <family val="2"/>
      <scheme val="minor"/>
    </font>
    <font>
      <sz val="11"/>
      <color indexed="8"/>
      <name val="Calibri"/>
      <family val="2"/>
    </font>
    <font>
      <b/>
      <sz val="8"/>
      <color theme="0"/>
      <name val="Times New Roman"/>
      <family val="1"/>
    </font>
    <font>
      <sz val="12"/>
      <name val="Calibri"/>
      <family val="2"/>
      <scheme val="minor"/>
    </font>
    <font>
      <b/>
      <sz val="9"/>
      <color theme="0"/>
      <name val="Times New Roman"/>
      <family val="1"/>
    </font>
    <font>
      <sz val="9"/>
      <color theme="1"/>
      <name val="Calibri"/>
      <family val="2"/>
      <scheme val="minor"/>
    </font>
    <font>
      <sz val="9"/>
      <name val="Calibri"/>
      <family val="2"/>
      <scheme val="minor"/>
    </font>
    <font>
      <sz val="9"/>
      <color indexed="8"/>
      <name val="Calibri"/>
      <family val="2"/>
    </font>
    <font>
      <b/>
      <sz val="10"/>
      <color theme="0"/>
      <name val="Times New Roman"/>
      <family val="1"/>
    </font>
    <font>
      <sz val="10"/>
      <color theme="1"/>
      <name val="Calibri"/>
      <family val="2"/>
      <scheme val="minor"/>
    </font>
    <font>
      <sz val="10"/>
      <name val="Calibri"/>
      <family val="2"/>
      <scheme val="minor"/>
    </font>
    <font>
      <sz val="10"/>
      <color indexed="8"/>
      <name val="Calibri"/>
      <family val="2"/>
    </font>
    <font>
      <sz val="9"/>
      <color indexed="8"/>
      <name val="Calibri"/>
      <family val="2"/>
      <scheme val="minor"/>
    </font>
    <font>
      <sz val="9"/>
      <color rgb="FF000000"/>
      <name val="Arial"/>
      <family val="2"/>
    </font>
    <font>
      <sz val="9"/>
      <color rgb="FF000000"/>
      <name val="Calibri"/>
      <family val="2"/>
      <scheme val="minor"/>
    </font>
    <font>
      <sz val="9"/>
      <color rgb="FFFF0000"/>
      <name val="Calibri"/>
      <family val="2"/>
      <scheme val="minor"/>
    </font>
    <font>
      <sz val="8"/>
      <color theme="1"/>
      <name val="Calibri"/>
      <family val="2"/>
      <scheme val="minor"/>
    </font>
    <font>
      <sz val="8"/>
      <color indexed="8"/>
      <name val="Calibri"/>
      <family val="2"/>
    </font>
    <font>
      <sz val="8"/>
      <name val="Calibri"/>
      <family val="2"/>
      <scheme val="minor"/>
    </font>
    <font>
      <sz val="8"/>
      <name val="Calibri"/>
      <family val="2"/>
    </font>
    <font>
      <b/>
      <sz val="10"/>
      <color indexed="9"/>
      <name val="Arial"/>
      <family val="2"/>
    </font>
    <font>
      <sz val="10"/>
      <color indexed="8"/>
      <name val="Arial"/>
      <family val="2"/>
    </font>
  </fonts>
  <fills count="9">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rgb="FFA5A5A5"/>
        <bgColor indexed="64"/>
      </patternFill>
    </fill>
    <fill>
      <patternFill patternType="solid">
        <fgColor rgb="FFFFFF00"/>
        <bgColor indexed="64"/>
      </patternFill>
    </fill>
    <fill>
      <patternFill patternType="solid">
        <fgColor theme="3" tint="0.59999389629810485"/>
        <bgColor indexed="64"/>
      </patternFill>
    </fill>
    <fill>
      <patternFill patternType="solid">
        <fgColor theme="6"/>
        <bgColor indexed="64"/>
      </patternFill>
    </fill>
    <fill>
      <patternFill patternType="solid">
        <fgColor theme="4"/>
        <bgColor indexed="64"/>
      </patternFill>
    </fill>
  </fills>
  <borders count="5">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right style="thin">
        <color indexed="64"/>
      </right>
      <top style="thin">
        <color indexed="64"/>
      </top>
      <bottom style="thin">
        <color indexed="64"/>
      </bottom>
      <diagonal/>
    </border>
  </borders>
  <cellStyleXfs count="3">
    <xf numFmtId="0" fontId="0" fillId="0" borderId="0"/>
    <xf numFmtId="0" fontId="2" fillId="4" borderId="3" applyNumberFormat="0" applyAlignment="0" applyProtection="0"/>
    <xf numFmtId="0" fontId="3" fillId="0" borderId="0"/>
  </cellStyleXfs>
  <cellXfs count="101">
    <xf numFmtId="0" fontId="0" fillId="0" borderId="0" xfId="0"/>
    <xf numFmtId="0" fontId="0" fillId="0" borderId="0" xfId="0" applyAlignment="1">
      <alignment wrapText="1"/>
    </xf>
    <xf numFmtId="0" fontId="0" fillId="0" borderId="0" xfId="0" applyAlignment="1"/>
    <xf numFmtId="0" fontId="0" fillId="0" borderId="0" xfId="0"/>
    <xf numFmtId="0" fontId="0" fillId="0" borderId="2" xfId="0" applyBorder="1" applyAlignment="1">
      <alignment horizontal="left" vertical="top" wrapText="1"/>
    </xf>
    <xf numFmtId="0" fontId="0" fillId="0" borderId="2" xfId="0" applyFont="1" applyBorder="1"/>
    <xf numFmtId="0" fontId="0" fillId="0" borderId="2" xfId="0" applyBorder="1"/>
    <xf numFmtId="0" fontId="4" fillId="2" borderId="2" xfId="0" applyFont="1" applyFill="1" applyBorder="1" applyAlignment="1">
      <alignment horizontal="left" wrapText="1"/>
    </xf>
    <xf numFmtId="0" fontId="4" fillId="2" borderId="2" xfId="0" applyFont="1" applyFill="1" applyBorder="1" applyAlignment="1">
      <alignment horizontal="left"/>
    </xf>
    <xf numFmtId="0" fontId="6" fillId="2" borderId="2" xfId="0" applyFont="1" applyFill="1" applyBorder="1" applyAlignment="1">
      <alignment horizontal="left" wrapText="1"/>
    </xf>
    <xf numFmtId="0" fontId="6" fillId="2" borderId="2" xfId="0" applyFont="1" applyFill="1" applyBorder="1" applyAlignment="1">
      <alignment horizontal="left"/>
    </xf>
    <xf numFmtId="0" fontId="7" fillId="0" borderId="0" xfId="0" applyFont="1"/>
    <xf numFmtId="0" fontId="7" fillId="0" borderId="2" xfId="0" applyFont="1" applyBorder="1" applyAlignment="1">
      <alignment horizontal="left" vertical="top" wrapText="1"/>
    </xf>
    <xf numFmtId="0" fontId="7" fillId="0" borderId="2" xfId="0" applyFont="1" applyBorder="1" applyAlignment="1">
      <alignment vertical="top" wrapText="1"/>
    </xf>
    <xf numFmtId="0" fontId="7" fillId="0" borderId="2" xfId="0" applyFont="1" applyBorder="1"/>
    <xf numFmtId="0" fontId="7" fillId="0" borderId="2" xfId="0" applyFont="1" applyBorder="1" applyAlignment="1">
      <alignment vertical="top"/>
    </xf>
    <xf numFmtId="0" fontId="8" fillId="0" borderId="2" xfId="0" applyFont="1" applyFill="1" applyBorder="1" applyAlignment="1">
      <alignment horizontal="left" vertical="top" wrapText="1"/>
    </xf>
    <xf numFmtId="0" fontId="9" fillId="0" borderId="2" xfId="0" applyFont="1" applyFill="1" applyBorder="1" applyAlignment="1">
      <alignment vertical="top" wrapText="1"/>
    </xf>
    <xf numFmtId="0" fontId="7" fillId="0" borderId="2" xfId="0" applyFont="1" applyBorder="1" applyAlignment="1">
      <alignment horizontal="left" vertical="top"/>
    </xf>
    <xf numFmtId="0" fontId="10" fillId="2" borderId="2" xfId="0" applyFont="1" applyFill="1" applyBorder="1" applyAlignment="1">
      <alignment horizontal="left" wrapText="1"/>
    </xf>
    <xf numFmtId="0" fontId="10" fillId="2" borderId="2" xfId="0" applyFont="1" applyFill="1" applyBorder="1" applyAlignment="1">
      <alignment horizontal="left"/>
    </xf>
    <xf numFmtId="0" fontId="11" fillId="0" borderId="2" xfId="0" applyFont="1" applyBorder="1" applyAlignment="1">
      <alignment horizontal="left" vertical="top" wrapText="1"/>
    </xf>
    <xf numFmtId="0" fontId="11" fillId="0" borderId="2" xfId="0" applyFont="1" applyBorder="1" applyAlignment="1">
      <alignment vertical="top" wrapText="1"/>
    </xf>
    <xf numFmtId="0" fontId="11" fillId="0" borderId="2" xfId="0" applyFont="1" applyBorder="1"/>
    <xf numFmtId="0" fontId="11" fillId="0" borderId="2" xfId="0" applyFont="1" applyBorder="1" applyAlignment="1">
      <alignment vertical="top"/>
    </xf>
    <xf numFmtId="0" fontId="12" fillId="0" borderId="2" xfId="0" applyFont="1" applyFill="1" applyBorder="1" applyAlignment="1">
      <alignment horizontal="left" vertical="top" wrapText="1"/>
    </xf>
    <xf numFmtId="0" fontId="13" fillId="0" borderId="2" xfId="0" applyFont="1" applyFill="1" applyBorder="1" applyAlignment="1">
      <alignment vertical="top" wrapText="1"/>
    </xf>
    <xf numFmtId="0" fontId="11" fillId="0" borderId="2" xfId="0" applyFont="1" applyBorder="1" applyAlignment="1">
      <alignment horizontal="left" vertical="top"/>
    </xf>
    <xf numFmtId="0" fontId="6" fillId="2" borderId="4" xfId="0" applyFont="1" applyFill="1" applyBorder="1" applyAlignment="1">
      <alignment horizontal="left" wrapText="1"/>
    </xf>
    <xf numFmtId="0" fontId="8" fillId="5" borderId="2" xfId="0" applyFont="1" applyFill="1" applyBorder="1" applyAlignment="1">
      <alignment horizontal="left" vertical="top" wrapText="1"/>
    </xf>
    <xf numFmtId="0" fontId="7" fillId="0" borderId="4" xfId="0" applyFont="1" applyBorder="1"/>
    <xf numFmtId="0" fontId="0" fillId="0" borderId="4" xfId="0" applyBorder="1"/>
    <xf numFmtId="0" fontId="0" fillId="0" borderId="0" xfId="0" applyFont="1" applyAlignment="1"/>
    <xf numFmtId="0" fontId="0" fillId="0" borderId="0" xfId="0" applyFont="1"/>
    <xf numFmtId="0" fontId="12" fillId="5" borderId="2" xfId="0" applyFont="1" applyFill="1" applyBorder="1" applyAlignment="1">
      <alignment horizontal="left" vertical="top" wrapText="1"/>
    </xf>
    <xf numFmtId="0" fontId="11" fillId="0" borderId="1" xfId="0" applyFont="1" applyBorder="1"/>
    <xf numFmtId="0" fontId="12" fillId="3" borderId="2" xfId="0" applyFont="1" applyFill="1" applyBorder="1" applyAlignment="1">
      <alignment horizontal="left" vertical="top" wrapText="1"/>
    </xf>
    <xf numFmtId="0" fontId="7" fillId="0" borderId="2" xfId="0" applyFont="1" applyBorder="1" applyAlignment="1">
      <alignment horizontal="left" wrapText="1"/>
    </xf>
    <xf numFmtId="0" fontId="7" fillId="5" borderId="2" xfId="0" applyFont="1" applyFill="1" applyBorder="1" applyAlignment="1">
      <alignment horizontal="left" wrapText="1"/>
    </xf>
    <xf numFmtId="0" fontId="7" fillId="0" borderId="2" xfId="0" applyFont="1" applyBorder="1" applyAlignment="1">
      <alignment horizontal="left"/>
    </xf>
    <xf numFmtId="0" fontId="7" fillId="0" borderId="2" xfId="0" applyFont="1" applyFill="1" applyBorder="1" applyAlignment="1">
      <alignment horizontal="left" wrapText="1"/>
    </xf>
    <xf numFmtId="0" fontId="7" fillId="5" borderId="2" xfId="0" applyFont="1" applyFill="1" applyBorder="1" applyAlignment="1">
      <alignment horizontal="left"/>
    </xf>
    <xf numFmtId="0" fontId="14" fillId="0" borderId="2" xfId="2" applyFont="1" applyBorder="1" applyAlignment="1">
      <alignment horizontal="left" wrapText="1"/>
    </xf>
    <xf numFmtId="0" fontId="7" fillId="0" borderId="2" xfId="0" applyFont="1" applyBorder="1" applyAlignment="1">
      <alignment wrapText="1"/>
    </xf>
    <xf numFmtId="0" fontId="7" fillId="5" borderId="2" xfId="0" applyFont="1" applyFill="1" applyBorder="1" applyAlignment="1">
      <alignment wrapText="1"/>
    </xf>
    <xf numFmtId="0" fontId="7" fillId="0" borderId="2" xfId="0" applyFont="1" applyFill="1" applyBorder="1" applyAlignment="1">
      <alignment wrapText="1"/>
    </xf>
    <xf numFmtId="0" fontId="7" fillId="0" borderId="2" xfId="0" applyFont="1" applyFill="1" applyBorder="1"/>
    <xf numFmtId="0" fontId="7" fillId="5" borderId="2" xfId="0" applyFont="1" applyFill="1" applyBorder="1"/>
    <xf numFmtId="0" fontId="14" fillId="0" borderId="2" xfId="2" applyFont="1" applyBorder="1" applyAlignment="1">
      <alignment wrapText="1"/>
    </xf>
    <xf numFmtId="0" fontId="14" fillId="0" borderId="2" xfId="0" applyFont="1" applyFill="1" applyBorder="1" applyAlignment="1">
      <alignment wrapText="1"/>
    </xf>
    <xf numFmtId="0" fontId="8" fillId="3" borderId="2" xfId="0" applyFont="1" applyFill="1" applyBorder="1" applyAlignment="1">
      <alignment horizontal="left" vertical="top" wrapText="1"/>
    </xf>
    <xf numFmtId="0" fontId="8" fillId="0" borderId="2" xfId="0" applyFont="1" applyBorder="1" applyAlignment="1">
      <alignment horizontal="left" vertical="top" wrapText="1"/>
    </xf>
    <xf numFmtId="0" fontId="15" fillId="0" borderId="2" xfId="0" applyFont="1" applyBorder="1" applyAlignment="1">
      <alignment wrapText="1"/>
    </xf>
    <xf numFmtId="0" fontId="16" fillId="6" borderId="2" xfId="0" applyFont="1" applyFill="1" applyBorder="1" applyAlignment="1">
      <alignment horizontal="left" vertical="top" wrapText="1"/>
    </xf>
    <xf numFmtId="0" fontId="7" fillId="0" borderId="2" xfId="0" applyFont="1" applyFill="1" applyBorder="1" applyAlignment="1">
      <alignment horizontal="left" vertical="top" wrapText="1"/>
    </xf>
    <xf numFmtId="0" fontId="7" fillId="0" borderId="2" xfId="0" applyFont="1" applyFill="1" applyBorder="1" applyAlignment="1">
      <alignment horizontal="left" vertical="top"/>
    </xf>
    <xf numFmtId="0" fontId="8" fillId="0" borderId="2" xfId="0" applyFont="1" applyFill="1" applyBorder="1" applyAlignment="1">
      <alignment vertical="top" wrapText="1"/>
    </xf>
    <xf numFmtId="0" fontId="0" fillId="0" borderId="2" xfId="0" applyBorder="1" applyAlignment="1">
      <alignment horizontal="left"/>
    </xf>
    <xf numFmtId="0" fontId="11" fillId="3" borderId="2" xfId="0" applyFont="1" applyFill="1" applyBorder="1" applyAlignment="1">
      <alignment horizontal="left" vertical="top" wrapText="1"/>
    </xf>
    <xf numFmtId="0" fontId="11" fillId="3" borderId="2" xfId="0" applyFont="1" applyFill="1" applyBorder="1" applyAlignment="1">
      <alignment vertical="top" wrapText="1"/>
    </xf>
    <xf numFmtId="0" fontId="11" fillId="3" borderId="2" xfId="0" applyFont="1" applyFill="1" applyBorder="1" applyAlignment="1">
      <alignment wrapText="1"/>
    </xf>
    <xf numFmtId="0" fontId="13" fillId="3" borderId="2" xfId="0" applyFont="1" applyFill="1" applyBorder="1" applyAlignment="1">
      <alignment vertical="top" wrapText="1"/>
    </xf>
    <xf numFmtId="0" fontId="11" fillId="3" borderId="2" xfId="0" applyFont="1" applyFill="1" applyBorder="1" applyAlignment="1">
      <alignment vertical="top"/>
    </xf>
    <xf numFmtId="0" fontId="7" fillId="3" borderId="2" xfId="0" applyFont="1" applyFill="1" applyBorder="1" applyAlignment="1">
      <alignment horizontal="left" wrapText="1"/>
    </xf>
    <xf numFmtId="0" fontId="7" fillId="3" borderId="2" xfId="0" applyFont="1" applyFill="1" applyBorder="1" applyAlignment="1">
      <alignment horizontal="left" vertical="top" wrapText="1"/>
    </xf>
    <xf numFmtId="0" fontId="18" fillId="0" borderId="2" xfId="0" applyFont="1" applyBorder="1"/>
    <xf numFmtId="0" fontId="18" fillId="0" borderId="2" xfId="0" applyFont="1" applyBorder="1" applyAlignment="1">
      <alignment vertical="top" wrapText="1"/>
    </xf>
    <xf numFmtId="0" fontId="18" fillId="0" borderId="2" xfId="0" applyFont="1" applyBorder="1" applyAlignment="1">
      <alignment vertical="center" wrapText="1"/>
    </xf>
    <xf numFmtId="0" fontId="18" fillId="0" borderId="2" xfId="0" applyFont="1" applyBorder="1" applyAlignment="1">
      <alignment horizontal="left" vertical="top" wrapText="1"/>
    </xf>
    <xf numFmtId="0" fontId="18" fillId="5" borderId="2" xfId="0" applyFont="1" applyFill="1" applyBorder="1" applyAlignment="1">
      <alignment horizontal="left" vertical="top"/>
    </xf>
    <xf numFmtId="0" fontId="18" fillId="3" borderId="2" xfId="0" applyFont="1" applyFill="1" applyBorder="1" applyAlignment="1">
      <alignment wrapText="1"/>
    </xf>
    <xf numFmtId="0" fontId="18" fillId="0" borderId="2" xfId="0" applyFont="1" applyFill="1" applyBorder="1" applyAlignment="1">
      <alignment horizontal="left" vertical="top"/>
    </xf>
    <xf numFmtId="0" fontId="19" fillId="0" borderId="2" xfId="0" applyFont="1" applyFill="1" applyBorder="1" applyAlignment="1">
      <alignment horizontal="left" vertical="top" wrapText="1"/>
    </xf>
    <xf numFmtId="0" fontId="18" fillId="0" borderId="2" xfId="0" applyFont="1" applyBorder="1" applyAlignment="1">
      <alignment wrapText="1"/>
    </xf>
    <xf numFmtId="0" fontId="18" fillId="0" borderId="2" xfId="0" applyFont="1" applyBorder="1" applyAlignment="1">
      <alignment vertical="top"/>
    </xf>
    <xf numFmtId="0" fontId="18" fillId="0" borderId="2" xfId="0" applyFont="1" applyBorder="1" applyAlignment="1">
      <alignment horizontal="left" vertical="top"/>
    </xf>
    <xf numFmtId="0" fontId="18" fillId="3" borderId="2" xfId="0" applyFont="1" applyFill="1" applyBorder="1" applyAlignment="1">
      <alignment vertical="top" wrapText="1"/>
    </xf>
    <xf numFmtId="0" fontId="19" fillId="0" borderId="2" xfId="0" applyFont="1" applyFill="1" applyBorder="1" applyAlignment="1">
      <alignment vertical="top" wrapText="1"/>
    </xf>
    <xf numFmtId="0" fontId="20" fillId="0" borderId="2" xfId="0" applyFont="1" applyFill="1" applyBorder="1" applyAlignment="1">
      <alignment horizontal="left" vertical="top" wrapText="1"/>
    </xf>
    <xf numFmtId="0" fontId="20" fillId="3" borderId="2" xfId="0" applyFont="1" applyFill="1" applyBorder="1" applyAlignment="1">
      <alignment vertical="top" wrapText="1"/>
    </xf>
    <xf numFmtId="0" fontId="18" fillId="3" borderId="2" xfId="0" applyFont="1" applyFill="1" applyBorder="1" applyAlignment="1">
      <alignment horizontal="left" vertical="top" wrapText="1"/>
    </xf>
    <xf numFmtId="0" fontId="20" fillId="3" borderId="2" xfId="0" applyFont="1" applyFill="1" applyBorder="1" applyAlignment="1">
      <alignment horizontal="left" vertical="top" wrapText="1"/>
    </xf>
    <xf numFmtId="0" fontId="19" fillId="0" borderId="2" xfId="0" applyFont="1" applyBorder="1" applyAlignment="1">
      <alignment vertical="top" wrapText="1"/>
    </xf>
    <xf numFmtId="0" fontId="21" fillId="3" borderId="2" xfId="0" applyFont="1" applyFill="1" applyBorder="1" applyAlignment="1">
      <alignment horizontal="left" vertical="top" wrapText="1"/>
    </xf>
    <xf numFmtId="0" fontId="20" fillId="3" borderId="2" xfId="0" applyFont="1" applyFill="1" applyBorder="1" applyAlignment="1">
      <alignment wrapText="1"/>
    </xf>
    <xf numFmtId="0" fontId="5" fillId="0" borderId="2" xfId="0" applyFont="1" applyFill="1" applyBorder="1" applyAlignment="1">
      <alignment horizontal="left" vertical="center"/>
    </xf>
    <xf numFmtId="0" fontId="14" fillId="0" borderId="2" xfId="2" applyFont="1" applyFill="1" applyBorder="1" applyAlignment="1">
      <alignment wrapText="1"/>
    </xf>
    <xf numFmtId="0" fontId="0" fillId="0" borderId="2" xfId="0" applyBorder="1" applyAlignment="1">
      <alignment horizontal="left" wrapText="1"/>
    </xf>
    <xf numFmtId="0" fontId="5" fillId="0" borderId="2" xfId="0" applyFont="1" applyFill="1" applyBorder="1" applyAlignment="1">
      <alignment horizontal="left" vertical="center" wrapText="1"/>
    </xf>
    <xf numFmtId="0" fontId="0" fillId="0" borderId="2" xfId="0" applyFill="1" applyBorder="1" applyAlignment="1">
      <alignment horizontal="left" wrapText="1"/>
    </xf>
    <xf numFmtId="0" fontId="1" fillId="0" borderId="2" xfId="0" applyFont="1" applyFill="1" applyBorder="1" applyAlignment="1">
      <alignment horizontal="left" vertical="center" wrapText="1"/>
    </xf>
    <xf numFmtId="0" fontId="0" fillId="0" borderId="2" xfId="0" applyFill="1" applyBorder="1" applyAlignment="1">
      <alignment horizontal="left" vertical="top" wrapText="1"/>
    </xf>
    <xf numFmtId="0" fontId="0" fillId="0" borderId="2" xfId="0" applyFont="1" applyBorder="1" applyAlignment="1">
      <alignment horizontal="left" wrapText="1"/>
    </xf>
    <xf numFmtId="0" fontId="0" fillId="7" borderId="2" xfId="0" applyFill="1" applyBorder="1"/>
    <xf numFmtId="0" fontId="0" fillId="0" borderId="2" xfId="0" applyBorder="1" applyAlignment="1">
      <alignment wrapText="1"/>
    </xf>
    <xf numFmtId="0" fontId="7" fillId="0" borderId="2" xfId="0" applyFont="1" applyBorder="1" applyAlignment="1">
      <alignment horizontal="left" vertical="center"/>
    </xf>
    <xf numFmtId="0" fontId="22" fillId="8" borderId="0" xfId="0" applyFont="1" applyFill="1" applyAlignment="1" applyProtection="1"/>
    <xf numFmtId="0" fontId="22" fillId="8" borderId="0" xfId="0" applyFont="1" applyFill="1" applyAlignment="1"/>
    <xf numFmtId="0" fontId="23" fillId="0" borderId="0" xfId="0" applyFont="1" applyAlignment="1"/>
    <xf numFmtId="0" fontId="23" fillId="0" borderId="0" xfId="0" applyFont="1" applyAlignment="1">
      <alignment horizontal="left"/>
    </xf>
    <xf numFmtId="10" fontId="0" fillId="0" borderId="0" xfId="0" applyNumberFormat="1"/>
  </cellXfs>
  <cellStyles count="3">
    <cellStyle name="Check Cell 2" xfId="1"/>
    <cellStyle name="Normal" xfId="0" builtinId="0"/>
    <cellStyle name="Normal 2" xfId="2"/>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087884\Downloads\OBIEE-CR-109(PM1.4).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ValidationData"/>
    </sheetNames>
    <sheetDataSet>
      <sheetData sheetId="0"/>
      <sheetData sheetId="1"/>
      <sheetData sheetId="2"/>
      <sheetData sheetId="3">
        <row r="1">
          <cell r="C1" t="str">
            <v>Passed</v>
          </cell>
        </row>
        <row r="2">
          <cell r="C2" t="str">
            <v>Not Run</v>
          </cell>
        </row>
        <row r="3">
          <cell r="C3" t="str">
            <v>In Progress</v>
          </cell>
        </row>
        <row r="4">
          <cell r="C4" t="str">
            <v>Failed</v>
          </cell>
        </row>
        <row r="5">
          <cell r="C5" t="str">
            <v>Blocked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614"/>
  <sheetViews>
    <sheetView tabSelected="1" workbookViewId="0"/>
  </sheetViews>
  <sheetFormatPr defaultRowHeight="15" x14ac:dyDescent="0.25"/>
  <cols>
    <col min="1" max="1" width="5.42578125" customWidth="1"/>
    <col min="2" max="2" width="7.140625" style="98" bestFit="1" customWidth="1"/>
    <col min="3" max="3" width="56.5703125" customWidth="1"/>
    <col min="4" max="4" width="13.42578125" style="98" customWidth="1"/>
    <col min="5" max="5" width="38.28515625" style="98" customWidth="1"/>
    <col min="6" max="6" width="44.7109375" style="98" customWidth="1"/>
    <col min="7" max="7" width="23.28515625" style="98" customWidth="1"/>
    <col min="8" max="8" width="90.42578125" style="98" customWidth="1"/>
    <col min="9" max="9" width="21.7109375" style="98" customWidth="1"/>
    <col min="10" max="10" width="46.140625" style="98" customWidth="1"/>
    <col min="11" max="11" width="66" style="98" customWidth="1"/>
    <col min="14" max="256" width="9.140625" style="98"/>
    <col min="257" max="257" width="12.140625" style="98" customWidth="1"/>
    <col min="258" max="258" width="12.85546875" style="98" customWidth="1"/>
    <col min="259" max="259" width="17.28515625" style="98" customWidth="1"/>
    <col min="260" max="260" width="19.28515625" style="98" customWidth="1"/>
    <col min="261" max="261" width="15.28515625" style="98" customWidth="1"/>
    <col min="262" max="262" width="18" style="98" customWidth="1"/>
    <col min="263" max="263" width="16" style="98" customWidth="1"/>
    <col min="264" max="264" width="13.42578125" style="98" bestFit="1" customWidth="1"/>
    <col min="265" max="265" width="66.140625" style="98" customWidth="1"/>
    <col min="266" max="512" width="9.140625" style="98"/>
    <col min="513" max="513" width="12.140625" style="98" customWidth="1"/>
    <col min="514" max="514" width="12.85546875" style="98" customWidth="1"/>
    <col min="515" max="515" width="17.28515625" style="98" customWidth="1"/>
    <col min="516" max="516" width="19.28515625" style="98" customWidth="1"/>
    <col min="517" max="517" width="15.28515625" style="98" customWidth="1"/>
    <col min="518" max="518" width="18" style="98" customWidth="1"/>
    <col min="519" max="519" width="16" style="98" customWidth="1"/>
    <col min="520" max="520" width="13.42578125" style="98" bestFit="1" customWidth="1"/>
    <col min="521" max="521" width="66.140625" style="98" customWidth="1"/>
    <col min="522" max="768" width="9.140625" style="98"/>
    <col min="769" max="769" width="12.140625" style="98" customWidth="1"/>
    <col min="770" max="770" width="12.85546875" style="98" customWidth="1"/>
    <col min="771" max="771" width="17.28515625" style="98" customWidth="1"/>
    <col min="772" max="772" width="19.28515625" style="98" customWidth="1"/>
    <col min="773" max="773" width="15.28515625" style="98" customWidth="1"/>
    <col min="774" max="774" width="18" style="98" customWidth="1"/>
    <col min="775" max="775" width="16" style="98" customWidth="1"/>
    <col min="776" max="776" width="13.42578125" style="98" bestFit="1" customWidth="1"/>
    <col min="777" max="777" width="66.140625" style="98" customWidth="1"/>
    <col min="778" max="1024" width="9.140625" style="98"/>
    <col min="1025" max="1025" width="12.140625" style="98" customWidth="1"/>
    <col min="1026" max="1026" width="12.85546875" style="98" customWidth="1"/>
    <col min="1027" max="1027" width="17.28515625" style="98" customWidth="1"/>
    <col min="1028" max="1028" width="19.28515625" style="98" customWidth="1"/>
    <col min="1029" max="1029" width="15.28515625" style="98" customWidth="1"/>
    <col min="1030" max="1030" width="18" style="98" customWidth="1"/>
    <col min="1031" max="1031" width="16" style="98" customWidth="1"/>
    <col min="1032" max="1032" width="13.42578125" style="98" bestFit="1" customWidth="1"/>
    <col min="1033" max="1033" width="66.140625" style="98" customWidth="1"/>
    <col min="1034" max="1280" width="9.140625" style="98"/>
    <col min="1281" max="1281" width="12.140625" style="98" customWidth="1"/>
    <col min="1282" max="1282" width="12.85546875" style="98" customWidth="1"/>
    <col min="1283" max="1283" width="17.28515625" style="98" customWidth="1"/>
    <col min="1284" max="1284" width="19.28515625" style="98" customWidth="1"/>
    <col min="1285" max="1285" width="15.28515625" style="98" customWidth="1"/>
    <col min="1286" max="1286" width="18" style="98" customWidth="1"/>
    <col min="1287" max="1287" width="16" style="98" customWidth="1"/>
    <col min="1288" max="1288" width="13.42578125" style="98" bestFit="1" customWidth="1"/>
    <col min="1289" max="1289" width="66.140625" style="98" customWidth="1"/>
    <col min="1290" max="1536" width="9.140625" style="98"/>
    <col min="1537" max="1537" width="12.140625" style="98" customWidth="1"/>
    <col min="1538" max="1538" width="12.85546875" style="98" customWidth="1"/>
    <col min="1539" max="1539" width="17.28515625" style="98" customWidth="1"/>
    <col min="1540" max="1540" width="19.28515625" style="98" customWidth="1"/>
    <col min="1541" max="1541" width="15.28515625" style="98" customWidth="1"/>
    <col min="1542" max="1542" width="18" style="98" customWidth="1"/>
    <col min="1543" max="1543" width="16" style="98" customWidth="1"/>
    <col min="1544" max="1544" width="13.42578125" style="98" bestFit="1" customWidth="1"/>
    <col min="1545" max="1545" width="66.140625" style="98" customWidth="1"/>
    <col min="1546" max="1792" width="9.140625" style="98"/>
    <col min="1793" max="1793" width="12.140625" style="98" customWidth="1"/>
    <col min="1794" max="1794" width="12.85546875" style="98" customWidth="1"/>
    <col min="1795" max="1795" width="17.28515625" style="98" customWidth="1"/>
    <col min="1796" max="1796" width="19.28515625" style="98" customWidth="1"/>
    <col min="1797" max="1797" width="15.28515625" style="98" customWidth="1"/>
    <col min="1798" max="1798" width="18" style="98" customWidth="1"/>
    <col min="1799" max="1799" width="16" style="98" customWidth="1"/>
    <col min="1800" max="1800" width="13.42578125" style="98" bestFit="1" customWidth="1"/>
    <col min="1801" max="1801" width="66.140625" style="98" customWidth="1"/>
    <col min="1802" max="2048" width="9.140625" style="98"/>
    <col min="2049" max="2049" width="12.140625" style="98" customWidth="1"/>
    <col min="2050" max="2050" width="12.85546875" style="98" customWidth="1"/>
    <col min="2051" max="2051" width="17.28515625" style="98" customWidth="1"/>
    <col min="2052" max="2052" width="19.28515625" style="98" customWidth="1"/>
    <col min="2053" max="2053" width="15.28515625" style="98" customWidth="1"/>
    <col min="2054" max="2054" width="18" style="98" customWidth="1"/>
    <col min="2055" max="2055" width="16" style="98" customWidth="1"/>
    <col min="2056" max="2056" width="13.42578125" style="98" bestFit="1" customWidth="1"/>
    <col min="2057" max="2057" width="66.140625" style="98" customWidth="1"/>
    <col min="2058" max="2304" width="9.140625" style="98"/>
    <col min="2305" max="2305" width="12.140625" style="98" customWidth="1"/>
    <col min="2306" max="2306" width="12.85546875" style="98" customWidth="1"/>
    <col min="2307" max="2307" width="17.28515625" style="98" customWidth="1"/>
    <col min="2308" max="2308" width="19.28515625" style="98" customWidth="1"/>
    <col min="2309" max="2309" width="15.28515625" style="98" customWidth="1"/>
    <col min="2310" max="2310" width="18" style="98" customWidth="1"/>
    <col min="2311" max="2311" width="16" style="98" customWidth="1"/>
    <col min="2312" max="2312" width="13.42578125" style="98" bestFit="1" customWidth="1"/>
    <col min="2313" max="2313" width="66.140625" style="98" customWidth="1"/>
    <col min="2314" max="2560" width="9.140625" style="98"/>
    <col min="2561" max="2561" width="12.140625" style="98" customWidth="1"/>
    <col min="2562" max="2562" width="12.85546875" style="98" customWidth="1"/>
    <col min="2563" max="2563" width="17.28515625" style="98" customWidth="1"/>
    <col min="2564" max="2564" width="19.28515625" style="98" customWidth="1"/>
    <col min="2565" max="2565" width="15.28515625" style="98" customWidth="1"/>
    <col min="2566" max="2566" width="18" style="98" customWidth="1"/>
    <col min="2567" max="2567" width="16" style="98" customWidth="1"/>
    <col min="2568" max="2568" width="13.42578125" style="98" bestFit="1" customWidth="1"/>
    <col min="2569" max="2569" width="66.140625" style="98" customWidth="1"/>
    <col min="2570" max="2816" width="9.140625" style="98"/>
    <col min="2817" max="2817" width="12.140625" style="98" customWidth="1"/>
    <col min="2818" max="2818" width="12.85546875" style="98" customWidth="1"/>
    <col min="2819" max="2819" width="17.28515625" style="98" customWidth="1"/>
    <col min="2820" max="2820" width="19.28515625" style="98" customWidth="1"/>
    <col min="2821" max="2821" width="15.28515625" style="98" customWidth="1"/>
    <col min="2822" max="2822" width="18" style="98" customWidth="1"/>
    <col min="2823" max="2823" width="16" style="98" customWidth="1"/>
    <col min="2824" max="2824" width="13.42578125" style="98" bestFit="1" customWidth="1"/>
    <col min="2825" max="2825" width="66.140625" style="98" customWidth="1"/>
    <col min="2826" max="3072" width="9.140625" style="98"/>
    <col min="3073" max="3073" width="12.140625" style="98" customWidth="1"/>
    <col min="3074" max="3074" width="12.85546875" style="98" customWidth="1"/>
    <col min="3075" max="3075" width="17.28515625" style="98" customWidth="1"/>
    <col min="3076" max="3076" width="19.28515625" style="98" customWidth="1"/>
    <col min="3077" max="3077" width="15.28515625" style="98" customWidth="1"/>
    <col min="3078" max="3078" width="18" style="98" customWidth="1"/>
    <col min="3079" max="3079" width="16" style="98" customWidth="1"/>
    <col min="3080" max="3080" width="13.42578125" style="98" bestFit="1" customWidth="1"/>
    <col min="3081" max="3081" width="66.140625" style="98" customWidth="1"/>
    <col min="3082" max="3328" width="9.140625" style="98"/>
    <col min="3329" max="3329" width="12.140625" style="98" customWidth="1"/>
    <col min="3330" max="3330" width="12.85546875" style="98" customWidth="1"/>
    <col min="3331" max="3331" width="17.28515625" style="98" customWidth="1"/>
    <col min="3332" max="3332" width="19.28515625" style="98" customWidth="1"/>
    <col min="3333" max="3333" width="15.28515625" style="98" customWidth="1"/>
    <col min="3334" max="3334" width="18" style="98" customWidth="1"/>
    <col min="3335" max="3335" width="16" style="98" customWidth="1"/>
    <col min="3336" max="3336" width="13.42578125" style="98" bestFit="1" customWidth="1"/>
    <col min="3337" max="3337" width="66.140625" style="98" customWidth="1"/>
    <col min="3338" max="3584" width="9.140625" style="98"/>
    <col min="3585" max="3585" width="12.140625" style="98" customWidth="1"/>
    <col min="3586" max="3586" width="12.85546875" style="98" customWidth="1"/>
    <col min="3587" max="3587" width="17.28515625" style="98" customWidth="1"/>
    <col min="3588" max="3588" width="19.28515625" style="98" customWidth="1"/>
    <col min="3589" max="3589" width="15.28515625" style="98" customWidth="1"/>
    <col min="3590" max="3590" width="18" style="98" customWidth="1"/>
    <col min="3591" max="3591" width="16" style="98" customWidth="1"/>
    <col min="3592" max="3592" width="13.42578125" style="98" bestFit="1" customWidth="1"/>
    <col min="3593" max="3593" width="66.140625" style="98" customWidth="1"/>
    <col min="3594" max="3840" width="9.140625" style="98"/>
    <col min="3841" max="3841" width="12.140625" style="98" customWidth="1"/>
    <col min="3842" max="3842" width="12.85546875" style="98" customWidth="1"/>
    <col min="3843" max="3843" width="17.28515625" style="98" customWidth="1"/>
    <col min="3844" max="3844" width="19.28515625" style="98" customWidth="1"/>
    <col min="3845" max="3845" width="15.28515625" style="98" customWidth="1"/>
    <col min="3846" max="3846" width="18" style="98" customWidth="1"/>
    <col min="3847" max="3847" width="16" style="98" customWidth="1"/>
    <col min="3848" max="3848" width="13.42578125" style="98" bestFit="1" customWidth="1"/>
    <col min="3849" max="3849" width="66.140625" style="98" customWidth="1"/>
    <col min="3850" max="4096" width="9.140625" style="98"/>
    <col min="4097" max="4097" width="12.140625" style="98" customWidth="1"/>
    <col min="4098" max="4098" width="12.85546875" style="98" customWidth="1"/>
    <col min="4099" max="4099" width="17.28515625" style="98" customWidth="1"/>
    <col min="4100" max="4100" width="19.28515625" style="98" customWidth="1"/>
    <col min="4101" max="4101" width="15.28515625" style="98" customWidth="1"/>
    <col min="4102" max="4102" width="18" style="98" customWidth="1"/>
    <col min="4103" max="4103" width="16" style="98" customWidth="1"/>
    <col min="4104" max="4104" width="13.42578125" style="98" bestFit="1" customWidth="1"/>
    <col min="4105" max="4105" width="66.140625" style="98" customWidth="1"/>
    <col min="4106" max="4352" width="9.140625" style="98"/>
    <col min="4353" max="4353" width="12.140625" style="98" customWidth="1"/>
    <col min="4354" max="4354" width="12.85546875" style="98" customWidth="1"/>
    <col min="4355" max="4355" width="17.28515625" style="98" customWidth="1"/>
    <col min="4356" max="4356" width="19.28515625" style="98" customWidth="1"/>
    <col min="4357" max="4357" width="15.28515625" style="98" customWidth="1"/>
    <col min="4358" max="4358" width="18" style="98" customWidth="1"/>
    <col min="4359" max="4359" width="16" style="98" customWidth="1"/>
    <col min="4360" max="4360" width="13.42578125" style="98" bestFit="1" customWidth="1"/>
    <col min="4361" max="4361" width="66.140625" style="98" customWidth="1"/>
    <col min="4362" max="4608" width="9.140625" style="98"/>
    <col min="4609" max="4609" width="12.140625" style="98" customWidth="1"/>
    <col min="4610" max="4610" width="12.85546875" style="98" customWidth="1"/>
    <col min="4611" max="4611" width="17.28515625" style="98" customWidth="1"/>
    <col min="4612" max="4612" width="19.28515625" style="98" customWidth="1"/>
    <col min="4613" max="4613" width="15.28515625" style="98" customWidth="1"/>
    <col min="4614" max="4614" width="18" style="98" customWidth="1"/>
    <col min="4615" max="4615" width="16" style="98" customWidth="1"/>
    <col min="4616" max="4616" width="13.42578125" style="98" bestFit="1" customWidth="1"/>
    <col min="4617" max="4617" width="66.140625" style="98" customWidth="1"/>
    <col min="4618" max="4864" width="9.140625" style="98"/>
    <col min="4865" max="4865" width="12.140625" style="98" customWidth="1"/>
    <col min="4866" max="4866" width="12.85546875" style="98" customWidth="1"/>
    <col min="4867" max="4867" width="17.28515625" style="98" customWidth="1"/>
    <col min="4868" max="4868" width="19.28515625" style="98" customWidth="1"/>
    <col min="4869" max="4869" width="15.28515625" style="98" customWidth="1"/>
    <col min="4870" max="4870" width="18" style="98" customWidth="1"/>
    <col min="4871" max="4871" width="16" style="98" customWidth="1"/>
    <col min="4872" max="4872" width="13.42578125" style="98" bestFit="1" customWidth="1"/>
    <col min="4873" max="4873" width="66.140625" style="98" customWidth="1"/>
    <col min="4874" max="5120" width="9.140625" style="98"/>
    <col min="5121" max="5121" width="12.140625" style="98" customWidth="1"/>
    <col min="5122" max="5122" width="12.85546875" style="98" customWidth="1"/>
    <col min="5123" max="5123" width="17.28515625" style="98" customWidth="1"/>
    <col min="5124" max="5124" width="19.28515625" style="98" customWidth="1"/>
    <col min="5125" max="5125" width="15.28515625" style="98" customWidth="1"/>
    <col min="5126" max="5126" width="18" style="98" customWidth="1"/>
    <col min="5127" max="5127" width="16" style="98" customWidth="1"/>
    <col min="5128" max="5128" width="13.42578125" style="98" bestFit="1" customWidth="1"/>
    <col min="5129" max="5129" width="66.140625" style="98" customWidth="1"/>
    <col min="5130" max="5376" width="9.140625" style="98"/>
    <col min="5377" max="5377" width="12.140625" style="98" customWidth="1"/>
    <col min="5378" max="5378" width="12.85546875" style="98" customWidth="1"/>
    <col min="5379" max="5379" width="17.28515625" style="98" customWidth="1"/>
    <col min="5380" max="5380" width="19.28515625" style="98" customWidth="1"/>
    <col min="5381" max="5381" width="15.28515625" style="98" customWidth="1"/>
    <col min="5382" max="5382" width="18" style="98" customWidth="1"/>
    <col min="5383" max="5383" width="16" style="98" customWidth="1"/>
    <col min="5384" max="5384" width="13.42578125" style="98" bestFit="1" customWidth="1"/>
    <col min="5385" max="5385" width="66.140625" style="98" customWidth="1"/>
    <col min="5386" max="5632" width="9.140625" style="98"/>
    <col min="5633" max="5633" width="12.140625" style="98" customWidth="1"/>
    <col min="5634" max="5634" width="12.85546875" style="98" customWidth="1"/>
    <col min="5635" max="5635" width="17.28515625" style="98" customWidth="1"/>
    <col min="5636" max="5636" width="19.28515625" style="98" customWidth="1"/>
    <col min="5637" max="5637" width="15.28515625" style="98" customWidth="1"/>
    <col min="5638" max="5638" width="18" style="98" customWidth="1"/>
    <col min="5639" max="5639" width="16" style="98" customWidth="1"/>
    <col min="5640" max="5640" width="13.42578125" style="98" bestFit="1" customWidth="1"/>
    <col min="5641" max="5641" width="66.140625" style="98" customWidth="1"/>
    <col min="5642" max="5888" width="9.140625" style="98"/>
    <col min="5889" max="5889" width="12.140625" style="98" customWidth="1"/>
    <col min="5890" max="5890" width="12.85546875" style="98" customWidth="1"/>
    <col min="5891" max="5891" width="17.28515625" style="98" customWidth="1"/>
    <col min="5892" max="5892" width="19.28515625" style="98" customWidth="1"/>
    <col min="5893" max="5893" width="15.28515625" style="98" customWidth="1"/>
    <col min="5894" max="5894" width="18" style="98" customWidth="1"/>
    <col min="5895" max="5895" width="16" style="98" customWidth="1"/>
    <col min="5896" max="5896" width="13.42578125" style="98" bestFit="1" customWidth="1"/>
    <col min="5897" max="5897" width="66.140625" style="98" customWidth="1"/>
    <col min="5898" max="6144" width="9.140625" style="98"/>
    <col min="6145" max="6145" width="12.140625" style="98" customWidth="1"/>
    <col min="6146" max="6146" width="12.85546875" style="98" customWidth="1"/>
    <col min="6147" max="6147" width="17.28515625" style="98" customWidth="1"/>
    <col min="6148" max="6148" width="19.28515625" style="98" customWidth="1"/>
    <col min="6149" max="6149" width="15.28515625" style="98" customWidth="1"/>
    <col min="6150" max="6150" width="18" style="98" customWidth="1"/>
    <col min="6151" max="6151" width="16" style="98" customWidth="1"/>
    <col min="6152" max="6152" width="13.42578125" style="98" bestFit="1" customWidth="1"/>
    <col min="6153" max="6153" width="66.140625" style="98" customWidth="1"/>
    <col min="6154" max="6400" width="9.140625" style="98"/>
    <col min="6401" max="6401" width="12.140625" style="98" customWidth="1"/>
    <col min="6402" max="6402" width="12.85546875" style="98" customWidth="1"/>
    <col min="6403" max="6403" width="17.28515625" style="98" customWidth="1"/>
    <col min="6404" max="6404" width="19.28515625" style="98" customWidth="1"/>
    <col min="6405" max="6405" width="15.28515625" style="98" customWidth="1"/>
    <col min="6406" max="6406" width="18" style="98" customWidth="1"/>
    <col min="6407" max="6407" width="16" style="98" customWidth="1"/>
    <col min="6408" max="6408" width="13.42578125" style="98" bestFit="1" customWidth="1"/>
    <col min="6409" max="6409" width="66.140625" style="98" customWidth="1"/>
    <col min="6410" max="6656" width="9.140625" style="98"/>
    <col min="6657" max="6657" width="12.140625" style="98" customWidth="1"/>
    <col min="6658" max="6658" width="12.85546875" style="98" customWidth="1"/>
    <col min="6659" max="6659" width="17.28515625" style="98" customWidth="1"/>
    <col min="6660" max="6660" width="19.28515625" style="98" customWidth="1"/>
    <col min="6661" max="6661" width="15.28515625" style="98" customWidth="1"/>
    <col min="6662" max="6662" width="18" style="98" customWidth="1"/>
    <col min="6663" max="6663" width="16" style="98" customWidth="1"/>
    <col min="6664" max="6664" width="13.42578125" style="98" bestFit="1" customWidth="1"/>
    <col min="6665" max="6665" width="66.140625" style="98" customWidth="1"/>
    <col min="6666" max="6912" width="9.140625" style="98"/>
    <col min="6913" max="6913" width="12.140625" style="98" customWidth="1"/>
    <col min="6914" max="6914" width="12.85546875" style="98" customWidth="1"/>
    <col min="6915" max="6915" width="17.28515625" style="98" customWidth="1"/>
    <col min="6916" max="6916" width="19.28515625" style="98" customWidth="1"/>
    <col min="6917" max="6917" width="15.28515625" style="98" customWidth="1"/>
    <col min="6918" max="6918" width="18" style="98" customWidth="1"/>
    <col min="6919" max="6919" width="16" style="98" customWidth="1"/>
    <col min="6920" max="6920" width="13.42578125" style="98" bestFit="1" customWidth="1"/>
    <col min="6921" max="6921" width="66.140625" style="98" customWidth="1"/>
    <col min="6922" max="7168" width="9.140625" style="98"/>
    <col min="7169" max="7169" width="12.140625" style="98" customWidth="1"/>
    <col min="7170" max="7170" width="12.85546875" style="98" customWidth="1"/>
    <col min="7171" max="7171" width="17.28515625" style="98" customWidth="1"/>
    <col min="7172" max="7172" width="19.28515625" style="98" customWidth="1"/>
    <col min="7173" max="7173" width="15.28515625" style="98" customWidth="1"/>
    <col min="7174" max="7174" width="18" style="98" customWidth="1"/>
    <col min="7175" max="7175" width="16" style="98" customWidth="1"/>
    <col min="7176" max="7176" width="13.42578125" style="98" bestFit="1" customWidth="1"/>
    <col min="7177" max="7177" width="66.140625" style="98" customWidth="1"/>
    <col min="7178" max="7424" width="9.140625" style="98"/>
    <col min="7425" max="7425" width="12.140625" style="98" customWidth="1"/>
    <col min="7426" max="7426" width="12.85546875" style="98" customWidth="1"/>
    <col min="7427" max="7427" width="17.28515625" style="98" customWidth="1"/>
    <col min="7428" max="7428" width="19.28515625" style="98" customWidth="1"/>
    <col min="7429" max="7429" width="15.28515625" style="98" customWidth="1"/>
    <col min="7430" max="7430" width="18" style="98" customWidth="1"/>
    <col min="7431" max="7431" width="16" style="98" customWidth="1"/>
    <col min="7432" max="7432" width="13.42578125" style="98" bestFit="1" customWidth="1"/>
    <col min="7433" max="7433" width="66.140625" style="98" customWidth="1"/>
    <col min="7434" max="7680" width="9.140625" style="98"/>
    <col min="7681" max="7681" width="12.140625" style="98" customWidth="1"/>
    <col min="7682" max="7682" width="12.85546875" style="98" customWidth="1"/>
    <col min="7683" max="7683" width="17.28515625" style="98" customWidth="1"/>
    <col min="7684" max="7684" width="19.28515625" style="98" customWidth="1"/>
    <col min="7685" max="7685" width="15.28515625" style="98" customWidth="1"/>
    <col min="7686" max="7686" width="18" style="98" customWidth="1"/>
    <col min="7687" max="7687" width="16" style="98" customWidth="1"/>
    <col min="7688" max="7688" width="13.42578125" style="98" bestFit="1" customWidth="1"/>
    <col min="7689" max="7689" width="66.140625" style="98" customWidth="1"/>
    <col min="7690" max="7936" width="9.140625" style="98"/>
    <col min="7937" max="7937" width="12.140625" style="98" customWidth="1"/>
    <col min="7938" max="7938" width="12.85546875" style="98" customWidth="1"/>
    <col min="7939" max="7939" width="17.28515625" style="98" customWidth="1"/>
    <col min="7940" max="7940" width="19.28515625" style="98" customWidth="1"/>
    <col min="7941" max="7941" width="15.28515625" style="98" customWidth="1"/>
    <col min="7942" max="7942" width="18" style="98" customWidth="1"/>
    <col min="7943" max="7943" width="16" style="98" customWidth="1"/>
    <col min="7944" max="7944" width="13.42578125" style="98" bestFit="1" customWidth="1"/>
    <col min="7945" max="7945" width="66.140625" style="98" customWidth="1"/>
    <col min="7946" max="8192" width="9.140625" style="98"/>
    <col min="8193" max="8193" width="12.140625" style="98" customWidth="1"/>
    <col min="8194" max="8194" width="12.85546875" style="98" customWidth="1"/>
    <col min="8195" max="8195" width="17.28515625" style="98" customWidth="1"/>
    <col min="8196" max="8196" width="19.28515625" style="98" customWidth="1"/>
    <col min="8197" max="8197" width="15.28515625" style="98" customWidth="1"/>
    <col min="8198" max="8198" width="18" style="98" customWidth="1"/>
    <col min="8199" max="8199" width="16" style="98" customWidth="1"/>
    <col min="8200" max="8200" width="13.42578125" style="98" bestFit="1" customWidth="1"/>
    <col min="8201" max="8201" width="66.140625" style="98" customWidth="1"/>
    <col min="8202" max="8448" width="9.140625" style="98"/>
    <col min="8449" max="8449" width="12.140625" style="98" customWidth="1"/>
    <col min="8450" max="8450" width="12.85546875" style="98" customWidth="1"/>
    <col min="8451" max="8451" width="17.28515625" style="98" customWidth="1"/>
    <col min="8452" max="8452" width="19.28515625" style="98" customWidth="1"/>
    <col min="8453" max="8453" width="15.28515625" style="98" customWidth="1"/>
    <col min="8454" max="8454" width="18" style="98" customWidth="1"/>
    <col min="8455" max="8455" width="16" style="98" customWidth="1"/>
    <col min="8456" max="8456" width="13.42578125" style="98" bestFit="1" customWidth="1"/>
    <col min="8457" max="8457" width="66.140625" style="98" customWidth="1"/>
    <col min="8458" max="8704" width="9.140625" style="98"/>
    <col min="8705" max="8705" width="12.140625" style="98" customWidth="1"/>
    <col min="8706" max="8706" width="12.85546875" style="98" customWidth="1"/>
    <col min="8707" max="8707" width="17.28515625" style="98" customWidth="1"/>
    <col min="8708" max="8708" width="19.28515625" style="98" customWidth="1"/>
    <col min="8709" max="8709" width="15.28515625" style="98" customWidth="1"/>
    <col min="8710" max="8710" width="18" style="98" customWidth="1"/>
    <col min="8711" max="8711" width="16" style="98" customWidth="1"/>
    <col min="8712" max="8712" width="13.42578125" style="98" bestFit="1" customWidth="1"/>
    <col min="8713" max="8713" width="66.140625" style="98" customWidth="1"/>
    <col min="8714" max="8960" width="9.140625" style="98"/>
    <col min="8961" max="8961" width="12.140625" style="98" customWidth="1"/>
    <col min="8962" max="8962" width="12.85546875" style="98" customWidth="1"/>
    <col min="8963" max="8963" width="17.28515625" style="98" customWidth="1"/>
    <col min="8964" max="8964" width="19.28515625" style="98" customWidth="1"/>
    <col min="8965" max="8965" width="15.28515625" style="98" customWidth="1"/>
    <col min="8966" max="8966" width="18" style="98" customWidth="1"/>
    <col min="8967" max="8967" width="16" style="98" customWidth="1"/>
    <col min="8968" max="8968" width="13.42578125" style="98" bestFit="1" customWidth="1"/>
    <col min="8969" max="8969" width="66.140625" style="98" customWidth="1"/>
    <col min="8970" max="9216" width="9.140625" style="98"/>
    <col min="9217" max="9217" width="12.140625" style="98" customWidth="1"/>
    <col min="9218" max="9218" width="12.85546875" style="98" customWidth="1"/>
    <col min="9219" max="9219" width="17.28515625" style="98" customWidth="1"/>
    <col min="9220" max="9220" width="19.28515625" style="98" customWidth="1"/>
    <col min="9221" max="9221" width="15.28515625" style="98" customWidth="1"/>
    <col min="9222" max="9222" width="18" style="98" customWidth="1"/>
    <col min="9223" max="9223" width="16" style="98" customWidth="1"/>
    <col min="9224" max="9224" width="13.42578125" style="98" bestFit="1" customWidth="1"/>
    <col min="9225" max="9225" width="66.140625" style="98" customWidth="1"/>
    <col min="9226" max="9472" width="9.140625" style="98"/>
    <col min="9473" max="9473" width="12.140625" style="98" customWidth="1"/>
    <col min="9474" max="9474" width="12.85546875" style="98" customWidth="1"/>
    <col min="9475" max="9475" width="17.28515625" style="98" customWidth="1"/>
    <col min="9476" max="9476" width="19.28515625" style="98" customWidth="1"/>
    <col min="9477" max="9477" width="15.28515625" style="98" customWidth="1"/>
    <col min="9478" max="9478" width="18" style="98" customWidth="1"/>
    <col min="9479" max="9479" width="16" style="98" customWidth="1"/>
    <col min="9480" max="9480" width="13.42578125" style="98" bestFit="1" customWidth="1"/>
    <col min="9481" max="9481" width="66.140625" style="98" customWidth="1"/>
    <col min="9482" max="9728" width="9.140625" style="98"/>
    <col min="9729" max="9729" width="12.140625" style="98" customWidth="1"/>
    <col min="9730" max="9730" width="12.85546875" style="98" customWidth="1"/>
    <col min="9731" max="9731" width="17.28515625" style="98" customWidth="1"/>
    <col min="9732" max="9732" width="19.28515625" style="98" customWidth="1"/>
    <col min="9733" max="9733" width="15.28515625" style="98" customWidth="1"/>
    <col min="9734" max="9734" width="18" style="98" customWidth="1"/>
    <col min="9735" max="9735" width="16" style="98" customWidth="1"/>
    <col min="9736" max="9736" width="13.42578125" style="98" bestFit="1" customWidth="1"/>
    <col min="9737" max="9737" width="66.140625" style="98" customWidth="1"/>
    <col min="9738" max="9984" width="9.140625" style="98"/>
    <col min="9985" max="9985" width="12.140625" style="98" customWidth="1"/>
    <col min="9986" max="9986" width="12.85546875" style="98" customWidth="1"/>
    <col min="9987" max="9987" width="17.28515625" style="98" customWidth="1"/>
    <col min="9988" max="9988" width="19.28515625" style="98" customWidth="1"/>
    <col min="9989" max="9989" width="15.28515625" style="98" customWidth="1"/>
    <col min="9990" max="9990" width="18" style="98" customWidth="1"/>
    <col min="9991" max="9991" width="16" style="98" customWidth="1"/>
    <col min="9992" max="9992" width="13.42578125" style="98" bestFit="1" customWidth="1"/>
    <col min="9993" max="9993" width="66.140625" style="98" customWidth="1"/>
    <col min="9994" max="10240" width="9.140625" style="98"/>
    <col min="10241" max="10241" width="12.140625" style="98" customWidth="1"/>
    <col min="10242" max="10242" width="12.85546875" style="98" customWidth="1"/>
    <col min="10243" max="10243" width="17.28515625" style="98" customWidth="1"/>
    <col min="10244" max="10244" width="19.28515625" style="98" customWidth="1"/>
    <col min="10245" max="10245" width="15.28515625" style="98" customWidth="1"/>
    <col min="10246" max="10246" width="18" style="98" customWidth="1"/>
    <col min="10247" max="10247" width="16" style="98" customWidth="1"/>
    <col min="10248" max="10248" width="13.42578125" style="98" bestFit="1" customWidth="1"/>
    <col min="10249" max="10249" width="66.140625" style="98" customWidth="1"/>
    <col min="10250" max="10496" width="9.140625" style="98"/>
    <col min="10497" max="10497" width="12.140625" style="98" customWidth="1"/>
    <col min="10498" max="10498" width="12.85546875" style="98" customWidth="1"/>
    <col min="10499" max="10499" width="17.28515625" style="98" customWidth="1"/>
    <col min="10500" max="10500" width="19.28515625" style="98" customWidth="1"/>
    <col min="10501" max="10501" width="15.28515625" style="98" customWidth="1"/>
    <col min="10502" max="10502" width="18" style="98" customWidth="1"/>
    <col min="10503" max="10503" width="16" style="98" customWidth="1"/>
    <col min="10504" max="10504" width="13.42578125" style="98" bestFit="1" customWidth="1"/>
    <col min="10505" max="10505" width="66.140625" style="98" customWidth="1"/>
    <col min="10506" max="10752" width="9.140625" style="98"/>
    <col min="10753" max="10753" width="12.140625" style="98" customWidth="1"/>
    <col min="10754" max="10754" width="12.85546875" style="98" customWidth="1"/>
    <col min="10755" max="10755" width="17.28515625" style="98" customWidth="1"/>
    <col min="10756" max="10756" width="19.28515625" style="98" customWidth="1"/>
    <col min="10757" max="10757" width="15.28515625" style="98" customWidth="1"/>
    <col min="10758" max="10758" width="18" style="98" customWidth="1"/>
    <col min="10759" max="10759" width="16" style="98" customWidth="1"/>
    <col min="10760" max="10760" width="13.42578125" style="98" bestFit="1" customWidth="1"/>
    <col min="10761" max="10761" width="66.140625" style="98" customWidth="1"/>
    <col min="10762" max="11008" width="9.140625" style="98"/>
    <col min="11009" max="11009" width="12.140625" style="98" customWidth="1"/>
    <col min="11010" max="11010" width="12.85546875" style="98" customWidth="1"/>
    <col min="11011" max="11011" width="17.28515625" style="98" customWidth="1"/>
    <col min="11012" max="11012" width="19.28515625" style="98" customWidth="1"/>
    <col min="11013" max="11013" width="15.28515625" style="98" customWidth="1"/>
    <col min="11014" max="11014" width="18" style="98" customWidth="1"/>
    <col min="11015" max="11015" width="16" style="98" customWidth="1"/>
    <col min="11016" max="11016" width="13.42578125" style="98" bestFit="1" customWidth="1"/>
    <col min="11017" max="11017" width="66.140625" style="98" customWidth="1"/>
    <col min="11018" max="11264" width="9.140625" style="98"/>
    <col min="11265" max="11265" width="12.140625" style="98" customWidth="1"/>
    <col min="11266" max="11266" width="12.85546875" style="98" customWidth="1"/>
    <col min="11267" max="11267" width="17.28515625" style="98" customWidth="1"/>
    <col min="11268" max="11268" width="19.28515625" style="98" customWidth="1"/>
    <col min="11269" max="11269" width="15.28515625" style="98" customWidth="1"/>
    <col min="11270" max="11270" width="18" style="98" customWidth="1"/>
    <col min="11271" max="11271" width="16" style="98" customWidth="1"/>
    <col min="11272" max="11272" width="13.42578125" style="98" bestFit="1" customWidth="1"/>
    <col min="11273" max="11273" width="66.140625" style="98" customWidth="1"/>
    <col min="11274" max="11520" width="9.140625" style="98"/>
    <col min="11521" max="11521" width="12.140625" style="98" customWidth="1"/>
    <col min="11522" max="11522" width="12.85546875" style="98" customWidth="1"/>
    <col min="11523" max="11523" width="17.28515625" style="98" customWidth="1"/>
    <col min="11524" max="11524" width="19.28515625" style="98" customWidth="1"/>
    <col min="11525" max="11525" width="15.28515625" style="98" customWidth="1"/>
    <col min="11526" max="11526" width="18" style="98" customWidth="1"/>
    <col min="11527" max="11527" width="16" style="98" customWidth="1"/>
    <col min="11528" max="11528" width="13.42578125" style="98" bestFit="1" customWidth="1"/>
    <col min="11529" max="11529" width="66.140625" style="98" customWidth="1"/>
    <col min="11530" max="11776" width="9.140625" style="98"/>
    <col min="11777" max="11777" width="12.140625" style="98" customWidth="1"/>
    <col min="11778" max="11778" width="12.85546875" style="98" customWidth="1"/>
    <col min="11779" max="11779" width="17.28515625" style="98" customWidth="1"/>
    <col min="11780" max="11780" width="19.28515625" style="98" customWidth="1"/>
    <col min="11781" max="11781" width="15.28515625" style="98" customWidth="1"/>
    <col min="11782" max="11782" width="18" style="98" customWidth="1"/>
    <col min="11783" max="11783" width="16" style="98" customWidth="1"/>
    <col min="11784" max="11784" width="13.42578125" style="98" bestFit="1" customWidth="1"/>
    <col min="11785" max="11785" width="66.140625" style="98" customWidth="1"/>
    <col min="11786" max="12032" width="9.140625" style="98"/>
    <col min="12033" max="12033" width="12.140625" style="98" customWidth="1"/>
    <col min="12034" max="12034" width="12.85546875" style="98" customWidth="1"/>
    <col min="12035" max="12035" width="17.28515625" style="98" customWidth="1"/>
    <col min="12036" max="12036" width="19.28515625" style="98" customWidth="1"/>
    <col min="12037" max="12037" width="15.28515625" style="98" customWidth="1"/>
    <col min="12038" max="12038" width="18" style="98" customWidth="1"/>
    <col min="12039" max="12039" width="16" style="98" customWidth="1"/>
    <col min="12040" max="12040" width="13.42578125" style="98" bestFit="1" customWidth="1"/>
    <col min="12041" max="12041" width="66.140625" style="98" customWidth="1"/>
    <col min="12042" max="12288" width="9.140625" style="98"/>
    <col min="12289" max="12289" width="12.140625" style="98" customWidth="1"/>
    <col min="12290" max="12290" width="12.85546875" style="98" customWidth="1"/>
    <col min="12291" max="12291" width="17.28515625" style="98" customWidth="1"/>
    <col min="12292" max="12292" width="19.28515625" style="98" customWidth="1"/>
    <col min="12293" max="12293" width="15.28515625" style="98" customWidth="1"/>
    <col min="12294" max="12294" width="18" style="98" customWidth="1"/>
    <col min="12295" max="12295" width="16" style="98" customWidth="1"/>
    <col min="12296" max="12296" width="13.42578125" style="98" bestFit="1" customWidth="1"/>
    <col min="12297" max="12297" width="66.140625" style="98" customWidth="1"/>
    <col min="12298" max="12544" width="9.140625" style="98"/>
    <col min="12545" max="12545" width="12.140625" style="98" customWidth="1"/>
    <col min="12546" max="12546" width="12.85546875" style="98" customWidth="1"/>
    <col min="12547" max="12547" width="17.28515625" style="98" customWidth="1"/>
    <col min="12548" max="12548" width="19.28515625" style="98" customWidth="1"/>
    <col min="12549" max="12549" width="15.28515625" style="98" customWidth="1"/>
    <col min="12550" max="12550" width="18" style="98" customWidth="1"/>
    <col min="12551" max="12551" width="16" style="98" customWidth="1"/>
    <col min="12552" max="12552" width="13.42578125" style="98" bestFit="1" customWidth="1"/>
    <col min="12553" max="12553" width="66.140625" style="98" customWidth="1"/>
    <col min="12554" max="12800" width="9.140625" style="98"/>
    <col min="12801" max="12801" width="12.140625" style="98" customWidth="1"/>
    <col min="12802" max="12802" width="12.85546875" style="98" customWidth="1"/>
    <col min="12803" max="12803" width="17.28515625" style="98" customWidth="1"/>
    <col min="12804" max="12804" width="19.28515625" style="98" customWidth="1"/>
    <col min="12805" max="12805" width="15.28515625" style="98" customWidth="1"/>
    <col min="12806" max="12806" width="18" style="98" customWidth="1"/>
    <col min="12807" max="12807" width="16" style="98" customWidth="1"/>
    <col min="12808" max="12808" width="13.42578125" style="98" bestFit="1" customWidth="1"/>
    <col min="12809" max="12809" width="66.140625" style="98" customWidth="1"/>
    <col min="12810" max="13056" width="9.140625" style="98"/>
    <col min="13057" max="13057" width="12.140625" style="98" customWidth="1"/>
    <col min="13058" max="13058" width="12.85546875" style="98" customWidth="1"/>
    <col min="13059" max="13059" width="17.28515625" style="98" customWidth="1"/>
    <col min="13060" max="13060" width="19.28515625" style="98" customWidth="1"/>
    <col min="13061" max="13061" width="15.28515625" style="98" customWidth="1"/>
    <col min="13062" max="13062" width="18" style="98" customWidth="1"/>
    <col min="13063" max="13063" width="16" style="98" customWidth="1"/>
    <col min="13064" max="13064" width="13.42578125" style="98" bestFit="1" customWidth="1"/>
    <col min="13065" max="13065" width="66.140625" style="98" customWidth="1"/>
    <col min="13066" max="13312" width="9.140625" style="98"/>
    <col min="13313" max="13313" width="12.140625" style="98" customWidth="1"/>
    <col min="13314" max="13314" width="12.85546875" style="98" customWidth="1"/>
    <col min="13315" max="13315" width="17.28515625" style="98" customWidth="1"/>
    <col min="13316" max="13316" width="19.28515625" style="98" customWidth="1"/>
    <col min="13317" max="13317" width="15.28515625" style="98" customWidth="1"/>
    <col min="13318" max="13318" width="18" style="98" customWidth="1"/>
    <col min="13319" max="13319" width="16" style="98" customWidth="1"/>
    <col min="13320" max="13320" width="13.42578125" style="98" bestFit="1" customWidth="1"/>
    <col min="13321" max="13321" width="66.140625" style="98" customWidth="1"/>
    <col min="13322" max="13568" width="9.140625" style="98"/>
    <col min="13569" max="13569" width="12.140625" style="98" customWidth="1"/>
    <col min="13570" max="13570" width="12.85546875" style="98" customWidth="1"/>
    <col min="13571" max="13571" width="17.28515625" style="98" customWidth="1"/>
    <col min="13572" max="13572" width="19.28515625" style="98" customWidth="1"/>
    <col min="13573" max="13573" width="15.28515625" style="98" customWidth="1"/>
    <col min="13574" max="13574" width="18" style="98" customWidth="1"/>
    <col min="13575" max="13575" width="16" style="98" customWidth="1"/>
    <col min="13576" max="13576" width="13.42578125" style="98" bestFit="1" customWidth="1"/>
    <col min="13577" max="13577" width="66.140625" style="98" customWidth="1"/>
    <col min="13578" max="13824" width="9.140625" style="98"/>
    <col min="13825" max="13825" width="12.140625" style="98" customWidth="1"/>
    <col min="13826" max="13826" width="12.85546875" style="98" customWidth="1"/>
    <col min="13827" max="13827" width="17.28515625" style="98" customWidth="1"/>
    <col min="13828" max="13828" width="19.28515625" style="98" customWidth="1"/>
    <col min="13829" max="13829" width="15.28515625" style="98" customWidth="1"/>
    <col min="13830" max="13830" width="18" style="98" customWidth="1"/>
    <col min="13831" max="13831" width="16" style="98" customWidth="1"/>
    <col min="13832" max="13832" width="13.42578125" style="98" bestFit="1" customWidth="1"/>
    <col min="13833" max="13833" width="66.140625" style="98" customWidth="1"/>
    <col min="13834" max="14080" width="9.140625" style="98"/>
    <col min="14081" max="14081" width="12.140625" style="98" customWidth="1"/>
    <col min="14082" max="14082" width="12.85546875" style="98" customWidth="1"/>
    <col min="14083" max="14083" width="17.28515625" style="98" customWidth="1"/>
    <col min="14084" max="14084" width="19.28515625" style="98" customWidth="1"/>
    <col min="14085" max="14085" width="15.28515625" style="98" customWidth="1"/>
    <col min="14086" max="14086" width="18" style="98" customWidth="1"/>
    <col min="14087" max="14087" width="16" style="98" customWidth="1"/>
    <col min="14088" max="14088" width="13.42578125" style="98" bestFit="1" customWidth="1"/>
    <col min="14089" max="14089" width="66.140625" style="98" customWidth="1"/>
    <col min="14090" max="14336" width="9.140625" style="98"/>
    <col min="14337" max="14337" width="12.140625" style="98" customWidth="1"/>
    <col min="14338" max="14338" width="12.85546875" style="98" customWidth="1"/>
    <col min="14339" max="14339" width="17.28515625" style="98" customWidth="1"/>
    <col min="14340" max="14340" width="19.28515625" style="98" customWidth="1"/>
    <col min="14341" max="14341" width="15.28515625" style="98" customWidth="1"/>
    <col min="14342" max="14342" width="18" style="98" customWidth="1"/>
    <col min="14343" max="14343" width="16" style="98" customWidth="1"/>
    <col min="14344" max="14344" width="13.42578125" style="98" bestFit="1" customWidth="1"/>
    <col min="14345" max="14345" width="66.140625" style="98" customWidth="1"/>
    <col min="14346" max="14592" width="9.140625" style="98"/>
    <col min="14593" max="14593" width="12.140625" style="98" customWidth="1"/>
    <col min="14594" max="14594" width="12.85546875" style="98" customWidth="1"/>
    <col min="14595" max="14595" width="17.28515625" style="98" customWidth="1"/>
    <col min="14596" max="14596" width="19.28515625" style="98" customWidth="1"/>
    <col min="14597" max="14597" width="15.28515625" style="98" customWidth="1"/>
    <col min="14598" max="14598" width="18" style="98" customWidth="1"/>
    <col min="14599" max="14599" width="16" style="98" customWidth="1"/>
    <col min="14600" max="14600" width="13.42578125" style="98" bestFit="1" customWidth="1"/>
    <col min="14601" max="14601" width="66.140625" style="98" customWidth="1"/>
    <col min="14602" max="14848" width="9.140625" style="98"/>
    <col min="14849" max="14849" width="12.140625" style="98" customWidth="1"/>
    <col min="14850" max="14850" width="12.85546875" style="98" customWidth="1"/>
    <col min="14851" max="14851" width="17.28515625" style="98" customWidth="1"/>
    <col min="14852" max="14852" width="19.28515625" style="98" customWidth="1"/>
    <col min="14853" max="14853" width="15.28515625" style="98" customWidth="1"/>
    <col min="14854" max="14854" width="18" style="98" customWidth="1"/>
    <col min="14855" max="14855" width="16" style="98" customWidth="1"/>
    <col min="14856" max="14856" width="13.42578125" style="98" bestFit="1" customWidth="1"/>
    <col min="14857" max="14857" width="66.140625" style="98" customWidth="1"/>
    <col min="14858" max="15104" width="9.140625" style="98"/>
    <col min="15105" max="15105" width="12.140625" style="98" customWidth="1"/>
    <col min="15106" max="15106" width="12.85546875" style="98" customWidth="1"/>
    <col min="15107" max="15107" width="17.28515625" style="98" customWidth="1"/>
    <col min="15108" max="15108" width="19.28515625" style="98" customWidth="1"/>
    <col min="15109" max="15109" width="15.28515625" style="98" customWidth="1"/>
    <col min="15110" max="15110" width="18" style="98" customWidth="1"/>
    <col min="15111" max="15111" width="16" style="98" customWidth="1"/>
    <col min="15112" max="15112" width="13.42578125" style="98" bestFit="1" customWidth="1"/>
    <col min="15113" max="15113" width="66.140625" style="98" customWidth="1"/>
    <col min="15114" max="15360" width="9.140625" style="98"/>
    <col min="15361" max="15361" width="12.140625" style="98" customWidth="1"/>
    <col min="15362" max="15362" width="12.85546875" style="98" customWidth="1"/>
    <col min="15363" max="15363" width="17.28515625" style="98" customWidth="1"/>
    <col min="15364" max="15364" width="19.28515625" style="98" customWidth="1"/>
    <col min="15365" max="15365" width="15.28515625" style="98" customWidth="1"/>
    <col min="15366" max="15366" width="18" style="98" customWidth="1"/>
    <col min="15367" max="15367" width="16" style="98" customWidth="1"/>
    <col min="15368" max="15368" width="13.42578125" style="98" bestFit="1" customWidth="1"/>
    <col min="15369" max="15369" width="66.140625" style="98" customWidth="1"/>
    <col min="15370" max="15616" width="9.140625" style="98"/>
    <col min="15617" max="15617" width="12.140625" style="98" customWidth="1"/>
    <col min="15618" max="15618" width="12.85546875" style="98" customWidth="1"/>
    <col min="15619" max="15619" width="17.28515625" style="98" customWidth="1"/>
    <col min="15620" max="15620" width="19.28515625" style="98" customWidth="1"/>
    <col min="15621" max="15621" width="15.28515625" style="98" customWidth="1"/>
    <col min="15622" max="15622" width="18" style="98" customWidth="1"/>
    <col min="15623" max="15623" width="16" style="98" customWidth="1"/>
    <col min="15624" max="15624" width="13.42578125" style="98" bestFit="1" customWidth="1"/>
    <col min="15625" max="15625" width="66.140625" style="98" customWidth="1"/>
    <col min="15626" max="15872" width="9.140625" style="98"/>
    <col min="15873" max="15873" width="12.140625" style="98" customWidth="1"/>
    <col min="15874" max="15874" width="12.85546875" style="98" customWidth="1"/>
    <col min="15875" max="15875" width="17.28515625" style="98" customWidth="1"/>
    <col min="15876" max="15876" width="19.28515625" style="98" customWidth="1"/>
    <col min="15877" max="15877" width="15.28515625" style="98" customWidth="1"/>
    <col min="15878" max="15878" width="18" style="98" customWidth="1"/>
    <col min="15879" max="15879" width="16" style="98" customWidth="1"/>
    <col min="15880" max="15880" width="13.42578125" style="98" bestFit="1" customWidth="1"/>
    <col min="15881" max="15881" width="66.140625" style="98" customWidth="1"/>
    <col min="15882" max="16128" width="9.140625" style="98"/>
    <col min="16129" max="16129" width="12.140625" style="98" customWidth="1"/>
    <col min="16130" max="16130" width="12.85546875" style="98" customWidth="1"/>
    <col min="16131" max="16131" width="17.28515625" style="98" customWidth="1"/>
    <col min="16132" max="16132" width="19.28515625" style="98" customWidth="1"/>
    <col min="16133" max="16133" width="15.28515625" style="98" customWidth="1"/>
    <col min="16134" max="16134" width="18" style="98" customWidth="1"/>
    <col min="16135" max="16135" width="16" style="98" customWidth="1"/>
    <col min="16136" max="16136" width="13.42578125" style="98" bestFit="1" customWidth="1"/>
    <col min="16137" max="16137" width="66.140625" style="98" customWidth="1"/>
    <col min="16138" max="16384" width="9.140625" style="98"/>
  </cols>
  <sheetData>
    <row r="1" spans="1:14" customFormat="1" x14ac:dyDescent="0.25"/>
    <row r="2" spans="1:14" customFormat="1" x14ac:dyDescent="0.25"/>
    <row r="3" spans="1:14" customFormat="1" x14ac:dyDescent="0.25"/>
    <row r="4" spans="1:14" customFormat="1" x14ac:dyDescent="0.25"/>
    <row r="5" spans="1:14" customFormat="1" x14ac:dyDescent="0.25"/>
    <row r="6" spans="1:14" customFormat="1" x14ac:dyDescent="0.25"/>
    <row r="7" spans="1:14" customFormat="1" x14ac:dyDescent="0.25"/>
    <row r="8" spans="1:14" customFormat="1" x14ac:dyDescent="0.25"/>
    <row r="9" spans="1:14" customFormat="1" x14ac:dyDescent="0.25"/>
    <row r="10" spans="1:14" customFormat="1" x14ac:dyDescent="0.25"/>
    <row r="11" spans="1:14" customFormat="1" x14ac:dyDescent="0.25"/>
    <row r="12" spans="1:14" customFormat="1" x14ac:dyDescent="0.25"/>
    <row r="13" spans="1:14" customFormat="1" x14ac:dyDescent="0.25"/>
    <row r="14" spans="1:14" customFormat="1" x14ac:dyDescent="0.25"/>
    <row r="15" spans="1:14" s="97" customFormat="1" x14ac:dyDescent="0.25">
      <c r="A15"/>
      <c r="B15" s="96" t="s">
        <v>844</v>
      </c>
      <c r="C15" s="96" t="s">
        <v>625</v>
      </c>
      <c r="D15" s="96" t="s">
        <v>905</v>
      </c>
      <c r="E15" s="96" t="s">
        <v>629</v>
      </c>
      <c r="F15" s="96" t="s">
        <v>842</v>
      </c>
      <c r="G15" s="96" t="s">
        <v>843</v>
      </c>
      <c r="H15" s="96" t="s">
        <v>629</v>
      </c>
      <c r="I15" s="96" t="s">
        <v>626</v>
      </c>
      <c r="J15" s="96" t="s">
        <v>627</v>
      </c>
      <c r="K15" s="96" t="s">
        <v>628</v>
      </c>
    </row>
    <row r="16" spans="1:14" x14ac:dyDescent="0.25">
      <c r="B16" s="98" t="s">
        <v>845</v>
      </c>
      <c r="C16" s="98" t="s">
        <v>618</v>
      </c>
      <c r="D16" s="98" t="s">
        <v>631</v>
      </c>
      <c r="E16" s="98" t="s">
        <v>265</v>
      </c>
      <c r="F16" s="98" t="s">
        <v>632</v>
      </c>
      <c r="G16" s="98">
        <v>1</v>
      </c>
      <c r="H16" s="98" t="str">
        <f t="shared" ref="H16:H21" si="0">HYPERLINK("http://rms/perspective.req?projectId=233&amp;docId=959495","BSS-TC-23223 TC_OBI_017_CR109_PM1.4_Exempted_CH_detail_Report_Filters_multi selection Validation")</f>
        <v>BSS-TC-23223 TC_OBI_017_CR109_PM1.4_Exempted_CH_detail_Report_Filters_multi selection Validation</v>
      </c>
      <c r="I16" s="98" t="s">
        <v>630</v>
      </c>
      <c r="J16" s="98" t="s">
        <v>266</v>
      </c>
      <c r="K16" s="98" t="s">
        <v>631</v>
      </c>
      <c r="L16" s="3"/>
      <c r="M16" s="3"/>
      <c r="N16" s="100"/>
    </row>
    <row r="17" spans="2:14" x14ac:dyDescent="0.25">
      <c r="B17" s="98" t="s">
        <v>845</v>
      </c>
      <c r="C17" s="98" t="s">
        <v>618</v>
      </c>
      <c r="D17" s="98" t="s">
        <v>631</v>
      </c>
      <c r="E17" s="98" t="s">
        <v>267</v>
      </c>
      <c r="F17" s="98" t="s">
        <v>632</v>
      </c>
      <c r="G17" s="98">
        <v>2</v>
      </c>
      <c r="H17" s="98" t="str">
        <f t="shared" si="0"/>
        <v>BSS-TC-23223 TC_OBI_017_CR109_PM1.4_Exempted_CH_detail_Report_Filters_multi selection Validation</v>
      </c>
      <c r="I17" s="98" t="s">
        <v>630</v>
      </c>
      <c r="J17" s="98" t="s">
        <v>27</v>
      </c>
      <c r="K17" s="98" t="s">
        <v>631</v>
      </c>
      <c r="L17" s="3"/>
      <c r="M17" s="3"/>
      <c r="N17" s="100"/>
    </row>
    <row r="18" spans="2:14" x14ac:dyDescent="0.25">
      <c r="B18" s="98" t="s">
        <v>845</v>
      </c>
      <c r="C18" s="98" t="s">
        <v>618</v>
      </c>
      <c r="D18" s="98" t="s">
        <v>631</v>
      </c>
      <c r="E18" s="98" t="s">
        <v>268</v>
      </c>
      <c r="F18" s="98" t="s">
        <v>632</v>
      </c>
      <c r="G18" s="98">
        <v>3</v>
      </c>
      <c r="H18" s="98" t="str">
        <f t="shared" si="0"/>
        <v>BSS-TC-23223 TC_OBI_017_CR109_PM1.4_Exempted_CH_detail_Report_Filters_multi selection Validation</v>
      </c>
      <c r="I18" s="98" t="s">
        <v>630</v>
      </c>
      <c r="J18" s="98" t="s">
        <v>270</v>
      </c>
      <c r="K18" s="98" t="s">
        <v>269</v>
      </c>
      <c r="L18" s="3"/>
      <c r="M18" s="3"/>
      <c r="N18" s="100"/>
    </row>
    <row r="19" spans="2:14" x14ac:dyDescent="0.25">
      <c r="B19" s="98" t="s">
        <v>845</v>
      </c>
      <c r="C19" s="98" t="s">
        <v>618</v>
      </c>
      <c r="D19" s="98" t="s">
        <v>631</v>
      </c>
      <c r="E19" s="98" t="s">
        <v>271</v>
      </c>
      <c r="F19" s="98" t="s">
        <v>632</v>
      </c>
      <c r="G19" s="98">
        <v>4</v>
      </c>
      <c r="H19" s="98" t="str">
        <f t="shared" si="0"/>
        <v>BSS-TC-23223 TC_OBI_017_CR109_PM1.4_Exempted_CH_detail_Report_Filters_multi selection Validation</v>
      </c>
      <c r="I19" s="98" t="s">
        <v>630</v>
      </c>
      <c r="J19" s="98" t="s">
        <v>53</v>
      </c>
      <c r="K19" s="98" t="s">
        <v>272</v>
      </c>
      <c r="L19" s="3"/>
      <c r="M19" s="3"/>
      <c r="N19" s="100"/>
    </row>
    <row r="20" spans="2:14" x14ac:dyDescent="0.25">
      <c r="B20" s="98" t="s">
        <v>845</v>
      </c>
      <c r="C20" s="98" t="s">
        <v>618</v>
      </c>
      <c r="D20" s="98" t="s">
        <v>631</v>
      </c>
      <c r="E20" s="98" t="s">
        <v>273</v>
      </c>
      <c r="F20" s="98" t="s">
        <v>632</v>
      </c>
      <c r="G20" s="98">
        <v>5</v>
      </c>
      <c r="H20" s="98" t="str">
        <f t="shared" si="0"/>
        <v>BSS-TC-23223 TC_OBI_017_CR109_PM1.4_Exempted_CH_detail_Report_Filters_multi selection Validation</v>
      </c>
      <c r="I20" s="98" t="s">
        <v>630</v>
      </c>
      <c r="J20" s="98" t="s">
        <v>633</v>
      </c>
      <c r="K20" s="98" t="s">
        <v>274</v>
      </c>
      <c r="L20" s="3"/>
      <c r="M20" s="3"/>
      <c r="N20" s="100"/>
    </row>
    <row r="21" spans="2:14" x14ac:dyDescent="0.25">
      <c r="B21" s="98" t="s">
        <v>845</v>
      </c>
      <c r="C21" s="98" t="s">
        <v>618</v>
      </c>
      <c r="D21" s="98" t="s">
        <v>631</v>
      </c>
      <c r="E21" s="98" t="s">
        <v>276</v>
      </c>
      <c r="F21" s="98" t="s">
        <v>632</v>
      </c>
      <c r="G21" s="98">
        <v>6</v>
      </c>
      <c r="H21" s="98" t="str">
        <f t="shared" si="0"/>
        <v>BSS-TC-23223 TC_OBI_017_CR109_PM1.4_Exempted_CH_detail_Report_Filters_multi selection Validation</v>
      </c>
      <c r="I21" s="98" t="s">
        <v>630</v>
      </c>
      <c r="J21" s="98" t="s">
        <v>634</v>
      </c>
      <c r="K21" s="98" t="s">
        <v>277</v>
      </c>
      <c r="L21" s="3"/>
      <c r="M21" s="3"/>
      <c r="N21" s="100"/>
    </row>
    <row r="22" spans="2:14" x14ac:dyDescent="0.25">
      <c r="B22" s="98" t="s">
        <v>846</v>
      </c>
      <c r="C22" s="98" t="s">
        <v>192</v>
      </c>
      <c r="D22" s="98" t="s">
        <v>631</v>
      </c>
      <c r="E22" s="98" t="s">
        <v>635</v>
      </c>
      <c r="F22" s="98" t="s">
        <v>636</v>
      </c>
      <c r="G22" s="98">
        <v>1</v>
      </c>
      <c r="H22" s="98" t="str">
        <f t="shared" ref="H22:H38" si="1">HYPERLINK("http://rms/perspective.req?projectId=233&amp;docId=959422","BSS-TC-23193 TC_OBI_PM1.4_005_CH_Manual PM override_ Total to Missed")</f>
        <v>BSS-TC-23193 TC_OBI_PM1.4_005_CH_Manual PM override_ Total to Missed</v>
      </c>
      <c r="I22" s="98" t="s">
        <v>630</v>
      </c>
      <c r="J22" s="98" t="s">
        <v>631</v>
      </c>
      <c r="K22" s="98" t="s">
        <v>523</v>
      </c>
      <c r="L22" s="3"/>
      <c r="M22" s="3"/>
      <c r="N22" s="100"/>
    </row>
    <row r="23" spans="2:14" x14ac:dyDescent="0.25">
      <c r="B23" s="98" t="s">
        <v>846</v>
      </c>
      <c r="C23" s="98" t="s">
        <v>192</v>
      </c>
      <c r="D23" s="98" t="s">
        <v>631</v>
      </c>
      <c r="E23" s="98" t="s">
        <v>18</v>
      </c>
      <c r="F23" s="98" t="s">
        <v>636</v>
      </c>
      <c r="G23" s="98">
        <v>2</v>
      </c>
      <c r="H23" s="98" t="str">
        <f t="shared" si="1"/>
        <v>BSS-TC-23193 TC_OBI_PM1.4_005_CH_Manual PM override_ Total to Missed</v>
      </c>
      <c r="I23" s="98" t="s">
        <v>630</v>
      </c>
      <c r="J23" s="98" t="s">
        <v>20</v>
      </c>
      <c r="K23" s="98" t="s">
        <v>631</v>
      </c>
      <c r="L23" s="3"/>
      <c r="M23" s="3"/>
      <c r="N23" s="100"/>
    </row>
    <row r="24" spans="2:14" x14ac:dyDescent="0.25">
      <c r="B24" s="98" t="s">
        <v>846</v>
      </c>
      <c r="C24" s="98" t="s">
        <v>192</v>
      </c>
      <c r="D24" s="98" t="s">
        <v>631</v>
      </c>
      <c r="E24" s="98" t="s">
        <v>21</v>
      </c>
      <c r="F24" s="98" t="s">
        <v>636</v>
      </c>
      <c r="G24" s="98">
        <v>3</v>
      </c>
      <c r="H24" s="98" t="str">
        <f t="shared" si="1"/>
        <v>BSS-TC-23193 TC_OBI_PM1.4_005_CH_Manual PM override_ Total to Missed</v>
      </c>
      <c r="I24" s="98" t="s">
        <v>630</v>
      </c>
      <c r="J24" s="98" t="s">
        <v>22</v>
      </c>
      <c r="K24" s="98" t="s">
        <v>631</v>
      </c>
      <c r="L24" s="3"/>
      <c r="M24" s="3"/>
      <c r="N24" s="100"/>
    </row>
    <row r="25" spans="2:14" x14ac:dyDescent="0.25">
      <c r="B25" s="98" t="s">
        <v>846</v>
      </c>
      <c r="C25" s="98" t="s">
        <v>192</v>
      </c>
      <c r="D25" s="98" t="s">
        <v>631</v>
      </c>
      <c r="E25" s="98" t="s">
        <v>155</v>
      </c>
      <c r="F25" s="98" t="s">
        <v>636</v>
      </c>
      <c r="G25" s="98">
        <v>4</v>
      </c>
      <c r="H25" s="98" t="str">
        <f t="shared" si="1"/>
        <v>BSS-TC-23193 TC_OBI_PM1.4_005_CH_Manual PM override_ Total to Missed</v>
      </c>
      <c r="I25" s="98" t="s">
        <v>630</v>
      </c>
      <c r="J25" s="98" t="s">
        <v>156</v>
      </c>
      <c r="K25" s="98" t="s">
        <v>631</v>
      </c>
      <c r="L25" s="3"/>
      <c r="M25" s="3"/>
      <c r="N25" s="100"/>
    </row>
    <row r="26" spans="2:14" x14ac:dyDescent="0.25">
      <c r="B26" s="98" t="s">
        <v>846</v>
      </c>
      <c r="C26" s="98" t="s">
        <v>192</v>
      </c>
      <c r="D26" s="98" t="s">
        <v>631</v>
      </c>
      <c r="E26" s="98" t="s">
        <v>169</v>
      </c>
      <c r="F26" s="98" t="s">
        <v>636</v>
      </c>
      <c r="G26" s="98">
        <v>5</v>
      </c>
      <c r="H26" s="98" t="str">
        <f t="shared" si="1"/>
        <v>BSS-TC-23193 TC_OBI_PM1.4_005_CH_Manual PM override_ Total to Missed</v>
      </c>
      <c r="I26" s="98" t="s">
        <v>630</v>
      </c>
      <c r="J26" s="98" t="s">
        <v>170</v>
      </c>
      <c r="K26" s="98" t="s">
        <v>631</v>
      </c>
      <c r="L26" s="3"/>
      <c r="M26" s="3"/>
      <c r="N26" s="100"/>
    </row>
    <row r="27" spans="2:14" x14ac:dyDescent="0.25">
      <c r="B27" s="98" t="s">
        <v>846</v>
      </c>
      <c r="C27" s="98" t="s">
        <v>192</v>
      </c>
      <c r="D27" s="98" t="s">
        <v>631</v>
      </c>
      <c r="E27" s="98" t="s">
        <v>171</v>
      </c>
      <c r="F27" s="98" t="s">
        <v>636</v>
      </c>
      <c r="G27" s="98">
        <v>6</v>
      </c>
      <c r="H27" s="98" t="str">
        <f t="shared" si="1"/>
        <v>BSS-TC-23193 TC_OBI_PM1.4_005_CH_Manual PM override_ Total to Missed</v>
      </c>
      <c r="I27" s="98" t="s">
        <v>630</v>
      </c>
      <c r="J27" s="98" t="s">
        <v>172</v>
      </c>
      <c r="K27" s="98" t="s">
        <v>631</v>
      </c>
      <c r="L27" s="3"/>
      <c r="M27" s="3"/>
      <c r="N27" s="100"/>
    </row>
    <row r="28" spans="2:14" x14ac:dyDescent="0.25">
      <c r="B28" s="98" t="s">
        <v>846</v>
      </c>
      <c r="C28" s="98" t="s">
        <v>192</v>
      </c>
      <c r="D28" s="98" t="s">
        <v>631</v>
      </c>
      <c r="E28" s="98" t="s">
        <v>45</v>
      </c>
      <c r="F28" s="98" t="s">
        <v>636</v>
      </c>
      <c r="G28" s="98">
        <v>7</v>
      </c>
      <c r="H28" s="98" t="str">
        <f t="shared" si="1"/>
        <v>BSS-TC-23193 TC_OBI_PM1.4_005_CH_Manual PM override_ Total to Missed</v>
      </c>
      <c r="I28" s="98" t="s">
        <v>630</v>
      </c>
      <c r="J28" s="98" t="s">
        <v>42</v>
      </c>
      <c r="K28" s="98" t="s">
        <v>631</v>
      </c>
      <c r="L28" s="3"/>
      <c r="M28" s="3"/>
      <c r="N28" s="100"/>
    </row>
    <row r="29" spans="2:14" x14ac:dyDescent="0.25">
      <c r="B29" s="98" t="s">
        <v>846</v>
      </c>
      <c r="C29" s="98" t="s">
        <v>192</v>
      </c>
      <c r="D29" s="98" t="s">
        <v>631</v>
      </c>
      <c r="E29" s="98" t="s">
        <v>568</v>
      </c>
      <c r="F29" s="98" t="s">
        <v>636</v>
      </c>
      <c r="G29" s="98">
        <v>8</v>
      </c>
      <c r="H29" s="98" t="str">
        <f t="shared" si="1"/>
        <v>BSS-TC-23193 TC_OBI_PM1.4_005_CH_Manual PM override_ Total to Missed</v>
      </c>
      <c r="I29" s="98" t="s">
        <v>630</v>
      </c>
      <c r="J29" s="98" t="s">
        <v>637</v>
      </c>
      <c r="K29" s="98" t="s">
        <v>78</v>
      </c>
      <c r="L29" s="3"/>
      <c r="M29" s="3"/>
      <c r="N29" s="100"/>
    </row>
    <row r="30" spans="2:14" x14ac:dyDescent="0.25">
      <c r="B30" s="98" t="s">
        <v>846</v>
      </c>
      <c r="C30" s="98" t="s">
        <v>192</v>
      </c>
      <c r="D30" s="98" t="s">
        <v>631</v>
      </c>
      <c r="E30" s="98" t="s">
        <v>552</v>
      </c>
      <c r="F30" s="98" t="s">
        <v>636</v>
      </c>
      <c r="G30" s="98">
        <v>9</v>
      </c>
      <c r="H30" s="98" t="str">
        <f t="shared" si="1"/>
        <v>BSS-TC-23193 TC_OBI_PM1.4_005_CH_Manual PM override_ Total to Missed</v>
      </c>
      <c r="I30" s="98" t="s">
        <v>630</v>
      </c>
      <c r="J30" s="98" t="s">
        <v>157</v>
      </c>
      <c r="K30" s="98" t="s">
        <v>631</v>
      </c>
      <c r="L30" s="3"/>
      <c r="M30" s="3"/>
      <c r="N30" s="100"/>
    </row>
    <row r="31" spans="2:14" x14ac:dyDescent="0.25">
      <c r="B31" s="98" t="s">
        <v>846</v>
      </c>
      <c r="C31" s="98" t="s">
        <v>192</v>
      </c>
      <c r="D31" s="98" t="s">
        <v>631</v>
      </c>
      <c r="E31" s="98" t="s">
        <v>194</v>
      </c>
      <c r="F31" s="98" t="s">
        <v>636</v>
      </c>
      <c r="G31" s="98">
        <v>10</v>
      </c>
      <c r="H31" s="98" t="str">
        <f t="shared" si="1"/>
        <v>BSS-TC-23193 TC_OBI_PM1.4_005_CH_Manual PM override_ Total to Missed</v>
      </c>
      <c r="I31" s="98" t="s">
        <v>630</v>
      </c>
      <c r="J31" s="98" t="s">
        <v>631</v>
      </c>
      <c r="K31" s="98" t="s">
        <v>159</v>
      </c>
      <c r="L31" s="3"/>
      <c r="M31" s="3"/>
      <c r="N31" s="100"/>
    </row>
    <row r="32" spans="2:14" x14ac:dyDescent="0.25">
      <c r="B32" s="98" t="s">
        <v>846</v>
      </c>
      <c r="C32" s="98" t="s">
        <v>192</v>
      </c>
      <c r="D32" s="98" t="s">
        <v>631</v>
      </c>
      <c r="E32" s="98" t="s">
        <v>18</v>
      </c>
      <c r="F32" s="98" t="s">
        <v>636</v>
      </c>
      <c r="G32" s="98">
        <v>11</v>
      </c>
      <c r="H32" s="98" t="str">
        <f t="shared" si="1"/>
        <v>BSS-TC-23193 TC_OBI_PM1.4_005_CH_Manual PM override_ Total to Missed</v>
      </c>
      <c r="I32" s="98" t="s">
        <v>630</v>
      </c>
      <c r="J32" s="98" t="s">
        <v>20</v>
      </c>
      <c r="K32" s="98" t="s">
        <v>631</v>
      </c>
      <c r="L32" s="3"/>
      <c r="M32" s="3"/>
      <c r="N32" s="100"/>
    </row>
    <row r="33" spans="2:14" x14ac:dyDescent="0.25">
      <c r="B33" s="98" t="s">
        <v>846</v>
      </c>
      <c r="C33" s="98" t="s">
        <v>192</v>
      </c>
      <c r="D33" s="98" t="s">
        <v>631</v>
      </c>
      <c r="E33" s="98" t="s">
        <v>21</v>
      </c>
      <c r="F33" s="98" t="s">
        <v>636</v>
      </c>
      <c r="G33" s="98">
        <v>12</v>
      </c>
      <c r="H33" s="98" t="str">
        <f t="shared" si="1"/>
        <v>BSS-TC-23193 TC_OBI_PM1.4_005_CH_Manual PM override_ Total to Missed</v>
      </c>
      <c r="I33" s="98" t="s">
        <v>630</v>
      </c>
      <c r="J33" s="98" t="s">
        <v>22</v>
      </c>
      <c r="K33" s="98" t="s">
        <v>631</v>
      </c>
      <c r="L33" s="3"/>
      <c r="M33" s="3"/>
      <c r="N33" s="100"/>
    </row>
    <row r="34" spans="2:14" x14ac:dyDescent="0.25">
      <c r="B34" s="98" t="s">
        <v>846</v>
      </c>
      <c r="C34" s="98" t="s">
        <v>192</v>
      </c>
      <c r="D34" s="98" t="s">
        <v>631</v>
      </c>
      <c r="E34" s="98" t="s">
        <v>23</v>
      </c>
      <c r="F34" s="98" t="s">
        <v>636</v>
      </c>
      <c r="G34" s="98">
        <v>13</v>
      </c>
      <c r="H34" s="98" t="str">
        <f t="shared" si="1"/>
        <v>BSS-TC-23193 TC_OBI_PM1.4_005_CH_Manual PM override_ Total to Missed</v>
      </c>
      <c r="I34" s="98" t="s">
        <v>630</v>
      </c>
      <c r="J34" s="98" t="s">
        <v>41</v>
      </c>
      <c r="K34" s="98" t="s">
        <v>631</v>
      </c>
      <c r="L34" s="3"/>
      <c r="M34" s="3"/>
      <c r="N34" s="100"/>
    </row>
    <row r="35" spans="2:14" x14ac:dyDescent="0.25">
      <c r="B35" s="98" t="s">
        <v>846</v>
      </c>
      <c r="C35" s="98" t="s">
        <v>192</v>
      </c>
      <c r="D35" s="98" t="s">
        <v>631</v>
      </c>
      <c r="E35" s="98" t="s">
        <v>76</v>
      </c>
      <c r="F35" s="98" t="s">
        <v>636</v>
      </c>
      <c r="G35" s="98">
        <v>14</v>
      </c>
      <c r="H35" s="98" t="str">
        <f t="shared" si="1"/>
        <v>BSS-TC-23193 TC_OBI_PM1.4_005_CH_Manual PM override_ Total to Missed</v>
      </c>
      <c r="I35" s="98" t="s">
        <v>630</v>
      </c>
      <c r="J35" s="98" t="s">
        <v>44</v>
      </c>
      <c r="K35" s="98" t="s">
        <v>631</v>
      </c>
      <c r="L35" s="3"/>
      <c r="M35" s="3"/>
      <c r="N35" s="100"/>
    </row>
    <row r="36" spans="2:14" x14ac:dyDescent="0.25">
      <c r="B36" s="98" t="s">
        <v>846</v>
      </c>
      <c r="C36" s="98" t="s">
        <v>192</v>
      </c>
      <c r="D36" s="98" t="s">
        <v>631</v>
      </c>
      <c r="E36" s="98" t="s">
        <v>25</v>
      </c>
      <c r="F36" s="98" t="s">
        <v>636</v>
      </c>
      <c r="G36" s="98">
        <v>15</v>
      </c>
      <c r="H36" s="98" t="str">
        <f t="shared" si="1"/>
        <v>BSS-TC-23193 TC_OBI_PM1.4_005_CH_Manual PM override_ Total to Missed</v>
      </c>
      <c r="I36" s="98" t="s">
        <v>630</v>
      </c>
      <c r="J36" s="98" t="s">
        <v>27</v>
      </c>
      <c r="K36" s="98" t="s">
        <v>631</v>
      </c>
      <c r="L36" s="3"/>
      <c r="M36" s="3"/>
      <c r="N36" s="100"/>
    </row>
    <row r="37" spans="2:14" x14ac:dyDescent="0.25">
      <c r="B37" s="98" t="s">
        <v>846</v>
      </c>
      <c r="C37" s="98" t="s">
        <v>192</v>
      </c>
      <c r="D37" s="98" t="s">
        <v>631</v>
      </c>
      <c r="E37" s="98" t="s">
        <v>45</v>
      </c>
      <c r="F37" s="98" t="s">
        <v>636</v>
      </c>
      <c r="G37" s="98">
        <v>16</v>
      </c>
      <c r="H37" s="98" t="str">
        <f t="shared" si="1"/>
        <v>BSS-TC-23193 TC_OBI_PM1.4_005_CH_Manual PM override_ Total to Missed</v>
      </c>
      <c r="I37" s="98" t="s">
        <v>630</v>
      </c>
      <c r="J37" s="98" t="s">
        <v>42</v>
      </c>
      <c r="K37" s="98" t="s">
        <v>631</v>
      </c>
      <c r="L37" s="3"/>
      <c r="M37" s="3"/>
      <c r="N37" s="100"/>
    </row>
    <row r="38" spans="2:14" x14ac:dyDescent="0.25">
      <c r="B38" s="98" t="s">
        <v>846</v>
      </c>
      <c r="C38" s="98" t="s">
        <v>192</v>
      </c>
      <c r="D38" s="98" t="s">
        <v>631</v>
      </c>
      <c r="E38" s="98" t="s">
        <v>568</v>
      </c>
      <c r="F38" s="98" t="s">
        <v>636</v>
      </c>
      <c r="G38" s="98">
        <v>17</v>
      </c>
      <c r="H38" s="98" t="str">
        <f t="shared" si="1"/>
        <v>BSS-TC-23193 TC_OBI_PM1.4_005_CH_Manual PM override_ Total to Missed</v>
      </c>
      <c r="I38" s="98" t="s">
        <v>630</v>
      </c>
      <c r="J38" s="98" t="s">
        <v>638</v>
      </c>
      <c r="K38" s="98" t="s">
        <v>631</v>
      </c>
      <c r="L38" s="3"/>
      <c r="M38" s="3"/>
      <c r="N38" s="100"/>
    </row>
    <row r="39" spans="2:14" x14ac:dyDescent="0.25">
      <c r="B39" s="98" t="s">
        <v>847</v>
      </c>
      <c r="C39" s="98" t="s">
        <v>454</v>
      </c>
      <c r="D39" s="98" t="s">
        <v>631</v>
      </c>
      <c r="E39" s="98" t="s">
        <v>456</v>
      </c>
      <c r="F39" s="98" t="s">
        <v>455</v>
      </c>
      <c r="G39" s="98">
        <v>1</v>
      </c>
      <c r="H39" s="98" t="str">
        <f t="shared" ref="H39:H51" si="2">HYPERLINK("http://rms/perspective.req?projectId=233&amp;docId=959412","BSS-TC-23183 TC_OBI_PMRBE_002_CR_109_PM 1.4_Summary report_Email Functionality_ ASL&lt;TSL")</f>
        <v>BSS-TC-23183 TC_OBI_PMRBE_002_CR_109_PM 1.4_Summary report_Email Functionality_ ASL&lt;TSL</v>
      </c>
      <c r="I39" s="98" t="s">
        <v>630</v>
      </c>
      <c r="J39" s="98" t="s">
        <v>80</v>
      </c>
      <c r="K39" s="98" t="s">
        <v>631</v>
      </c>
      <c r="L39" s="3"/>
      <c r="M39" s="3"/>
      <c r="N39" s="100"/>
    </row>
    <row r="40" spans="2:14" x14ac:dyDescent="0.25">
      <c r="B40" s="98" t="s">
        <v>847</v>
      </c>
      <c r="C40" s="98" t="s">
        <v>454</v>
      </c>
      <c r="D40" s="98" t="s">
        <v>631</v>
      </c>
      <c r="E40" s="98" t="s">
        <v>435</v>
      </c>
      <c r="F40" s="98" t="s">
        <v>455</v>
      </c>
      <c r="G40" s="98">
        <v>2</v>
      </c>
      <c r="H40" s="98" t="str">
        <f t="shared" si="2"/>
        <v>BSS-TC-23183 TC_OBI_PMRBE_002_CR_109_PM 1.4_Summary report_Email Functionality_ ASL&lt;TSL</v>
      </c>
      <c r="I40" s="98" t="s">
        <v>630</v>
      </c>
      <c r="J40" s="98" t="s">
        <v>80</v>
      </c>
      <c r="K40" s="98" t="s">
        <v>631</v>
      </c>
      <c r="L40" s="3"/>
      <c r="M40" s="3"/>
      <c r="N40" s="100"/>
    </row>
    <row r="41" spans="2:14" x14ac:dyDescent="0.25">
      <c r="B41" s="98" t="s">
        <v>847</v>
      </c>
      <c r="C41" s="98" t="s">
        <v>454</v>
      </c>
      <c r="D41" s="98" t="s">
        <v>631</v>
      </c>
      <c r="E41" s="98" t="s">
        <v>639</v>
      </c>
      <c r="F41" s="98" t="s">
        <v>455</v>
      </c>
      <c r="G41" s="98">
        <v>3</v>
      </c>
      <c r="H41" s="98" t="str">
        <f t="shared" si="2"/>
        <v>BSS-TC-23183 TC_OBI_PMRBE_002_CR_109_PM 1.4_Summary report_Email Functionality_ ASL&lt;TSL</v>
      </c>
      <c r="I41" s="98" t="s">
        <v>630</v>
      </c>
      <c r="J41" s="98" t="s">
        <v>80</v>
      </c>
      <c r="K41" s="98" t="s">
        <v>631</v>
      </c>
      <c r="L41" s="3"/>
      <c r="M41" s="3"/>
      <c r="N41" s="100"/>
    </row>
    <row r="42" spans="2:14" x14ac:dyDescent="0.25">
      <c r="B42" s="98" t="s">
        <v>847</v>
      </c>
      <c r="C42" s="98" t="s">
        <v>454</v>
      </c>
      <c r="D42" s="98" t="s">
        <v>631</v>
      </c>
      <c r="E42" s="98" t="s">
        <v>437</v>
      </c>
      <c r="F42" s="98" t="s">
        <v>455</v>
      </c>
      <c r="G42" s="98">
        <v>4</v>
      </c>
      <c r="H42" s="98" t="str">
        <f t="shared" si="2"/>
        <v>BSS-TC-23183 TC_OBI_PMRBE_002_CR_109_PM 1.4_Summary report_Email Functionality_ ASL&lt;TSL</v>
      </c>
      <c r="I42" s="98" t="s">
        <v>630</v>
      </c>
      <c r="J42" s="98" t="s">
        <v>640</v>
      </c>
      <c r="K42" s="98" t="s">
        <v>631</v>
      </c>
      <c r="L42" s="3"/>
      <c r="M42" s="3"/>
      <c r="N42" s="100"/>
    </row>
    <row r="43" spans="2:14" x14ac:dyDescent="0.25">
      <c r="B43" s="98" t="s">
        <v>847</v>
      </c>
      <c r="C43" s="98" t="s">
        <v>454</v>
      </c>
      <c r="D43" s="98" t="s">
        <v>631</v>
      </c>
      <c r="E43" s="98" t="s">
        <v>439</v>
      </c>
      <c r="F43" s="98" t="s">
        <v>455</v>
      </c>
      <c r="G43" s="98">
        <v>5</v>
      </c>
      <c r="H43" s="98" t="str">
        <f t="shared" si="2"/>
        <v>BSS-TC-23183 TC_OBI_PMRBE_002_CR_109_PM 1.4_Summary report_Email Functionality_ ASL&lt;TSL</v>
      </c>
      <c r="I43" s="98" t="s">
        <v>630</v>
      </c>
      <c r="J43" s="98" t="s">
        <v>641</v>
      </c>
      <c r="K43" s="98" t="s">
        <v>631</v>
      </c>
      <c r="L43" s="3"/>
      <c r="M43" s="3"/>
      <c r="N43" s="100"/>
    </row>
    <row r="44" spans="2:14" x14ac:dyDescent="0.25">
      <c r="B44" s="98" t="s">
        <v>847</v>
      </c>
      <c r="C44" s="98" t="s">
        <v>454</v>
      </c>
      <c r="D44" s="98" t="s">
        <v>631</v>
      </c>
      <c r="E44" s="98" t="s">
        <v>441</v>
      </c>
      <c r="F44" s="98" t="s">
        <v>455</v>
      </c>
      <c r="G44" s="98">
        <v>6</v>
      </c>
      <c r="H44" s="98" t="str">
        <f t="shared" si="2"/>
        <v>BSS-TC-23183 TC_OBI_PMRBE_002_CR_109_PM 1.4_Summary report_Email Functionality_ ASL&lt;TSL</v>
      </c>
      <c r="I44" s="98" t="s">
        <v>630</v>
      </c>
      <c r="J44" s="98" t="s">
        <v>442</v>
      </c>
      <c r="K44" s="98" t="s">
        <v>631</v>
      </c>
      <c r="L44" s="3"/>
      <c r="M44" s="3"/>
      <c r="N44" s="100"/>
    </row>
    <row r="45" spans="2:14" x14ac:dyDescent="0.25">
      <c r="B45" s="98" t="s">
        <v>847</v>
      </c>
      <c r="C45" s="98" t="s">
        <v>454</v>
      </c>
      <c r="D45" s="98" t="s">
        <v>631</v>
      </c>
      <c r="E45" s="98" t="s">
        <v>443</v>
      </c>
      <c r="F45" s="98" t="s">
        <v>455</v>
      </c>
      <c r="G45" s="98">
        <v>7</v>
      </c>
      <c r="H45" s="98" t="str">
        <f t="shared" si="2"/>
        <v>BSS-TC-23183 TC_OBI_PMRBE_002_CR_109_PM 1.4_Summary report_Email Functionality_ ASL&lt;TSL</v>
      </c>
      <c r="I45" s="98" t="s">
        <v>630</v>
      </c>
      <c r="J45" s="98" t="s">
        <v>642</v>
      </c>
      <c r="K45" s="98" t="s">
        <v>631</v>
      </c>
      <c r="L45" s="3"/>
      <c r="M45" s="3"/>
      <c r="N45" s="100"/>
    </row>
    <row r="46" spans="2:14" x14ac:dyDescent="0.25">
      <c r="B46" s="98" t="s">
        <v>847</v>
      </c>
      <c r="C46" s="98" t="s">
        <v>454</v>
      </c>
      <c r="D46" s="98" t="s">
        <v>631</v>
      </c>
      <c r="E46" s="98" t="s">
        <v>445</v>
      </c>
      <c r="F46" s="98" t="s">
        <v>455</v>
      </c>
      <c r="G46" s="98">
        <v>8</v>
      </c>
      <c r="H46" s="98" t="str">
        <f t="shared" si="2"/>
        <v>BSS-TC-23183 TC_OBI_PMRBE_002_CR_109_PM 1.4_Summary report_Email Functionality_ ASL&lt;TSL</v>
      </c>
      <c r="I46" s="98" t="s">
        <v>630</v>
      </c>
      <c r="J46" s="98" t="s">
        <v>447</v>
      </c>
      <c r="K46" s="98" t="s">
        <v>446</v>
      </c>
      <c r="L46" s="3"/>
      <c r="M46" s="3"/>
      <c r="N46" s="100"/>
    </row>
    <row r="47" spans="2:14" x14ac:dyDescent="0.25">
      <c r="B47" s="98" t="s">
        <v>847</v>
      </c>
      <c r="C47" s="98" t="s">
        <v>454</v>
      </c>
      <c r="D47" s="98" t="s">
        <v>631</v>
      </c>
      <c r="E47" s="98" t="s">
        <v>18</v>
      </c>
      <c r="F47" s="98" t="s">
        <v>455</v>
      </c>
      <c r="G47" s="98">
        <v>9</v>
      </c>
      <c r="H47" s="98" t="str">
        <f t="shared" si="2"/>
        <v>BSS-TC-23183 TC_OBI_PMRBE_002_CR_109_PM 1.4_Summary report_Email Functionality_ ASL&lt;TSL</v>
      </c>
      <c r="I47" s="98" t="s">
        <v>630</v>
      </c>
      <c r="J47" s="98" t="s">
        <v>20</v>
      </c>
      <c r="K47" s="98" t="s">
        <v>631</v>
      </c>
      <c r="L47" s="3"/>
      <c r="M47" s="3"/>
      <c r="N47" s="100"/>
    </row>
    <row r="48" spans="2:14" x14ac:dyDescent="0.25">
      <c r="B48" s="98" t="s">
        <v>847</v>
      </c>
      <c r="C48" s="98" t="s">
        <v>454</v>
      </c>
      <c r="D48" s="98" t="s">
        <v>631</v>
      </c>
      <c r="E48" s="98" t="s">
        <v>21</v>
      </c>
      <c r="F48" s="98" t="s">
        <v>455</v>
      </c>
      <c r="G48" s="98">
        <v>10</v>
      </c>
      <c r="H48" s="98" t="str">
        <f t="shared" si="2"/>
        <v>BSS-TC-23183 TC_OBI_PMRBE_002_CR_109_PM 1.4_Summary report_Email Functionality_ ASL&lt;TSL</v>
      </c>
      <c r="I48" s="98" t="s">
        <v>630</v>
      </c>
      <c r="J48" s="98" t="s">
        <v>448</v>
      </c>
      <c r="K48" s="98" t="s">
        <v>631</v>
      </c>
      <c r="L48" s="3"/>
      <c r="M48" s="3"/>
      <c r="N48" s="100"/>
    </row>
    <row r="49" spans="2:14" x14ac:dyDescent="0.25">
      <c r="B49" s="98" t="s">
        <v>847</v>
      </c>
      <c r="C49" s="98" t="s">
        <v>454</v>
      </c>
      <c r="D49" s="98" t="s">
        <v>631</v>
      </c>
      <c r="E49" s="98" t="s">
        <v>449</v>
      </c>
      <c r="F49" s="98" t="s">
        <v>455</v>
      </c>
      <c r="G49" s="98">
        <v>11</v>
      </c>
      <c r="H49" s="98" t="str">
        <f t="shared" si="2"/>
        <v>BSS-TC-23183 TC_OBI_PMRBE_002_CR_109_PM 1.4_Summary report_Email Functionality_ ASL&lt;TSL</v>
      </c>
      <c r="I49" s="98" t="s">
        <v>630</v>
      </c>
      <c r="J49" s="98" t="s">
        <v>450</v>
      </c>
      <c r="K49" s="98" t="s">
        <v>631</v>
      </c>
      <c r="L49" s="3"/>
      <c r="M49" s="3"/>
      <c r="N49" s="100"/>
    </row>
    <row r="50" spans="2:14" x14ac:dyDescent="0.25">
      <c r="B50" s="98" t="s">
        <v>847</v>
      </c>
      <c r="C50" s="98" t="s">
        <v>454</v>
      </c>
      <c r="D50" s="98" t="s">
        <v>631</v>
      </c>
      <c r="E50" s="98" t="s">
        <v>171</v>
      </c>
      <c r="F50" s="98" t="s">
        <v>455</v>
      </c>
      <c r="G50" s="98">
        <v>12</v>
      </c>
      <c r="H50" s="98" t="str">
        <f t="shared" si="2"/>
        <v>BSS-TC-23183 TC_OBI_PMRBE_002_CR_109_PM 1.4_Summary report_Email Functionality_ ASL&lt;TSL</v>
      </c>
      <c r="I50" s="98" t="s">
        <v>630</v>
      </c>
      <c r="J50" s="98" t="s">
        <v>172</v>
      </c>
      <c r="K50" s="98" t="s">
        <v>631</v>
      </c>
      <c r="L50" s="3"/>
      <c r="M50" s="3"/>
      <c r="N50" s="100"/>
    </row>
    <row r="51" spans="2:14" x14ac:dyDescent="0.25">
      <c r="B51" s="98" t="s">
        <v>847</v>
      </c>
      <c r="C51" s="98" t="s">
        <v>454</v>
      </c>
      <c r="D51" s="98" t="s">
        <v>631</v>
      </c>
      <c r="E51" s="98" t="s">
        <v>451</v>
      </c>
      <c r="F51" s="98" t="s">
        <v>455</v>
      </c>
      <c r="G51" s="98">
        <v>13</v>
      </c>
      <c r="H51" s="98" t="str">
        <f t="shared" si="2"/>
        <v>BSS-TC-23183 TC_OBI_PMRBE_002_CR_109_PM 1.4_Summary report_Email Functionality_ ASL&lt;TSL</v>
      </c>
      <c r="I51" s="98" t="s">
        <v>630</v>
      </c>
      <c r="J51" s="98" t="s">
        <v>458</v>
      </c>
      <c r="K51" s="98" t="s">
        <v>452</v>
      </c>
      <c r="L51" s="3"/>
      <c r="M51" s="3"/>
      <c r="N51" s="100"/>
    </row>
    <row r="52" spans="2:14" x14ac:dyDescent="0.25">
      <c r="B52" s="98" t="s">
        <v>848</v>
      </c>
      <c r="C52" s="98" t="s">
        <v>459</v>
      </c>
      <c r="D52" s="98" t="s">
        <v>631</v>
      </c>
      <c r="E52" s="98" t="s">
        <v>461</v>
      </c>
      <c r="F52" s="98" t="s">
        <v>460</v>
      </c>
      <c r="G52" s="98">
        <v>1</v>
      </c>
      <c r="H52" s="98" t="str">
        <f t="shared" ref="H52:H65" si="3">HYPERLINK("http://rms/perspective.req?projectId=233&amp;docId=959413","BSS-TC-23184 TC_OBI_PMRBE_003_CR_109_PM 1.4_Missed detail report_Email Functionality_ ASL&lt;TSL")</f>
        <v>BSS-TC-23184 TC_OBI_PMRBE_003_CR_109_PM 1.4_Missed detail report_Email Functionality_ ASL&lt;TSL</v>
      </c>
      <c r="I52" s="98" t="s">
        <v>630</v>
      </c>
      <c r="J52" s="98" t="s">
        <v>80</v>
      </c>
      <c r="K52" s="98" t="s">
        <v>631</v>
      </c>
      <c r="L52" s="3"/>
      <c r="M52" s="3"/>
      <c r="N52" s="100"/>
    </row>
    <row r="53" spans="2:14" x14ac:dyDescent="0.25">
      <c r="B53" s="98" t="s">
        <v>848</v>
      </c>
      <c r="C53" s="98" t="s">
        <v>459</v>
      </c>
      <c r="D53" s="98" t="s">
        <v>631</v>
      </c>
      <c r="E53" s="98" t="s">
        <v>435</v>
      </c>
      <c r="F53" s="98" t="s">
        <v>460</v>
      </c>
      <c r="G53" s="98">
        <v>2</v>
      </c>
      <c r="H53" s="98" t="str">
        <f t="shared" si="3"/>
        <v>BSS-TC-23184 TC_OBI_PMRBE_003_CR_109_PM 1.4_Missed detail report_Email Functionality_ ASL&lt;TSL</v>
      </c>
      <c r="I53" s="98" t="s">
        <v>630</v>
      </c>
      <c r="J53" s="98" t="s">
        <v>80</v>
      </c>
      <c r="K53" s="98" t="s">
        <v>631</v>
      </c>
      <c r="L53" s="3"/>
      <c r="M53" s="3"/>
      <c r="N53" s="100"/>
    </row>
    <row r="54" spans="2:14" x14ac:dyDescent="0.25">
      <c r="B54" s="98" t="s">
        <v>848</v>
      </c>
      <c r="C54" s="98" t="s">
        <v>459</v>
      </c>
      <c r="D54" s="98" t="s">
        <v>631</v>
      </c>
      <c r="E54" s="98" t="s">
        <v>639</v>
      </c>
      <c r="F54" s="98" t="s">
        <v>460</v>
      </c>
      <c r="G54" s="98">
        <v>3</v>
      </c>
      <c r="H54" s="98" t="str">
        <f t="shared" si="3"/>
        <v>BSS-TC-23184 TC_OBI_PMRBE_003_CR_109_PM 1.4_Missed detail report_Email Functionality_ ASL&lt;TSL</v>
      </c>
      <c r="I54" s="98" t="s">
        <v>630</v>
      </c>
      <c r="J54" s="98" t="s">
        <v>80</v>
      </c>
      <c r="K54" s="98" t="s">
        <v>631</v>
      </c>
      <c r="L54" s="3"/>
      <c r="M54" s="3"/>
      <c r="N54" s="100"/>
    </row>
    <row r="55" spans="2:14" x14ac:dyDescent="0.25">
      <c r="B55" s="98" t="s">
        <v>848</v>
      </c>
      <c r="C55" s="98" t="s">
        <v>459</v>
      </c>
      <c r="D55" s="98" t="s">
        <v>631</v>
      </c>
      <c r="E55" s="98" t="s">
        <v>462</v>
      </c>
      <c r="F55" s="98" t="s">
        <v>460</v>
      </c>
      <c r="G55" s="98">
        <v>4</v>
      </c>
      <c r="H55" s="98" t="str">
        <f t="shared" si="3"/>
        <v>BSS-TC-23184 TC_OBI_PMRBE_003_CR_109_PM 1.4_Missed detail report_Email Functionality_ ASL&lt;TSL</v>
      </c>
      <c r="I55" s="98" t="s">
        <v>630</v>
      </c>
      <c r="J55" s="98" t="s">
        <v>643</v>
      </c>
      <c r="K55" s="98" t="s">
        <v>631</v>
      </c>
      <c r="L55" s="3"/>
      <c r="M55" s="3"/>
      <c r="N55" s="100"/>
    </row>
    <row r="56" spans="2:14" x14ac:dyDescent="0.25">
      <c r="B56" s="98" t="s">
        <v>848</v>
      </c>
      <c r="C56" s="98" t="s">
        <v>459</v>
      </c>
      <c r="D56" s="98" t="s">
        <v>631</v>
      </c>
      <c r="E56" s="98" t="s">
        <v>439</v>
      </c>
      <c r="F56" s="98" t="s">
        <v>460</v>
      </c>
      <c r="G56" s="98">
        <v>5</v>
      </c>
      <c r="H56" s="98" t="str">
        <f t="shared" si="3"/>
        <v>BSS-TC-23184 TC_OBI_PMRBE_003_CR_109_PM 1.4_Missed detail report_Email Functionality_ ASL&lt;TSL</v>
      </c>
      <c r="I56" s="98" t="s">
        <v>630</v>
      </c>
      <c r="J56" s="98" t="s">
        <v>644</v>
      </c>
      <c r="K56" s="98" t="s">
        <v>631</v>
      </c>
      <c r="L56" s="3"/>
      <c r="M56" s="3"/>
      <c r="N56" s="100"/>
    </row>
    <row r="57" spans="2:14" x14ac:dyDescent="0.25">
      <c r="B57" s="98" t="s">
        <v>848</v>
      </c>
      <c r="C57" s="98" t="s">
        <v>459</v>
      </c>
      <c r="D57" s="98" t="s">
        <v>631</v>
      </c>
      <c r="E57" s="98" t="s">
        <v>465</v>
      </c>
      <c r="F57" s="98" t="s">
        <v>460</v>
      </c>
      <c r="G57" s="98">
        <v>6</v>
      </c>
      <c r="H57" s="98" t="str">
        <f t="shared" si="3"/>
        <v>BSS-TC-23184 TC_OBI_PMRBE_003_CR_109_PM 1.4_Missed detail report_Email Functionality_ ASL&lt;TSL</v>
      </c>
      <c r="I57" s="98" t="s">
        <v>630</v>
      </c>
      <c r="J57" s="98" t="s">
        <v>466</v>
      </c>
      <c r="K57" s="98" t="s">
        <v>631</v>
      </c>
      <c r="L57" s="3"/>
      <c r="M57" s="3"/>
      <c r="N57" s="100"/>
    </row>
    <row r="58" spans="2:14" x14ac:dyDescent="0.25">
      <c r="B58" s="98" t="s">
        <v>848</v>
      </c>
      <c r="C58" s="98" t="s">
        <v>459</v>
      </c>
      <c r="D58" s="98" t="s">
        <v>631</v>
      </c>
      <c r="E58" s="98" t="s">
        <v>445</v>
      </c>
      <c r="F58" s="98" t="s">
        <v>460</v>
      </c>
      <c r="G58" s="98">
        <v>7</v>
      </c>
      <c r="H58" s="98" t="str">
        <f t="shared" si="3"/>
        <v>BSS-TC-23184 TC_OBI_PMRBE_003_CR_109_PM 1.4_Missed detail report_Email Functionality_ ASL&lt;TSL</v>
      </c>
      <c r="I58" s="98" t="s">
        <v>630</v>
      </c>
      <c r="J58" s="98" t="s">
        <v>447</v>
      </c>
      <c r="K58" s="98" t="s">
        <v>446</v>
      </c>
      <c r="L58" s="3"/>
      <c r="M58" s="3"/>
      <c r="N58" s="100"/>
    </row>
    <row r="59" spans="2:14" x14ac:dyDescent="0.25">
      <c r="B59" s="98" t="s">
        <v>848</v>
      </c>
      <c r="C59" s="98" t="s">
        <v>459</v>
      </c>
      <c r="D59" s="98" t="s">
        <v>631</v>
      </c>
      <c r="E59" s="98" t="s">
        <v>18</v>
      </c>
      <c r="F59" s="98" t="s">
        <v>460</v>
      </c>
      <c r="G59" s="98">
        <v>8</v>
      </c>
      <c r="H59" s="98" t="str">
        <f t="shared" si="3"/>
        <v>BSS-TC-23184 TC_OBI_PMRBE_003_CR_109_PM 1.4_Missed detail report_Email Functionality_ ASL&lt;TSL</v>
      </c>
      <c r="I59" s="98" t="s">
        <v>630</v>
      </c>
      <c r="J59" s="98" t="s">
        <v>20</v>
      </c>
      <c r="K59" s="98" t="s">
        <v>631</v>
      </c>
      <c r="L59" s="3"/>
      <c r="M59" s="3"/>
      <c r="N59" s="100"/>
    </row>
    <row r="60" spans="2:14" x14ac:dyDescent="0.25">
      <c r="B60" s="98" t="s">
        <v>848</v>
      </c>
      <c r="C60" s="98" t="s">
        <v>459</v>
      </c>
      <c r="D60" s="98" t="s">
        <v>631</v>
      </c>
      <c r="E60" s="98" t="s">
        <v>21</v>
      </c>
      <c r="F60" s="98" t="s">
        <v>460</v>
      </c>
      <c r="G60" s="98">
        <v>9</v>
      </c>
      <c r="H60" s="98" t="str">
        <f t="shared" si="3"/>
        <v>BSS-TC-23184 TC_OBI_PMRBE_003_CR_109_PM 1.4_Missed detail report_Email Functionality_ ASL&lt;TSL</v>
      </c>
      <c r="I60" s="98" t="s">
        <v>630</v>
      </c>
      <c r="J60" s="98" t="s">
        <v>448</v>
      </c>
      <c r="K60" s="98" t="s">
        <v>631</v>
      </c>
      <c r="L60" s="3"/>
      <c r="M60" s="3"/>
      <c r="N60" s="100"/>
    </row>
    <row r="61" spans="2:14" x14ac:dyDescent="0.25">
      <c r="B61" s="98" t="s">
        <v>848</v>
      </c>
      <c r="C61" s="98" t="s">
        <v>459</v>
      </c>
      <c r="D61" s="98" t="s">
        <v>631</v>
      </c>
      <c r="E61" s="98" t="s">
        <v>449</v>
      </c>
      <c r="F61" s="98" t="s">
        <v>460</v>
      </c>
      <c r="G61" s="98">
        <v>10</v>
      </c>
      <c r="H61" s="98" t="str">
        <f t="shared" si="3"/>
        <v>BSS-TC-23184 TC_OBI_PMRBE_003_CR_109_PM 1.4_Missed detail report_Email Functionality_ ASL&lt;TSL</v>
      </c>
      <c r="I61" s="98" t="s">
        <v>630</v>
      </c>
      <c r="J61" s="98" t="s">
        <v>467</v>
      </c>
      <c r="K61" s="98" t="s">
        <v>631</v>
      </c>
      <c r="L61" s="3"/>
      <c r="M61" s="3"/>
      <c r="N61" s="100"/>
    </row>
    <row r="62" spans="2:14" x14ac:dyDescent="0.25">
      <c r="B62" s="98" t="s">
        <v>848</v>
      </c>
      <c r="C62" s="98" t="s">
        <v>459</v>
      </c>
      <c r="D62" s="98" t="s">
        <v>631</v>
      </c>
      <c r="E62" s="98" t="s">
        <v>468</v>
      </c>
      <c r="F62" s="98" t="s">
        <v>460</v>
      </c>
      <c r="G62" s="98">
        <v>11</v>
      </c>
      <c r="H62" s="98" t="str">
        <f t="shared" si="3"/>
        <v>BSS-TC-23184 TC_OBI_PMRBE_003_CR_109_PM 1.4_Missed detail report_Email Functionality_ ASL&lt;TSL</v>
      </c>
      <c r="I62" s="98" t="s">
        <v>630</v>
      </c>
      <c r="J62" s="98" t="s">
        <v>469</v>
      </c>
      <c r="K62" s="98" t="s">
        <v>631</v>
      </c>
      <c r="L62" s="3"/>
      <c r="M62" s="3"/>
      <c r="N62" s="100"/>
    </row>
    <row r="63" spans="2:14" x14ac:dyDescent="0.25">
      <c r="B63" s="98" t="s">
        <v>848</v>
      </c>
      <c r="C63" s="98" t="s">
        <v>459</v>
      </c>
      <c r="D63" s="98" t="s">
        <v>631</v>
      </c>
      <c r="E63" s="98" t="s">
        <v>470</v>
      </c>
      <c r="F63" s="98" t="s">
        <v>460</v>
      </c>
      <c r="G63" s="98">
        <v>12</v>
      </c>
      <c r="H63" s="98" t="str">
        <f t="shared" si="3"/>
        <v>BSS-TC-23184 TC_OBI_PMRBE_003_CR_109_PM 1.4_Missed detail report_Email Functionality_ ASL&lt;TSL</v>
      </c>
      <c r="I63" s="98" t="s">
        <v>630</v>
      </c>
      <c r="J63" s="98" t="s">
        <v>471</v>
      </c>
      <c r="K63" s="98" t="s">
        <v>631</v>
      </c>
      <c r="L63" s="3"/>
      <c r="M63" s="3"/>
      <c r="N63" s="100"/>
    </row>
    <row r="64" spans="2:14" x14ac:dyDescent="0.25">
      <c r="B64" s="98" t="s">
        <v>848</v>
      </c>
      <c r="C64" s="98" t="s">
        <v>459</v>
      </c>
      <c r="D64" s="98" t="s">
        <v>631</v>
      </c>
      <c r="E64" s="98" t="s">
        <v>472</v>
      </c>
      <c r="F64" s="98" t="s">
        <v>460</v>
      </c>
      <c r="G64" s="98">
        <v>13</v>
      </c>
      <c r="H64" s="98" t="str">
        <f t="shared" si="3"/>
        <v>BSS-TC-23184 TC_OBI_PMRBE_003_CR_109_PM 1.4_Missed detail report_Email Functionality_ ASL&lt;TSL</v>
      </c>
      <c r="I64" s="98" t="s">
        <v>630</v>
      </c>
      <c r="J64" s="98" t="s">
        <v>473</v>
      </c>
      <c r="K64" s="98" t="s">
        <v>631</v>
      </c>
      <c r="L64" s="3"/>
      <c r="M64" s="3"/>
      <c r="N64" s="100"/>
    </row>
    <row r="65" spans="2:14" x14ac:dyDescent="0.25">
      <c r="B65" s="98" t="s">
        <v>848</v>
      </c>
      <c r="C65" s="98" t="s">
        <v>459</v>
      </c>
      <c r="D65" s="98" t="s">
        <v>631</v>
      </c>
      <c r="E65" s="98" t="s">
        <v>474</v>
      </c>
      <c r="F65" s="98" t="s">
        <v>460</v>
      </c>
      <c r="G65" s="98">
        <v>14</v>
      </c>
      <c r="H65" s="98" t="str">
        <f t="shared" si="3"/>
        <v>BSS-TC-23184 TC_OBI_PMRBE_003_CR_109_PM 1.4_Missed detail report_Email Functionality_ ASL&lt;TSL</v>
      </c>
      <c r="I65" s="98" t="s">
        <v>630</v>
      </c>
      <c r="J65" s="98" t="s">
        <v>476</v>
      </c>
      <c r="K65" s="98" t="s">
        <v>475</v>
      </c>
      <c r="L65" s="3"/>
      <c r="M65" s="3"/>
      <c r="N65" s="100"/>
    </row>
    <row r="66" spans="2:14" x14ac:dyDescent="0.25">
      <c r="B66" s="98" t="s">
        <v>849</v>
      </c>
      <c r="C66" s="98" t="s">
        <v>645</v>
      </c>
      <c r="D66" s="98" t="s">
        <v>631</v>
      </c>
      <c r="E66" s="98" t="s">
        <v>646</v>
      </c>
      <c r="F66" s="98" t="s">
        <v>481</v>
      </c>
      <c r="G66" s="98">
        <v>1</v>
      </c>
      <c r="H66" s="98" t="str">
        <f t="shared" ref="H66:H74" si="4">HYPERLINK("http://rms/perspective.req?projectId=233&amp;docId=959415","BSS-TC-23186 TC_OBI_PMRBE_005_CR109_PM 1.4_Summary report_Email Functionality_No condition")</f>
        <v>BSS-TC-23186 TC_OBI_PMRBE_005_CR109_PM 1.4_Summary report_Email Functionality_No condition</v>
      </c>
      <c r="I66" s="98" t="s">
        <v>630</v>
      </c>
      <c r="J66" s="98" t="s">
        <v>80</v>
      </c>
      <c r="K66" s="98" t="s">
        <v>631</v>
      </c>
      <c r="L66" s="3"/>
      <c r="M66" s="3"/>
      <c r="N66" s="100"/>
    </row>
    <row r="67" spans="2:14" x14ac:dyDescent="0.25">
      <c r="B67" s="98" t="s">
        <v>849</v>
      </c>
      <c r="C67" s="98" t="s">
        <v>645</v>
      </c>
      <c r="D67" s="98" t="s">
        <v>631</v>
      </c>
      <c r="E67" s="98" t="s">
        <v>435</v>
      </c>
      <c r="F67" s="98" t="s">
        <v>481</v>
      </c>
      <c r="G67" s="98">
        <v>2</v>
      </c>
      <c r="H67" s="98" t="str">
        <f t="shared" si="4"/>
        <v>BSS-TC-23186 TC_OBI_PMRBE_005_CR109_PM 1.4_Summary report_Email Functionality_No condition</v>
      </c>
      <c r="I67" s="98" t="s">
        <v>630</v>
      </c>
      <c r="J67" s="98" t="s">
        <v>80</v>
      </c>
      <c r="K67" s="98" t="s">
        <v>631</v>
      </c>
      <c r="L67" s="3"/>
      <c r="M67" s="3"/>
      <c r="N67" s="100"/>
    </row>
    <row r="68" spans="2:14" x14ac:dyDescent="0.25">
      <c r="B68" s="98" t="s">
        <v>849</v>
      </c>
      <c r="C68" s="98" t="s">
        <v>645</v>
      </c>
      <c r="D68" s="98" t="s">
        <v>631</v>
      </c>
      <c r="E68" s="98" t="s">
        <v>482</v>
      </c>
      <c r="F68" s="98" t="s">
        <v>481</v>
      </c>
      <c r="G68" s="98">
        <v>3</v>
      </c>
      <c r="H68" s="98" t="str">
        <f t="shared" si="4"/>
        <v>BSS-TC-23186 TC_OBI_PMRBE_005_CR109_PM 1.4_Summary report_Email Functionality_No condition</v>
      </c>
      <c r="I68" s="98" t="s">
        <v>630</v>
      </c>
      <c r="J68" s="98" t="s">
        <v>80</v>
      </c>
      <c r="K68" s="98" t="s">
        <v>631</v>
      </c>
      <c r="L68" s="3"/>
      <c r="M68" s="3"/>
      <c r="N68" s="100"/>
    </row>
    <row r="69" spans="2:14" x14ac:dyDescent="0.25">
      <c r="B69" s="98" t="s">
        <v>849</v>
      </c>
      <c r="C69" s="98" t="s">
        <v>645</v>
      </c>
      <c r="D69" s="98" t="s">
        <v>631</v>
      </c>
      <c r="E69" s="98" t="s">
        <v>437</v>
      </c>
      <c r="F69" s="98" t="s">
        <v>481</v>
      </c>
      <c r="G69" s="98">
        <v>4</v>
      </c>
      <c r="H69" s="98" t="str">
        <f t="shared" si="4"/>
        <v>BSS-TC-23186 TC_OBI_PMRBE_005_CR109_PM 1.4_Summary report_Email Functionality_No condition</v>
      </c>
      <c r="I69" s="98" t="s">
        <v>630</v>
      </c>
      <c r="J69" s="98" t="s">
        <v>483</v>
      </c>
      <c r="K69" s="98" t="s">
        <v>631</v>
      </c>
      <c r="L69" s="3"/>
      <c r="M69" s="3"/>
      <c r="N69" s="100"/>
    </row>
    <row r="70" spans="2:14" x14ac:dyDescent="0.25">
      <c r="B70" s="98" t="s">
        <v>849</v>
      </c>
      <c r="C70" s="98" t="s">
        <v>645</v>
      </c>
      <c r="D70" s="98" t="s">
        <v>631</v>
      </c>
      <c r="E70" s="98" t="s">
        <v>18</v>
      </c>
      <c r="F70" s="98" t="s">
        <v>481</v>
      </c>
      <c r="G70" s="98">
        <v>5</v>
      </c>
      <c r="H70" s="98" t="str">
        <f t="shared" si="4"/>
        <v>BSS-TC-23186 TC_OBI_PMRBE_005_CR109_PM 1.4_Summary report_Email Functionality_No condition</v>
      </c>
      <c r="I70" s="98" t="s">
        <v>630</v>
      </c>
      <c r="J70" s="98" t="s">
        <v>20</v>
      </c>
      <c r="K70" s="98" t="s">
        <v>631</v>
      </c>
      <c r="L70" s="3"/>
      <c r="M70" s="3"/>
      <c r="N70" s="100"/>
    </row>
    <row r="71" spans="2:14" x14ac:dyDescent="0.25">
      <c r="B71" s="98" t="s">
        <v>849</v>
      </c>
      <c r="C71" s="98" t="s">
        <v>645</v>
      </c>
      <c r="D71" s="98" t="s">
        <v>631</v>
      </c>
      <c r="E71" s="98" t="s">
        <v>21</v>
      </c>
      <c r="F71" s="98" t="s">
        <v>481</v>
      </c>
      <c r="G71" s="98">
        <v>6</v>
      </c>
      <c r="H71" s="98" t="str">
        <f t="shared" si="4"/>
        <v>BSS-TC-23186 TC_OBI_PMRBE_005_CR109_PM 1.4_Summary report_Email Functionality_No condition</v>
      </c>
      <c r="I71" s="98" t="s">
        <v>630</v>
      </c>
      <c r="J71" s="98" t="s">
        <v>448</v>
      </c>
      <c r="K71" s="98" t="s">
        <v>631</v>
      </c>
      <c r="L71" s="3"/>
      <c r="M71" s="3"/>
      <c r="N71" s="100"/>
    </row>
    <row r="72" spans="2:14" x14ac:dyDescent="0.25">
      <c r="B72" s="98" t="s">
        <v>849</v>
      </c>
      <c r="C72" s="98" t="s">
        <v>645</v>
      </c>
      <c r="D72" s="98" t="s">
        <v>631</v>
      </c>
      <c r="E72" s="98" t="s">
        <v>449</v>
      </c>
      <c r="F72" s="98" t="s">
        <v>481</v>
      </c>
      <c r="G72" s="98">
        <v>7</v>
      </c>
      <c r="H72" s="98" t="str">
        <f t="shared" si="4"/>
        <v>BSS-TC-23186 TC_OBI_PMRBE_005_CR109_PM 1.4_Summary report_Email Functionality_No condition</v>
      </c>
      <c r="I72" s="98" t="s">
        <v>630</v>
      </c>
      <c r="J72" s="98" t="s">
        <v>450</v>
      </c>
      <c r="K72" s="98" t="s">
        <v>631</v>
      </c>
      <c r="L72" s="3"/>
      <c r="M72" s="3"/>
      <c r="N72" s="100"/>
    </row>
    <row r="73" spans="2:14" x14ac:dyDescent="0.25">
      <c r="B73" s="98" t="s">
        <v>849</v>
      </c>
      <c r="C73" s="98" t="s">
        <v>645</v>
      </c>
      <c r="D73" s="98" t="s">
        <v>631</v>
      </c>
      <c r="E73" s="98" t="s">
        <v>171</v>
      </c>
      <c r="F73" s="98" t="s">
        <v>481</v>
      </c>
      <c r="G73" s="98">
        <v>8</v>
      </c>
      <c r="H73" s="98" t="str">
        <f t="shared" si="4"/>
        <v>BSS-TC-23186 TC_OBI_PMRBE_005_CR109_PM 1.4_Summary report_Email Functionality_No condition</v>
      </c>
      <c r="I73" s="98" t="s">
        <v>630</v>
      </c>
      <c r="J73" s="98" t="s">
        <v>172</v>
      </c>
      <c r="K73" s="98" t="s">
        <v>631</v>
      </c>
      <c r="L73" s="3"/>
      <c r="M73" s="3"/>
      <c r="N73" s="100"/>
    </row>
    <row r="74" spans="2:14" x14ac:dyDescent="0.25">
      <c r="B74" s="98" t="s">
        <v>849</v>
      </c>
      <c r="C74" s="98" t="s">
        <v>645</v>
      </c>
      <c r="D74" s="98" t="s">
        <v>631</v>
      </c>
      <c r="E74" s="98" t="s">
        <v>451</v>
      </c>
      <c r="F74" s="98" t="s">
        <v>481</v>
      </c>
      <c r="G74" s="98">
        <v>9</v>
      </c>
      <c r="H74" s="98" t="str">
        <f t="shared" si="4"/>
        <v>BSS-TC-23186 TC_OBI_PMRBE_005_CR109_PM 1.4_Summary report_Email Functionality_No condition</v>
      </c>
      <c r="I74" s="98" t="s">
        <v>630</v>
      </c>
      <c r="J74" s="98" t="s">
        <v>458</v>
      </c>
      <c r="K74" s="98" t="s">
        <v>452</v>
      </c>
      <c r="L74" s="3"/>
      <c r="M74" s="3"/>
      <c r="N74" s="100"/>
    </row>
    <row r="75" spans="2:14" x14ac:dyDescent="0.25">
      <c r="B75" s="98" t="s">
        <v>850</v>
      </c>
      <c r="C75" s="98" t="s">
        <v>647</v>
      </c>
      <c r="D75" s="98" t="s">
        <v>631</v>
      </c>
      <c r="E75" s="98" t="s">
        <v>461</v>
      </c>
      <c r="F75" s="98" t="s">
        <v>460</v>
      </c>
      <c r="G75" s="98">
        <v>1</v>
      </c>
      <c r="H75" s="98" t="str">
        <f t="shared" ref="H75:H85" si="5">HYPERLINK("http://rms/perspective.req?projectId=233&amp;docId=959416","BSS-TC-23187 TC_OBI_PMRBE_006_CR109_PM 1.4_Missed detail report_Email Functionality_No condition")</f>
        <v>BSS-TC-23187 TC_OBI_PMRBE_006_CR109_PM 1.4_Missed detail report_Email Functionality_No condition</v>
      </c>
      <c r="I75" s="98" t="s">
        <v>630</v>
      </c>
      <c r="J75" s="98" t="s">
        <v>80</v>
      </c>
      <c r="K75" s="98" t="s">
        <v>631</v>
      </c>
      <c r="L75" s="3"/>
      <c r="M75" s="3"/>
      <c r="N75" s="100"/>
    </row>
    <row r="76" spans="2:14" x14ac:dyDescent="0.25">
      <c r="B76" s="98" t="s">
        <v>850</v>
      </c>
      <c r="C76" s="98" t="s">
        <v>647</v>
      </c>
      <c r="D76" s="98" t="s">
        <v>631</v>
      </c>
      <c r="E76" s="98" t="s">
        <v>435</v>
      </c>
      <c r="F76" s="98" t="s">
        <v>460</v>
      </c>
      <c r="G76" s="98">
        <v>2</v>
      </c>
      <c r="H76" s="98" t="str">
        <f t="shared" si="5"/>
        <v>BSS-TC-23187 TC_OBI_PMRBE_006_CR109_PM 1.4_Missed detail report_Email Functionality_No condition</v>
      </c>
      <c r="I76" s="98" t="s">
        <v>630</v>
      </c>
      <c r="J76" s="98" t="s">
        <v>80</v>
      </c>
      <c r="K76" s="98" t="s">
        <v>631</v>
      </c>
    </row>
    <row r="77" spans="2:14" x14ac:dyDescent="0.25">
      <c r="B77" s="98" t="s">
        <v>850</v>
      </c>
      <c r="C77" s="99" t="s">
        <v>647</v>
      </c>
      <c r="D77" s="98" t="s">
        <v>631</v>
      </c>
      <c r="E77" s="98" t="s">
        <v>457</v>
      </c>
      <c r="F77" s="98" t="s">
        <v>460</v>
      </c>
      <c r="G77" s="98">
        <v>3</v>
      </c>
      <c r="H77" s="98" t="str">
        <f t="shared" si="5"/>
        <v>BSS-TC-23187 TC_OBI_PMRBE_006_CR109_PM 1.4_Missed detail report_Email Functionality_No condition</v>
      </c>
      <c r="I77" s="98" t="s">
        <v>630</v>
      </c>
      <c r="J77" s="98" t="s">
        <v>80</v>
      </c>
      <c r="K77" s="98" t="s">
        <v>631</v>
      </c>
    </row>
    <row r="78" spans="2:14" x14ac:dyDescent="0.25">
      <c r="B78" s="98" t="s">
        <v>850</v>
      </c>
      <c r="C78" s="98" t="s">
        <v>647</v>
      </c>
      <c r="D78" s="98" t="s">
        <v>631</v>
      </c>
      <c r="E78" s="98" t="s">
        <v>462</v>
      </c>
      <c r="F78" s="98" t="s">
        <v>460</v>
      </c>
      <c r="G78" s="98">
        <v>4</v>
      </c>
      <c r="H78" s="98" t="str">
        <f t="shared" si="5"/>
        <v>BSS-TC-23187 TC_OBI_PMRBE_006_CR109_PM 1.4_Missed detail report_Email Functionality_No condition</v>
      </c>
      <c r="I78" s="98" t="s">
        <v>630</v>
      </c>
      <c r="J78" s="98" t="s">
        <v>483</v>
      </c>
      <c r="K78" s="98" t="s">
        <v>631</v>
      </c>
    </row>
    <row r="79" spans="2:14" x14ac:dyDescent="0.25">
      <c r="B79" s="98" t="s">
        <v>850</v>
      </c>
      <c r="C79" s="98" t="s">
        <v>647</v>
      </c>
      <c r="D79" s="98" t="s">
        <v>631</v>
      </c>
      <c r="E79" s="98" t="s">
        <v>18</v>
      </c>
      <c r="F79" s="98" t="s">
        <v>460</v>
      </c>
      <c r="G79" s="98">
        <v>5</v>
      </c>
      <c r="H79" s="98" t="str">
        <f t="shared" si="5"/>
        <v>BSS-TC-23187 TC_OBI_PMRBE_006_CR109_PM 1.4_Missed detail report_Email Functionality_No condition</v>
      </c>
      <c r="I79" s="98" t="s">
        <v>630</v>
      </c>
      <c r="J79" s="98" t="s">
        <v>20</v>
      </c>
      <c r="K79" s="98" t="s">
        <v>631</v>
      </c>
    </row>
    <row r="80" spans="2:14" x14ac:dyDescent="0.25">
      <c r="B80" s="98" t="s">
        <v>850</v>
      </c>
      <c r="C80" s="98" t="s">
        <v>647</v>
      </c>
      <c r="D80" s="98" t="s">
        <v>631</v>
      </c>
      <c r="E80" s="98" t="s">
        <v>21</v>
      </c>
      <c r="F80" s="98" t="s">
        <v>460</v>
      </c>
      <c r="G80" s="98">
        <v>6</v>
      </c>
      <c r="H80" s="98" t="str">
        <f t="shared" si="5"/>
        <v>BSS-TC-23187 TC_OBI_PMRBE_006_CR109_PM 1.4_Missed detail report_Email Functionality_No condition</v>
      </c>
      <c r="I80" s="98" t="s">
        <v>630</v>
      </c>
      <c r="J80" s="98" t="s">
        <v>448</v>
      </c>
      <c r="K80" s="98" t="s">
        <v>631</v>
      </c>
    </row>
    <row r="81" spans="2:11" x14ac:dyDescent="0.25">
      <c r="B81" s="98" t="s">
        <v>850</v>
      </c>
      <c r="C81" s="98" t="s">
        <v>647</v>
      </c>
      <c r="D81" s="98" t="s">
        <v>631</v>
      </c>
      <c r="E81" s="98" t="s">
        <v>449</v>
      </c>
      <c r="F81" s="98" t="s">
        <v>460</v>
      </c>
      <c r="G81" s="98">
        <v>7</v>
      </c>
      <c r="H81" s="98" t="str">
        <f t="shared" si="5"/>
        <v>BSS-TC-23187 TC_OBI_PMRBE_006_CR109_PM 1.4_Missed detail report_Email Functionality_No condition</v>
      </c>
      <c r="I81" s="98" t="s">
        <v>630</v>
      </c>
      <c r="J81" s="98" t="s">
        <v>467</v>
      </c>
      <c r="K81" s="98" t="s">
        <v>631</v>
      </c>
    </row>
    <row r="82" spans="2:11" x14ac:dyDescent="0.25">
      <c r="B82" s="98" t="s">
        <v>850</v>
      </c>
      <c r="C82" s="98" t="s">
        <v>647</v>
      </c>
      <c r="D82" s="98" t="s">
        <v>631</v>
      </c>
      <c r="E82" s="98" t="s">
        <v>468</v>
      </c>
      <c r="F82" s="98" t="s">
        <v>460</v>
      </c>
      <c r="G82" s="98">
        <v>8</v>
      </c>
      <c r="H82" s="98" t="str">
        <f t="shared" si="5"/>
        <v>BSS-TC-23187 TC_OBI_PMRBE_006_CR109_PM 1.4_Missed detail report_Email Functionality_No condition</v>
      </c>
      <c r="I82" s="98" t="s">
        <v>630</v>
      </c>
      <c r="J82" s="98" t="s">
        <v>469</v>
      </c>
      <c r="K82" s="98" t="s">
        <v>631</v>
      </c>
    </row>
    <row r="83" spans="2:11" x14ac:dyDescent="0.25">
      <c r="B83" s="98" t="s">
        <v>850</v>
      </c>
      <c r="C83" s="98" t="s">
        <v>647</v>
      </c>
      <c r="D83" s="98" t="s">
        <v>631</v>
      </c>
      <c r="E83" s="98" t="s">
        <v>470</v>
      </c>
      <c r="F83" s="98" t="s">
        <v>460</v>
      </c>
      <c r="G83" s="98">
        <v>9</v>
      </c>
      <c r="H83" s="98" t="str">
        <f t="shared" si="5"/>
        <v>BSS-TC-23187 TC_OBI_PMRBE_006_CR109_PM 1.4_Missed detail report_Email Functionality_No condition</v>
      </c>
      <c r="I83" s="98" t="s">
        <v>630</v>
      </c>
      <c r="J83" s="98" t="s">
        <v>471</v>
      </c>
      <c r="K83" s="98" t="s">
        <v>631</v>
      </c>
    </row>
    <row r="84" spans="2:11" x14ac:dyDescent="0.25">
      <c r="B84" s="98" t="s">
        <v>850</v>
      </c>
      <c r="C84" s="98" t="s">
        <v>647</v>
      </c>
      <c r="D84" s="98" t="s">
        <v>631</v>
      </c>
      <c r="E84" s="98" t="s">
        <v>472</v>
      </c>
      <c r="F84" s="98" t="s">
        <v>460</v>
      </c>
      <c r="G84" s="98">
        <v>10</v>
      </c>
      <c r="H84" s="98" t="str">
        <f t="shared" si="5"/>
        <v>BSS-TC-23187 TC_OBI_PMRBE_006_CR109_PM 1.4_Missed detail report_Email Functionality_No condition</v>
      </c>
      <c r="I84" s="98" t="s">
        <v>630</v>
      </c>
      <c r="J84" s="98" t="s">
        <v>473</v>
      </c>
      <c r="K84" s="98" t="s">
        <v>631</v>
      </c>
    </row>
    <row r="85" spans="2:11" x14ac:dyDescent="0.25">
      <c r="B85" s="98" t="s">
        <v>850</v>
      </c>
      <c r="C85" s="98" t="s">
        <v>647</v>
      </c>
      <c r="D85" s="98" t="s">
        <v>631</v>
      </c>
      <c r="E85" s="98" t="s">
        <v>474</v>
      </c>
      <c r="F85" s="98" t="s">
        <v>460</v>
      </c>
      <c r="G85" s="98">
        <v>11</v>
      </c>
      <c r="H85" s="98" t="str">
        <f t="shared" si="5"/>
        <v>BSS-TC-23187 TC_OBI_PMRBE_006_CR109_PM 1.4_Missed detail report_Email Functionality_No condition</v>
      </c>
      <c r="I85" s="98" t="s">
        <v>630</v>
      </c>
      <c r="J85" s="98" t="s">
        <v>476</v>
      </c>
      <c r="K85" s="98" t="s">
        <v>475</v>
      </c>
    </row>
    <row r="86" spans="2:11" x14ac:dyDescent="0.25">
      <c r="B86" s="98" t="s">
        <v>851</v>
      </c>
      <c r="C86" s="98" t="s">
        <v>224</v>
      </c>
      <c r="D86" s="98" t="s">
        <v>648</v>
      </c>
      <c r="E86" s="98" t="s">
        <v>649</v>
      </c>
      <c r="F86" s="98" t="s">
        <v>225</v>
      </c>
      <c r="G86" s="98">
        <v>1</v>
      </c>
      <c r="H86" s="98" t="str">
        <f t="shared" ref="H86:H93" si="6">HYPERLINK("http://rms/perspective.req?projectId=233&amp;docId=959368","BSS-TC-23152 TC_OBI_PM 1.4_009_Missed detail report _Days taken to re-assign incident to SU_field validation")</f>
        <v>BSS-TC-23152 TC_OBI_PM 1.4_009_Missed detail report _Days taken to re-assign incident to SU_field validation</v>
      </c>
      <c r="I86" s="98" t="s">
        <v>630</v>
      </c>
      <c r="J86" s="98" t="s">
        <v>80</v>
      </c>
      <c r="K86" s="98" t="s">
        <v>517</v>
      </c>
    </row>
    <row r="87" spans="2:11" x14ac:dyDescent="0.25">
      <c r="B87" s="98" t="s">
        <v>851</v>
      </c>
      <c r="C87" s="98" t="s">
        <v>224</v>
      </c>
      <c r="D87" s="98" t="s">
        <v>648</v>
      </c>
      <c r="E87" s="98" t="s">
        <v>18</v>
      </c>
      <c r="F87" s="98" t="s">
        <v>225</v>
      </c>
      <c r="G87" s="98">
        <v>2</v>
      </c>
      <c r="H87" s="98" t="str">
        <f t="shared" si="6"/>
        <v>BSS-TC-23152 TC_OBI_PM 1.4_009_Missed detail report _Days taken to re-assign incident to SU_field validation</v>
      </c>
      <c r="I87" s="98" t="s">
        <v>630</v>
      </c>
      <c r="J87" s="98" t="s">
        <v>20</v>
      </c>
      <c r="K87" s="98" t="s">
        <v>631</v>
      </c>
    </row>
    <row r="88" spans="2:11" x14ac:dyDescent="0.25">
      <c r="B88" s="98" t="s">
        <v>851</v>
      </c>
      <c r="C88" s="98" t="s">
        <v>224</v>
      </c>
      <c r="D88" s="98" t="s">
        <v>648</v>
      </c>
      <c r="E88" s="98" t="s">
        <v>21</v>
      </c>
      <c r="F88" s="98" t="s">
        <v>225</v>
      </c>
      <c r="G88" s="98">
        <v>3</v>
      </c>
      <c r="H88" s="98" t="str">
        <f t="shared" si="6"/>
        <v>BSS-TC-23152 TC_OBI_PM 1.4_009_Missed detail report _Days taken to re-assign incident to SU_field validation</v>
      </c>
      <c r="I88" s="98" t="s">
        <v>630</v>
      </c>
      <c r="J88" s="98" t="s">
        <v>22</v>
      </c>
      <c r="K88" s="98" t="s">
        <v>631</v>
      </c>
    </row>
    <row r="89" spans="2:11" x14ac:dyDescent="0.25">
      <c r="B89" s="98" t="s">
        <v>851</v>
      </c>
      <c r="C89" s="98" t="s">
        <v>224</v>
      </c>
      <c r="D89" s="98" t="s">
        <v>648</v>
      </c>
      <c r="E89" s="98" t="s">
        <v>23</v>
      </c>
      <c r="F89" s="98" t="s">
        <v>225</v>
      </c>
      <c r="G89" s="98">
        <v>4</v>
      </c>
      <c r="H89" s="98" t="str">
        <f t="shared" si="6"/>
        <v>BSS-TC-23152 TC_OBI_PM 1.4_009_Missed detail report _Days taken to re-assign incident to SU_field validation</v>
      </c>
      <c r="I89" s="98" t="s">
        <v>630</v>
      </c>
      <c r="J89" s="98" t="s">
        <v>41</v>
      </c>
      <c r="K89" s="98" t="s">
        <v>631</v>
      </c>
    </row>
    <row r="90" spans="2:11" x14ac:dyDescent="0.25">
      <c r="B90" s="98" t="s">
        <v>851</v>
      </c>
      <c r="C90" s="98" t="s">
        <v>224</v>
      </c>
      <c r="D90" s="98" t="s">
        <v>648</v>
      </c>
      <c r="E90" s="98" t="s">
        <v>43</v>
      </c>
      <c r="F90" s="98" t="s">
        <v>225</v>
      </c>
      <c r="G90" s="98">
        <v>5</v>
      </c>
      <c r="H90" s="98" t="str">
        <f t="shared" si="6"/>
        <v>BSS-TC-23152 TC_OBI_PM 1.4_009_Missed detail report _Days taken to re-assign incident to SU_field validation</v>
      </c>
      <c r="I90" s="98" t="s">
        <v>630</v>
      </c>
      <c r="J90" s="98" t="s">
        <v>44</v>
      </c>
      <c r="K90" s="98" t="s">
        <v>631</v>
      </c>
    </row>
    <row r="91" spans="2:11" x14ac:dyDescent="0.25">
      <c r="B91" s="98" t="s">
        <v>851</v>
      </c>
      <c r="C91" s="98" t="s">
        <v>224</v>
      </c>
      <c r="D91" s="98" t="s">
        <v>648</v>
      </c>
      <c r="E91" s="98" t="s">
        <v>25</v>
      </c>
      <c r="F91" s="98" t="s">
        <v>225</v>
      </c>
      <c r="G91" s="98">
        <v>6</v>
      </c>
      <c r="H91" s="98" t="str">
        <f t="shared" si="6"/>
        <v>BSS-TC-23152 TC_OBI_PM 1.4_009_Missed detail report _Days taken to re-assign incident to SU_field validation</v>
      </c>
      <c r="I91" s="98" t="s">
        <v>630</v>
      </c>
      <c r="J91" s="98" t="s">
        <v>27</v>
      </c>
      <c r="K91" s="98" t="s">
        <v>631</v>
      </c>
    </row>
    <row r="92" spans="2:11" x14ac:dyDescent="0.25">
      <c r="B92" s="98" t="s">
        <v>851</v>
      </c>
      <c r="C92" s="98" t="s">
        <v>224</v>
      </c>
      <c r="D92" s="98" t="s">
        <v>648</v>
      </c>
      <c r="E92" s="98" t="s">
        <v>50</v>
      </c>
      <c r="F92" s="98" t="s">
        <v>225</v>
      </c>
      <c r="G92" s="98">
        <v>7</v>
      </c>
      <c r="H92" s="98" t="str">
        <f t="shared" si="6"/>
        <v>BSS-TC-23152 TC_OBI_PM 1.4_009_Missed detail report _Days taken to re-assign incident to SU_field validation</v>
      </c>
      <c r="I92" s="98" t="s">
        <v>630</v>
      </c>
      <c r="J92" s="98" t="s">
        <v>226</v>
      </c>
      <c r="K92" s="98" t="s">
        <v>631</v>
      </c>
    </row>
    <row r="93" spans="2:11" x14ac:dyDescent="0.25">
      <c r="B93" s="98" t="s">
        <v>851</v>
      </c>
      <c r="C93" s="98" t="s">
        <v>224</v>
      </c>
      <c r="D93" s="98" t="s">
        <v>648</v>
      </c>
      <c r="E93" s="98" t="s">
        <v>650</v>
      </c>
      <c r="F93" s="98" t="s">
        <v>225</v>
      </c>
      <c r="G93" s="98">
        <v>8</v>
      </c>
      <c r="H93" s="98" t="str">
        <f t="shared" si="6"/>
        <v>BSS-TC-23152 TC_OBI_PM 1.4_009_Missed detail report _Days taken to re-assign incident to SU_field validation</v>
      </c>
      <c r="I93" s="98" t="s">
        <v>630</v>
      </c>
      <c r="J93" s="98" t="s">
        <v>651</v>
      </c>
      <c r="K93" s="98" t="s">
        <v>147</v>
      </c>
    </row>
    <row r="94" spans="2:11" x14ac:dyDescent="0.25">
      <c r="B94" s="98" t="s">
        <v>852</v>
      </c>
      <c r="C94" s="98" t="s">
        <v>235</v>
      </c>
      <c r="D94" s="98" t="s">
        <v>631</v>
      </c>
      <c r="E94" s="98" t="s">
        <v>652</v>
      </c>
      <c r="F94" s="98" t="s">
        <v>234</v>
      </c>
      <c r="G94" s="98">
        <v>1</v>
      </c>
      <c r="H94" s="98" t="str">
        <f t="shared" ref="H94:H101" si="7">HYPERLINK("http://rms/perspective.req?projectId=233&amp;docId=959369","BSS-TC-23153 TC_OBI_PM 1.4_010_Missed detail report _Incident first assigned to SU_field validation")</f>
        <v>BSS-TC-23153 TC_OBI_PM 1.4_010_Missed detail report _Incident first assigned to SU_field validation</v>
      </c>
      <c r="I94" s="98" t="s">
        <v>630</v>
      </c>
      <c r="J94" s="98" t="s">
        <v>80</v>
      </c>
      <c r="K94" s="98" t="s">
        <v>517</v>
      </c>
    </row>
    <row r="95" spans="2:11" x14ac:dyDescent="0.25">
      <c r="B95" s="98" t="s">
        <v>852</v>
      </c>
      <c r="C95" s="98" t="s">
        <v>235</v>
      </c>
      <c r="D95" s="98" t="s">
        <v>631</v>
      </c>
      <c r="E95" s="98" t="s">
        <v>18</v>
      </c>
      <c r="F95" s="98" t="s">
        <v>234</v>
      </c>
      <c r="G95" s="98">
        <v>2</v>
      </c>
      <c r="H95" s="98" t="str">
        <f t="shared" si="7"/>
        <v>BSS-TC-23153 TC_OBI_PM 1.4_010_Missed detail report _Incident first assigned to SU_field validation</v>
      </c>
      <c r="I95" s="98" t="s">
        <v>630</v>
      </c>
      <c r="J95" s="98" t="s">
        <v>20</v>
      </c>
      <c r="K95" s="98" t="s">
        <v>631</v>
      </c>
    </row>
    <row r="96" spans="2:11" x14ac:dyDescent="0.25">
      <c r="B96" s="98" t="s">
        <v>852</v>
      </c>
      <c r="C96" s="98" t="s">
        <v>235</v>
      </c>
      <c r="D96" s="98" t="s">
        <v>631</v>
      </c>
      <c r="E96" s="98" t="s">
        <v>21</v>
      </c>
      <c r="F96" s="98" t="s">
        <v>234</v>
      </c>
      <c r="G96" s="98">
        <v>3</v>
      </c>
      <c r="H96" s="98" t="str">
        <f t="shared" si="7"/>
        <v>BSS-TC-23153 TC_OBI_PM 1.4_010_Missed detail report _Incident first assigned to SU_field validation</v>
      </c>
      <c r="I96" s="98" t="s">
        <v>630</v>
      </c>
      <c r="J96" s="98" t="s">
        <v>22</v>
      </c>
      <c r="K96" s="98" t="s">
        <v>631</v>
      </c>
    </row>
    <row r="97" spans="2:11" x14ac:dyDescent="0.25">
      <c r="B97" s="98" t="s">
        <v>852</v>
      </c>
      <c r="C97" s="98" t="s">
        <v>235</v>
      </c>
      <c r="D97" s="98" t="s">
        <v>631</v>
      </c>
      <c r="E97" s="98" t="s">
        <v>23</v>
      </c>
      <c r="F97" s="98" t="s">
        <v>234</v>
      </c>
      <c r="G97" s="98">
        <v>4</v>
      </c>
      <c r="H97" s="98" t="str">
        <f t="shared" si="7"/>
        <v>BSS-TC-23153 TC_OBI_PM 1.4_010_Missed detail report _Incident first assigned to SU_field validation</v>
      </c>
      <c r="I97" s="98" t="s">
        <v>630</v>
      </c>
      <c r="J97" s="98" t="s">
        <v>41</v>
      </c>
      <c r="K97" s="98" t="s">
        <v>631</v>
      </c>
    </row>
    <row r="98" spans="2:11" x14ac:dyDescent="0.25">
      <c r="B98" s="98" t="s">
        <v>852</v>
      </c>
      <c r="C98" s="98" t="s">
        <v>235</v>
      </c>
      <c r="D98" s="98" t="s">
        <v>631</v>
      </c>
      <c r="E98" s="98" t="s">
        <v>43</v>
      </c>
      <c r="F98" s="98" t="s">
        <v>234</v>
      </c>
      <c r="G98" s="98">
        <v>5</v>
      </c>
      <c r="H98" s="98" t="str">
        <f t="shared" si="7"/>
        <v>BSS-TC-23153 TC_OBI_PM 1.4_010_Missed detail report _Incident first assigned to SU_field validation</v>
      </c>
      <c r="I98" s="98" t="s">
        <v>630</v>
      </c>
      <c r="J98" s="98" t="s">
        <v>44</v>
      </c>
      <c r="K98" s="98" t="s">
        <v>631</v>
      </c>
    </row>
    <row r="99" spans="2:11" x14ac:dyDescent="0.25">
      <c r="B99" s="98" t="s">
        <v>852</v>
      </c>
      <c r="C99" s="98" t="s">
        <v>235</v>
      </c>
      <c r="D99" s="98" t="s">
        <v>631</v>
      </c>
      <c r="E99" s="98" t="s">
        <v>25</v>
      </c>
      <c r="F99" s="98" t="s">
        <v>234</v>
      </c>
      <c r="G99" s="98">
        <v>6</v>
      </c>
      <c r="H99" s="98" t="str">
        <f t="shared" si="7"/>
        <v>BSS-TC-23153 TC_OBI_PM 1.4_010_Missed detail report _Incident first assigned to SU_field validation</v>
      </c>
      <c r="I99" s="98" t="s">
        <v>630</v>
      </c>
      <c r="J99" s="98" t="s">
        <v>27</v>
      </c>
      <c r="K99" s="98" t="s">
        <v>631</v>
      </c>
    </row>
    <row r="100" spans="2:11" x14ac:dyDescent="0.25">
      <c r="B100" s="98" t="s">
        <v>852</v>
      </c>
      <c r="C100" s="98" t="s">
        <v>235</v>
      </c>
      <c r="D100" s="98" t="s">
        <v>631</v>
      </c>
      <c r="E100" s="98" t="s">
        <v>50</v>
      </c>
      <c r="F100" s="98" t="s">
        <v>234</v>
      </c>
      <c r="G100" s="98">
        <v>7</v>
      </c>
      <c r="H100" s="98" t="str">
        <f t="shared" si="7"/>
        <v>BSS-TC-23153 TC_OBI_PM 1.4_010_Missed detail report _Incident first assigned to SU_field validation</v>
      </c>
      <c r="I100" s="98" t="s">
        <v>630</v>
      </c>
      <c r="J100" s="98" t="s">
        <v>226</v>
      </c>
      <c r="K100" s="98" t="s">
        <v>631</v>
      </c>
    </row>
    <row r="101" spans="2:11" x14ac:dyDescent="0.25">
      <c r="B101" s="98" t="s">
        <v>852</v>
      </c>
      <c r="C101" s="98" t="s">
        <v>235</v>
      </c>
      <c r="D101" s="98" t="s">
        <v>631</v>
      </c>
      <c r="E101" s="98" t="s">
        <v>650</v>
      </c>
      <c r="F101" s="98" t="s">
        <v>234</v>
      </c>
      <c r="G101" s="98">
        <v>8</v>
      </c>
      <c r="H101" s="98" t="str">
        <f t="shared" si="7"/>
        <v>BSS-TC-23153 TC_OBI_PM 1.4_010_Missed detail report _Incident first assigned to SU_field validation</v>
      </c>
      <c r="I101" s="98" t="s">
        <v>630</v>
      </c>
      <c r="J101" s="98" t="s">
        <v>651</v>
      </c>
      <c r="K101" s="98" t="s">
        <v>147</v>
      </c>
    </row>
    <row r="102" spans="2:11" x14ac:dyDescent="0.25">
      <c r="B102" s="98" t="s">
        <v>853</v>
      </c>
      <c r="C102" s="98" t="s">
        <v>653</v>
      </c>
      <c r="D102" s="98" t="s">
        <v>631</v>
      </c>
      <c r="E102" s="98" t="s">
        <v>18</v>
      </c>
      <c r="F102" s="98" t="s">
        <v>654</v>
      </c>
      <c r="G102" s="98">
        <v>1</v>
      </c>
      <c r="H102" s="98" t="str">
        <f t="shared" ref="H102:H117" si="8">HYPERLINK("http://rms/perspective.req?projectId=233&amp;docId=976497","BSS-TC-25087 TC_OBI_PM 1.4_001_Summary_Midlevel_Detail_Level _Reports_report_Footer Validation")</f>
        <v>BSS-TC-25087 TC_OBI_PM 1.4_001_Summary_Midlevel_Detail_Level _Reports_report_Footer Validation</v>
      </c>
      <c r="I102" s="98" t="s">
        <v>630</v>
      </c>
      <c r="J102" s="98" t="s">
        <v>20</v>
      </c>
      <c r="K102" s="98" t="s">
        <v>631</v>
      </c>
    </row>
    <row r="103" spans="2:11" x14ac:dyDescent="0.25">
      <c r="B103" s="98" t="s">
        <v>853</v>
      </c>
      <c r="C103" s="98" t="s">
        <v>653</v>
      </c>
      <c r="D103" s="98" t="s">
        <v>631</v>
      </c>
      <c r="E103" s="98" t="s">
        <v>21</v>
      </c>
      <c r="F103" s="98" t="s">
        <v>654</v>
      </c>
      <c r="G103" s="98">
        <v>2</v>
      </c>
      <c r="H103" s="98" t="str">
        <f t="shared" si="8"/>
        <v>BSS-TC-25087 TC_OBI_PM 1.4_001_Summary_Midlevel_Detail_Level _Reports_report_Footer Validation</v>
      </c>
      <c r="I103" s="98" t="s">
        <v>630</v>
      </c>
      <c r="J103" s="98" t="s">
        <v>22</v>
      </c>
      <c r="K103" s="98" t="s">
        <v>631</v>
      </c>
    </row>
    <row r="104" spans="2:11" x14ac:dyDescent="0.25">
      <c r="B104" s="98" t="s">
        <v>853</v>
      </c>
      <c r="C104" s="98" t="s">
        <v>653</v>
      </c>
      <c r="D104" s="98" t="s">
        <v>631</v>
      </c>
      <c r="E104" s="98" t="s">
        <v>655</v>
      </c>
      <c r="F104" s="98" t="s">
        <v>654</v>
      </c>
      <c r="G104" s="98">
        <v>3</v>
      </c>
      <c r="H104" s="98" t="str">
        <f t="shared" si="8"/>
        <v>BSS-TC-25087 TC_OBI_PM 1.4_001_Summary_Midlevel_Detail_Level _Reports_report_Footer Validation</v>
      </c>
      <c r="I104" s="98" t="s">
        <v>630</v>
      </c>
      <c r="J104" s="98" t="s">
        <v>24</v>
      </c>
      <c r="K104" s="98" t="s">
        <v>631</v>
      </c>
    </row>
    <row r="105" spans="2:11" x14ac:dyDescent="0.25">
      <c r="B105" s="98" t="s">
        <v>853</v>
      </c>
      <c r="C105" s="98" t="s">
        <v>653</v>
      </c>
      <c r="D105" s="98" t="s">
        <v>631</v>
      </c>
      <c r="E105" s="98" t="s">
        <v>25</v>
      </c>
      <c r="F105" s="98" t="s">
        <v>654</v>
      </c>
      <c r="G105" s="98">
        <v>4</v>
      </c>
      <c r="H105" s="98" t="str">
        <f t="shared" si="8"/>
        <v>BSS-TC-25087 TC_OBI_PM 1.4_001_Summary_Midlevel_Detail_Level _Reports_report_Footer Validation</v>
      </c>
      <c r="I105" s="98" t="s">
        <v>630</v>
      </c>
      <c r="J105" s="98" t="s">
        <v>27</v>
      </c>
      <c r="K105" s="98" t="s">
        <v>631</v>
      </c>
    </row>
    <row r="106" spans="2:11" x14ac:dyDescent="0.25">
      <c r="B106" s="98" t="s">
        <v>853</v>
      </c>
      <c r="C106" s="98" t="s">
        <v>653</v>
      </c>
      <c r="D106" s="98" t="s">
        <v>631</v>
      </c>
      <c r="E106" s="98" t="s">
        <v>656</v>
      </c>
      <c r="F106" s="98" t="s">
        <v>654</v>
      </c>
      <c r="G106" s="98">
        <v>5</v>
      </c>
      <c r="H106" s="98" t="str">
        <f t="shared" si="8"/>
        <v>BSS-TC-25087 TC_OBI_PM 1.4_001_Summary_Midlevel_Detail_Level _Reports_report_Footer Validation</v>
      </c>
      <c r="I106" s="98" t="s">
        <v>630</v>
      </c>
      <c r="J106" s="98" t="s">
        <v>657</v>
      </c>
      <c r="K106" s="98" t="s">
        <v>658</v>
      </c>
    </row>
    <row r="107" spans="2:11" x14ac:dyDescent="0.25">
      <c r="B107" s="98" t="s">
        <v>853</v>
      </c>
      <c r="C107" s="98" t="s">
        <v>653</v>
      </c>
      <c r="D107" s="98" t="s">
        <v>631</v>
      </c>
      <c r="E107" s="98" t="s">
        <v>659</v>
      </c>
      <c r="F107" s="98" t="s">
        <v>654</v>
      </c>
      <c r="G107" s="98">
        <v>6</v>
      </c>
      <c r="H107" s="98" t="str">
        <f t="shared" si="8"/>
        <v>BSS-TC-25087 TC_OBI_PM 1.4_001_Summary_Midlevel_Detail_Level _Reports_report_Footer Validation</v>
      </c>
      <c r="I107" s="98" t="s">
        <v>630</v>
      </c>
      <c r="J107" s="98" t="s">
        <v>660</v>
      </c>
      <c r="K107" s="98" t="s">
        <v>661</v>
      </c>
    </row>
    <row r="108" spans="2:11" x14ac:dyDescent="0.25">
      <c r="B108" s="98" t="s">
        <v>853</v>
      </c>
      <c r="C108" s="98" t="s">
        <v>653</v>
      </c>
      <c r="D108" s="98" t="s">
        <v>631</v>
      </c>
      <c r="E108" s="98" t="s">
        <v>662</v>
      </c>
      <c r="F108" s="98" t="s">
        <v>654</v>
      </c>
      <c r="G108" s="98">
        <v>7</v>
      </c>
      <c r="H108" s="98" t="str">
        <f t="shared" si="8"/>
        <v>BSS-TC-25087 TC_OBI_PM 1.4_001_Summary_Midlevel_Detail_Level _Reports_report_Footer Validation</v>
      </c>
      <c r="I108" s="98" t="s">
        <v>630</v>
      </c>
      <c r="J108" s="98" t="s">
        <v>284</v>
      </c>
      <c r="K108" s="98" t="s">
        <v>631</v>
      </c>
    </row>
    <row r="109" spans="2:11" x14ac:dyDescent="0.25">
      <c r="B109" s="98" t="s">
        <v>853</v>
      </c>
      <c r="C109" s="98" t="s">
        <v>653</v>
      </c>
      <c r="D109" s="98" t="s">
        <v>631</v>
      </c>
      <c r="E109" s="98" t="s">
        <v>656</v>
      </c>
      <c r="F109" s="98" t="s">
        <v>654</v>
      </c>
      <c r="G109" s="98">
        <v>8</v>
      </c>
      <c r="H109" s="98" t="str">
        <f t="shared" si="8"/>
        <v>BSS-TC-25087 TC_OBI_PM 1.4_001_Summary_Midlevel_Detail_Level _Reports_report_Footer Validation</v>
      </c>
      <c r="I109" s="98" t="s">
        <v>630</v>
      </c>
      <c r="J109" s="98" t="s">
        <v>657</v>
      </c>
      <c r="K109" s="98" t="s">
        <v>663</v>
      </c>
    </row>
    <row r="110" spans="2:11" x14ac:dyDescent="0.25">
      <c r="B110" s="98" t="s">
        <v>853</v>
      </c>
      <c r="C110" s="98" t="s">
        <v>653</v>
      </c>
      <c r="D110" s="98" t="s">
        <v>631</v>
      </c>
      <c r="E110" s="98" t="s">
        <v>659</v>
      </c>
      <c r="F110" s="98" t="s">
        <v>654</v>
      </c>
      <c r="G110" s="98">
        <v>9</v>
      </c>
      <c r="H110" s="98" t="str">
        <f t="shared" si="8"/>
        <v>BSS-TC-25087 TC_OBI_PM 1.4_001_Summary_Midlevel_Detail_Level _Reports_report_Footer Validation</v>
      </c>
      <c r="I110" s="98" t="s">
        <v>630</v>
      </c>
      <c r="J110" s="98" t="s">
        <v>660</v>
      </c>
      <c r="K110" s="98" t="s">
        <v>664</v>
      </c>
    </row>
    <row r="111" spans="2:11" x14ac:dyDescent="0.25">
      <c r="B111" s="98" t="s">
        <v>853</v>
      </c>
      <c r="C111" s="98" t="s">
        <v>653</v>
      </c>
      <c r="D111" s="98" t="s">
        <v>631</v>
      </c>
      <c r="E111" s="98" t="s">
        <v>352</v>
      </c>
      <c r="F111" s="98" t="s">
        <v>654</v>
      </c>
      <c r="G111" s="98">
        <v>10</v>
      </c>
      <c r="H111" s="98" t="str">
        <f t="shared" si="8"/>
        <v>BSS-TC-25087 TC_OBI_PM 1.4_001_Summary_Midlevel_Detail_Level _Reports_report_Footer Validation</v>
      </c>
      <c r="I111" s="98" t="s">
        <v>630</v>
      </c>
      <c r="J111" s="98" t="s">
        <v>665</v>
      </c>
      <c r="K111" s="98" t="s">
        <v>631</v>
      </c>
    </row>
    <row r="112" spans="2:11" x14ac:dyDescent="0.25">
      <c r="B112" s="98" t="s">
        <v>853</v>
      </c>
      <c r="C112" s="98" t="s">
        <v>653</v>
      </c>
      <c r="D112" s="98" t="s">
        <v>631</v>
      </c>
      <c r="E112" s="98" t="s">
        <v>656</v>
      </c>
      <c r="F112" s="98" t="s">
        <v>654</v>
      </c>
      <c r="G112" s="98">
        <v>11</v>
      </c>
      <c r="H112" s="98" t="str">
        <f t="shared" si="8"/>
        <v>BSS-TC-25087 TC_OBI_PM 1.4_001_Summary_Midlevel_Detail_Level _Reports_report_Footer Validation</v>
      </c>
      <c r="I112" s="98" t="s">
        <v>630</v>
      </c>
      <c r="J112" s="98" t="s">
        <v>657</v>
      </c>
      <c r="K112" s="98" t="s">
        <v>666</v>
      </c>
    </row>
    <row r="113" spans="2:11" x14ac:dyDescent="0.25">
      <c r="B113" s="98" t="s">
        <v>853</v>
      </c>
      <c r="C113" s="98" t="s">
        <v>653</v>
      </c>
      <c r="D113" s="98" t="s">
        <v>631</v>
      </c>
      <c r="E113" s="98" t="s">
        <v>659</v>
      </c>
      <c r="F113" s="98" t="s">
        <v>654</v>
      </c>
      <c r="G113" s="98">
        <v>12</v>
      </c>
      <c r="H113" s="98" t="str">
        <f t="shared" si="8"/>
        <v>BSS-TC-25087 TC_OBI_PM 1.4_001_Summary_Midlevel_Detail_Level _Reports_report_Footer Validation</v>
      </c>
      <c r="I113" s="98" t="s">
        <v>630</v>
      </c>
      <c r="J113" s="98" t="s">
        <v>660</v>
      </c>
      <c r="K113" s="98" t="s">
        <v>667</v>
      </c>
    </row>
    <row r="114" spans="2:11" x14ac:dyDescent="0.25">
      <c r="B114" s="98" t="s">
        <v>853</v>
      </c>
      <c r="C114" s="98" t="s">
        <v>653</v>
      </c>
      <c r="D114" s="98" t="s">
        <v>631</v>
      </c>
      <c r="E114" s="98" t="s">
        <v>668</v>
      </c>
      <c r="F114" s="98" t="s">
        <v>654</v>
      </c>
      <c r="G114" s="98">
        <v>13</v>
      </c>
      <c r="H114" s="98" t="str">
        <f t="shared" si="8"/>
        <v>BSS-TC-25087 TC_OBI_PM 1.4_001_Summary_Midlevel_Detail_Level _Reports_report_Footer Validation</v>
      </c>
      <c r="I114" s="98" t="s">
        <v>630</v>
      </c>
      <c r="J114" s="98" t="s">
        <v>669</v>
      </c>
      <c r="K114" s="98" t="s">
        <v>631</v>
      </c>
    </row>
    <row r="115" spans="2:11" x14ac:dyDescent="0.25">
      <c r="B115" s="98" t="s">
        <v>853</v>
      </c>
      <c r="C115" s="98" t="s">
        <v>653</v>
      </c>
      <c r="D115" s="98" t="s">
        <v>631</v>
      </c>
      <c r="E115" s="98" t="s">
        <v>271</v>
      </c>
      <c r="F115" s="98" t="s">
        <v>654</v>
      </c>
      <c r="G115" s="98">
        <v>14</v>
      </c>
      <c r="H115" s="98" t="str">
        <f t="shared" si="8"/>
        <v>BSS-TC-25087 TC_OBI_PM 1.4_001_Summary_Midlevel_Detail_Level _Reports_report_Footer Validation</v>
      </c>
      <c r="I115" s="98" t="s">
        <v>630</v>
      </c>
      <c r="J115" s="98" t="s">
        <v>53</v>
      </c>
      <c r="K115" s="98" t="s">
        <v>631</v>
      </c>
    </row>
    <row r="116" spans="2:11" x14ac:dyDescent="0.25">
      <c r="B116" s="98" t="s">
        <v>853</v>
      </c>
      <c r="C116" s="98" t="s">
        <v>653</v>
      </c>
      <c r="D116" s="98" t="s">
        <v>631</v>
      </c>
      <c r="E116" s="98" t="s">
        <v>656</v>
      </c>
      <c r="F116" s="98" t="s">
        <v>654</v>
      </c>
      <c r="G116" s="98">
        <v>15</v>
      </c>
      <c r="H116" s="98" t="str">
        <f t="shared" si="8"/>
        <v>BSS-TC-25087 TC_OBI_PM 1.4_001_Summary_Midlevel_Detail_Level _Reports_report_Footer Validation</v>
      </c>
      <c r="I116" s="98" t="s">
        <v>630</v>
      </c>
      <c r="J116" s="98" t="s">
        <v>657</v>
      </c>
      <c r="K116" s="98" t="s">
        <v>670</v>
      </c>
    </row>
    <row r="117" spans="2:11" x14ac:dyDescent="0.25">
      <c r="B117" s="98" t="s">
        <v>853</v>
      </c>
      <c r="C117" s="98" t="s">
        <v>653</v>
      </c>
      <c r="D117" s="98" t="s">
        <v>631</v>
      </c>
      <c r="E117" s="98" t="s">
        <v>659</v>
      </c>
      <c r="F117" s="98" t="s">
        <v>654</v>
      </c>
      <c r="G117" s="98">
        <v>16</v>
      </c>
      <c r="H117" s="98" t="str">
        <f t="shared" si="8"/>
        <v>BSS-TC-25087 TC_OBI_PM 1.4_001_Summary_Midlevel_Detail_Level _Reports_report_Footer Validation</v>
      </c>
      <c r="I117" s="98" t="s">
        <v>630</v>
      </c>
      <c r="J117" s="98" t="s">
        <v>660</v>
      </c>
      <c r="K117" s="98" t="s">
        <v>671</v>
      </c>
    </row>
    <row r="118" spans="2:11" x14ac:dyDescent="0.25">
      <c r="B118" s="98" t="s">
        <v>854</v>
      </c>
      <c r="C118" s="98" t="s">
        <v>672</v>
      </c>
      <c r="D118" s="98" t="s">
        <v>631</v>
      </c>
      <c r="E118" s="98" t="s">
        <v>18</v>
      </c>
      <c r="F118" s="98" t="s">
        <v>673</v>
      </c>
      <c r="G118" s="98">
        <v>1</v>
      </c>
      <c r="H118" s="98" t="str">
        <f t="shared" ref="H118:H145" si="9">HYPERLINK("http://rms/perspective.req?projectId=233&amp;docId=976498","BSS-TC-25088 TC_OBI_PM 1.4_002_Summary_Midlevel_Detail_Level _Reports_Print Functionality")</f>
        <v>BSS-TC-25088 TC_OBI_PM 1.4_002_Summary_Midlevel_Detail_Level _Reports_Print Functionality</v>
      </c>
      <c r="I118" s="98" t="s">
        <v>630</v>
      </c>
      <c r="J118" s="98" t="s">
        <v>20</v>
      </c>
      <c r="K118" s="98" t="s">
        <v>631</v>
      </c>
    </row>
    <row r="119" spans="2:11" x14ac:dyDescent="0.25">
      <c r="B119" s="98" t="s">
        <v>854</v>
      </c>
      <c r="C119" s="98" t="s">
        <v>672</v>
      </c>
      <c r="D119" s="98" t="s">
        <v>631</v>
      </c>
      <c r="E119" s="98" t="s">
        <v>21</v>
      </c>
      <c r="F119" s="98" t="s">
        <v>673</v>
      </c>
      <c r="G119" s="98">
        <v>2</v>
      </c>
      <c r="H119" s="98" t="str">
        <f t="shared" si="9"/>
        <v>BSS-TC-25088 TC_OBI_PM 1.4_002_Summary_Midlevel_Detail_Level _Reports_Print Functionality</v>
      </c>
      <c r="I119" s="98" t="s">
        <v>630</v>
      </c>
      <c r="J119" s="98" t="s">
        <v>22</v>
      </c>
      <c r="K119" s="98" t="s">
        <v>631</v>
      </c>
    </row>
    <row r="120" spans="2:11" x14ac:dyDescent="0.25">
      <c r="B120" s="98" t="s">
        <v>854</v>
      </c>
      <c r="C120" s="98" t="s">
        <v>672</v>
      </c>
      <c r="D120" s="98" t="s">
        <v>631</v>
      </c>
      <c r="E120" s="98" t="s">
        <v>655</v>
      </c>
      <c r="F120" s="98" t="s">
        <v>673</v>
      </c>
      <c r="G120" s="98">
        <v>3</v>
      </c>
      <c r="H120" s="98" t="str">
        <f t="shared" si="9"/>
        <v>BSS-TC-25088 TC_OBI_PM 1.4_002_Summary_Midlevel_Detail_Level _Reports_Print Functionality</v>
      </c>
      <c r="I120" s="98" t="s">
        <v>630</v>
      </c>
      <c r="J120" s="98" t="s">
        <v>24</v>
      </c>
      <c r="K120" s="98" t="s">
        <v>631</v>
      </c>
    </row>
    <row r="121" spans="2:11" x14ac:dyDescent="0.25">
      <c r="B121" s="98" t="s">
        <v>854</v>
      </c>
      <c r="C121" s="98" t="s">
        <v>672</v>
      </c>
      <c r="D121" s="98" t="s">
        <v>631</v>
      </c>
      <c r="E121" s="98" t="s">
        <v>25</v>
      </c>
      <c r="F121" s="98" t="s">
        <v>673</v>
      </c>
      <c r="G121" s="98">
        <v>4</v>
      </c>
      <c r="H121" s="98" t="str">
        <f t="shared" si="9"/>
        <v>BSS-TC-25088 TC_OBI_PM 1.4_002_Summary_Midlevel_Detail_Level _Reports_Print Functionality</v>
      </c>
      <c r="I121" s="98" t="s">
        <v>630</v>
      </c>
      <c r="J121" s="98" t="s">
        <v>27</v>
      </c>
      <c r="K121" s="98" t="s">
        <v>631</v>
      </c>
    </row>
    <row r="122" spans="2:11" x14ac:dyDescent="0.25">
      <c r="B122" s="98" t="s">
        <v>854</v>
      </c>
      <c r="C122" s="98" t="s">
        <v>672</v>
      </c>
      <c r="D122" s="98" t="s">
        <v>631</v>
      </c>
      <c r="E122" s="98" t="s">
        <v>674</v>
      </c>
      <c r="F122" s="98" t="s">
        <v>673</v>
      </c>
      <c r="G122" s="98">
        <v>5</v>
      </c>
      <c r="H122" s="98" t="str">
        <f t="shared" si="9"/>
        <v>BSS-TC-25088 TC_OBI_PM 1.4_002_Summary_Midlevel_Detail_Level _Reports_Print Functionality</v>
      </c>
      <c r="I122" s="98" t="s">
        <v>630</v>
      </c>
      <c r="J122" s="98" t="s">
        <v>675</v>
      </c>
      <c r="K122" s="98" t="s">
        <v>631</v>
      </c>
    </row>
    <row r="123" spans="2:11" x14ac:dyDescent="0.25">
      <c r="B123" s="98" t="s">
        <v>854</v>
      </c>
      <c r="C123" s="98" t="s">
        <v>672</v>
      </c>
      <c r="D123" s="98" t="s">
        <v>631</v>
      </c>
      <c r="E123" s="98" t="s">
        <v>676</v>
      </c>
      <c r="F123" s="98" t="s">
        <v>673</v>
      </c>
      <c r="G123" s="98">
        <v>6</v>
      </c>
      <c r="H123" s="98" t="str">
        <f t="shared" si="9"/>
        <v>BSS-TC-25088 TC_OBI_PM 1.4_002_Summary_Midlevel_Detail_Level _Reports_Print Functionality</v>
      </c>
      <c r="I123" s="98" t="s">
        <v>630</v>
      </c>
      <c r="J123" s="98" t="s">
        <v>677</v>
      </c>
      <c r="K123" s="98" t="s">
        <v>631</v>
      </c>
    </row>
    <row r="124" spans="2:11" x14ac:dyDescent="0.25">
      <c r="B124" s="98" t="s">
        <v>854</v>
      </c>
      <c r="C124" s="98" t="s">
        <v>672</v>
      </c>
      <c r="D124" s="98" t="s">
        <v>631</v>
      </c>
      <c r="E124" s="98" t="s">
        <v>678</v>
      </c>
      <c r="F124" s="98" t="s">
        <v>673</v>
      </c>
      <c r="G124" s="98">
        <v>7</v>
      </c>
      <c r="H124" s="98" t="str">
        <f t="shared" si="9"/>
        <v>BSS-TC-25088 TC_OBI_PM 1.4_002_Summary_Midlevel_Detail_Level _Reports_Print Functionality</v>
      </c>
      <c r="I124" s="98" t="s">
        <v>630</v>
      </c>
      <c r="J124" s="98" t="s">
        <v>679</v>
      </c>
      <c r="K124" s="98" t="s">
        <v>631</v>
      </c>
    </row>
    <row r="125" spans="2:11" x14ac:dyDescent="0.25">
      <c r="B125" s="98" t="s">
        <v>854</v>
      </c>
      <c r="C125" s="98" t="s">
        <v>672</v>
      </c>
      <c r="D125" s="98" t="s">
        <v>631</v>
      </c>
      <c r="E125" s="98" t="s">
        <v>680</v>
      </c>
      <c r="F125" s="98" t="s">
        <v>673</v>
      </c>
      <c r="G125" s="98">
        <v>8</v>
      </c>
      <c r="H125" s="98" t="str">
        <f t="shared" si="9"/>
        <v>BSS-TC-25088 TC_OBI_PM 1.4_002_Summary_Midlevel_Detail_Level _Reports_Print Functionality</v>
      </c>
      <c r="I125" s="98" t="s">
        <v>630</v>
      </c>
      <c r="J125" s="98" t="s">
        <v>681</v>
      </c>
      <c r="K125" s="98" t="s">
        <v>682</v>
      </c>
    </row>
    <row r="126" spans="2:11" x14ac:dyDescent="0.25">
      <c r="B126" s="98" t="s">
        <v>854</v>
      </c>
      <c r="C126" s="98" t="s">
        <v>672</v>
      </c>
      <c r="D126" s="98" t="s">
        <v>631</v>
      </c>
      <c r="E126" s="98" t="s">
        <v>683</v>
      </c>
      <c r="F126" s="98" t="s">
        <v>673</v>
      </c>
      <c r="G126" s="98">
        <v>9</v>
      </c>
      <c r="H126" s="98" t="str">
        <f t="shared" si="9"/>
        <v>BSS-TC-25088 TC_OBI_PM 1.4_002_Summary_Midlevel_Detail_Level _Reports_Print Functionality</v>
      </c>
      <c r="I126" s="98" t="s">
        <v>630</v>
      </c>
      <c r="J126" s="98" t="s">
        <v>684</v>
      </c>
      <c r="K126" s="98" t="s">
        <v>685</v>
      </c>
    </row>
    <row r="127" spans="2:11" x14ac:dyDescent="0.25">
      <c r="B127" s="98" t="s">
        <v>854</v>
      </c>
      <c r="C127" s="98" t="s">
        <v>672</v>
      </c>
      <c r="D127" s="98" t="s">
        <v>631</v>
      </c>
      <c r="E127" s="98" t="s">
        <v>686</v>
      </c>
      <c r="F127" s="98" t="s">
        <v>673</v>
      </c>
      <c r="G127" s="98">
        <v>10</v>
      </c>
      <c r="H127" s="98" t="str">
        <f t="shared" si="9"/>
        <v>BSS-TC-25088 TC_OBI_PM 1.4_002_Summary_Midlevel_Detail_Level _Reports_Print Functionality</v>
      </c>
      <c r="I127" s="98" t="s">
        <v>630</v>
      </c>
      <c r="J127" s="98" t="s">
        <v>687</v>
      </c>
      <c r="K127" s="98" t="s">
        <v>631</v>
      </c>
    </row>
    <row r="128" spans="2:11" x14ac:dyDescent="0.25">
      <c r="B128" s="98" t="s">
        <v>854</v>
      </c>
      <c r="C128" s="98" t="s">
        <v>672</v>
      </c>
      <c r="D128" s="98" t="s">
        <v>631</v>
      </c>
      <c r="E128" s="98" t="s">
        <v>674</v>
      </c>
      <c r="F128" s="98" t="s">
        <v>673</v>
      </c>
      <c r="G128" s="98">
        <v>11</v>
      </c>
      <c r="H128" s="98" t="str">
        <f t="shared" si="9"/>
        <v>BSS-TC-25088 TC_OBI_PM 1.4_002_Summary_Midlevel_Detail_Level _Reports_Print Functionality</v>
      </c>
      <c r="I128" s="98" t="s">
        <v>630</v>
      </c>
      <c r="J128" s="98" t="s">
        <v>675</v>
      </c>
      <c r="K128" s="98" t="s">
        <v>631</v>
      </c>
    </row>
    <row r="129" spans="2:11" x14ac:dyDescent="0.25">
      <c r="B129" s="98" t="s">
        <v>854</v>
      </c>
      <c r="C129" s="98" t="s">
        <v>672</v>
      </c>
      <c r="D129" s="98" t="s">
        <v>631</v>
      </c>
      <c r="E129" s="98" t="s">
        <v>676</v>
      </c>
      <c r="F129" s="98" t="s">
        <v>673</v>
      </c>
      <c r="G129" s="98">
        <v>12</v>
      </c>
      <c r="H129" s="98" t="str">
        <f t="shared" si="9"/>
        <v>BSS-TC-25088 TC_OBI_PM 1.4_002_Summary_Midlevel_Detail_Level _Reports_Print Functionality</v>
      </c>
      <c r="I129" s="98" t="s">
        <v>630</v>
      </c>
      <c r="J129" s="98" t="s">
        <v>677</v>
      </c>
      <c r="K129" s="98" t="s">
        <v>631</v>
      </c>
    </row>
    <row r="130" spans="2:11" x14ac:dyDescent="0.25">
      <c r="B130" s="98" t="s">
        <v>854</v>
      </c>
      <c r="C130" s="98" t="s">
        <v>672</v>
      </c>
      <c r="D130" s="98" t="s">
        <v>631</v>
      </c>
      <c r="E130" s="98" t="s">
        <v>678</v>
      </c>
      <c r="F130" s="98" t="s">
        <v>673</v>
      </c>
      <c r="G130" s="98">
        <v>13</v>
      </c>
      <c r="H130" s="98" t="str">
        <f t="shared" si="9"/>
        <v>BSS-TC-25088 TC_OBI_PM 1.4_002_Summary_Midlevel_Detail_Level _Reports_Print Functionality</v>
      </c>
      <c r="I130" s="98" t="s">
        <v>630</v>
      </c>
      <c r="J130" s="98" t="s">
        <v>688</v>
      </c>
      <c r="K130" s="98" t="s">
        <v>631</v>
      </c>
    </row>
    <row r="131" spans="2:11" x14ac:dyDescent="0.25">
      <c r="B131" s="98" t="s">
        <v>854</v>
      </c>
      <c r="C131" s="98" t="s">
        <v>672</v>
      </c>
      <c r="D131" s="98" t="s">
        <v>631</v>
      </c>
      <c r="E131" s="98" t="s">
        <v>680</v>
      </c>
      <c r="F131" s="98" t="s">
        <v>673</v>
      </c>
      <c r="G131" s="98">
        <v>14</v>
      </c>
      <c r="H131" s="98" t="str">
        <f t="shared" si="9"/>
        <v>BSS-TC-25088 TC_OBI_PM 1.4_002_Summary_Midlevel_Detail_Level _Reports_Print Functionality</v>
      </c>
      <c r="I131" s="98" t="s">
        <v>630</v>
      </c>
      <c r="J131" s="98" t="s">
        <v>681</v>
      </c>
      <c r="K131" s="98" t="s">
        <v>682</v>
      </c>
    </row>
    <row r="132" spans="2:11" x14ac:dyDescent="0.25">
      <c r="B132" s="98" t="s">
        <v>854</v>
      </c>
      <c r="C132" s="98" t="s">
        <v>672</v>
      </c>
      <c r="D132" s="98" t="s">
        <v>631</v>
      </c>
      <c r="E132" s="98" t="s">
        <v>689</v>
      </c>
      <c r="F132" s="98" t="s">
        <v>673</v>
      </c>
      <c r="G132" s="98">
        <v>15</v>
      </c>
      <c r="H132" s="98" t="str">
        <f t="shared" si="9"/>
        <v>BSS-TC-25088 TC_OBI_PM 1.4_002_Summary_Midlevel_Detail_Level _Reports_Print Functionality</v>
      </c>
      <c r="I132" s="98" t="s">
        <v>630</v>
      </c>
      <c r="J132" s="98" t="s">
        <v>690</v>
      </c>
      <c r="K132" s="98" t="s">
        <v>685</v>
      </c>
    </row>
    <row r="133" spans="2:11" x14ac:dyDescent="0.25">
      <c r="B133" s="98" t="s">
        <v>854</v>
      </c>
      <c r="C133" s="98" t="s">
        <v>672</v>
      </c>
      <c r="D133" s="98" t="s">
        <v>631</v>
      </c>
      <c r="E133" s="98" t="s">
        <v>352</v>
      </c>
      <c r="F133" s="98" t="s">
        <v>673</v>
      </c>
      <c r="G133" s="98">
        <v>16</v>
      </c>
      <c r="H133" s="98" t="str">
        <f t="shared" si="9"/>
        <v>BSS-TC-25088 TC_OBI_PM 1.4_002_Summary_Midlevel_Detail_Level _Reports_Print Functionality</v>
      </c>
      <c r="I133" s="98" t="s">
        <v>630</v>
      </c>
      <c r="J133" s="98" t="s">
        <v>691</v>
      </c>
      <c r="K133" s="98" t="s">
        <v>631</v>
      </c>
    </row>
    <row r="134" spans="2:11" x14ac:dyDescent="0.25">
      <c r="B134" s="98" t="s">
        <v>854</v>
      </c>
      <c r="C134" s="98" t="s">
        <v>672</v>
      </c>
      <c r="D134" s="98" t="s">
        <v>631</v>
      </c>
      <c r="E134" s="98" t="s">
        <v>674</v>
      </c>
      <c r="F134" s="98" t="s">
        <v>673</v>
      </c>
      <c r="G134" s="98">
        <v>17</v>
      </c>
      <c r="H134" s="98" t="str">
        <f t="shared" si="9"/>
        <v>BSS-TC-25088 TC_OBI_PM 1.4_002_Summary_Midlevel_Detail_Level _Reports_Print Functionality</v>
      </c>
      <c r="I134" s="98" t="s">
        <v>630</v>
      </c>
      <c r="J134" s="98" t="s">
        <v>675</v>
      </c>
      <c r="K134" s="98" t="s">
        <v>631</v>
      </c>
    </row>
    <row r="135" spans="2:11" x14ac:dyDescent="0.25">
      <c r="B135" s="98" t="s">
        <v>854</v>
      </c>
      <c r="C135" s="98" t="s">
        <v>672</v>
      </c>
      <c r="D135" s="98" t="s">
        <v>631</v>
      </c>
      <c r="E135" s="98" t="s">
        <v>676</v>
      </c>
      <c r="F135" s="98" t="s">
        <v>673</v>
      </c>
      <c r="G135" s="98">
        <v>18</v>
      </c>
      <c r="H135" s="98" t="str">
        <f t="shared" si="9"/>
        <v>BSS-TC-25088 TC_OBI_PM 1.4_002_Summary_Midlevel_Detail_Level _Reports_Print Functionality</v>
      </c>
      <c r="I135" s="98" t="s">
        <v>630</v>
      </c>
      <c r="J135" s="98" t="s">
        <v>677</v>
      </c>
      <c r="K135" s="98" t="s">
        <v>631</v>
      </c>
    </row>
    <row r="136" spans="2:11" x14ac:dyDescent="0.25">
      <c r="B136" s="98" t="s">
        <v>854</v>
      </c>
      <c r="C136" s="98" t="s">
        <v>672</v>
      </c>
      <c r="D136" s="98" t="s">
        <v>631</v>
      </c>
      <c r="E136" s="98" t="s">
        <v>678</v>
      </c>
      <c r="F136" s="98" t="s">
        <v>673</v>
      </c>
      <c r="G136" s="98">
        <v>19</v>
      </c>
      <c r="H136" s="98" t="str">
        <f t="shared" si="9"/>
        <v>BSS-TC-25088 TC_OBI_PM 1.4_002_Summary_Midlevel_Detail_Level _Reports_Print Functionality</v>
      </c>
      <c r="I136" s="98" t="s">
        <v>630</v>
      </c>
      <c r="J136" s="98" t="s">
        <v>692</v>
      </c>
      <c r="K136" s="98" t="s">
        <v>631</v>
      </c>
    </row>
    <row r="137" spans="2:11" x14ac:dyDescent="0.25">
      <c r="B137" s="98" t="s">
        <v>854</v>
      </c>
      <c r="C137" s="98" t="s">
        <v>672</v>
      </c>
      <c r="D137" s="98" t="s">
        <v>631</v>
      </c>
      <c r="E137" s="98" t="s">
        <v>680</v>
      </c>
      <c r="F137" s="98" t="s">
        <v>673</v>
      </c>
      <c r="G137" s="98">
        <v>20</v>
      </c>
      <c r="H137" s="98" t="str">
        <f t="shared" si="9"/>
        <v>BSS-TC-25088 TC_OBI_PM 1.4_002_Summary_Midlevel_Detail_Level _Reports_Print Functionality</v>
      </c>
      <c r="I137" s="98" t="s">
        <v>630</v>
      </c>
      <c r="J137" s="98" t="s">
        <v>681</v>
      </c>
      <c r="K137" s="98" t="s">
        <v>682</v>
      </c>
    </row>
    <row r="138" spans="2:11" x14ac:dyDescent="0.25">
      <c r="B138" s="98" t="s">
        <v>854</v>
      </c>
      <c r="C138" s="98" t="s">
        <v>672</v>
      </c>
      <c r="D138" s="98" t="s">
        <v>631</v>
      </c>
      <c r="E138" s="98" t="s">
        <v>693</v>
      </c>
      <c r="F138" s="98" t="s">
        <v>673</v>
      </c>
      <c r="G138" s="98">
        <v>21</v>
      </c>
      <c r="H138" s="98" t="str">
        <f t="shared" si="9"/>
        <v>BSS-TC-25088 TC_OBI_PM 1.4_002_Summary_Midlevel_Detail_Level _Reports_Print Functionality</v>
      </c>
      <c r="I138" s="98" t="s">
        <v>630</v>
      </c>
      <c r="J138" s="98" t="s">
        <v>694</v>
      </c>
      <c r="K138" s="98" t="s">
        <v>685</v>
      </c>
    </row>
    <row r="139" spans="2:11" x14ac:dyDescent="0.25">
      <c r="B139" s="98" t="s">
        <v>854</v>
      </c>
      <c r="C139" s="98" t="s">
        <v>672</v>
      </c>
      <c r="D139" s="98" t="s">
        <v>631</v>
      </c>
      <c r="E139" s="98" t="s">
        <v>695</v>
      </c>
      <c r="F139" s="98" t="s">
        <v>673</v>
      </c>
      <c r="G139" s="98">
        <v>22</v>
      </c>
      <c r="H139" s="98" t="str">
        <f t="shared" si="9"/>
        <v>BSS-TC-25088 TC_OBI_PM 1.4_002_Summary_Midlevel_Detail_Level _Reports_Print Functionality</v>
      </c>
      <c r="I139" s="98" t="s">
        <v>630</v>
      </c>
      <c r="J139" s="98" t="s">
        <v>696</v>
      </c>
      <c r="K139" s="98" t="s">
        <v>631</v>
      </c>
    </row>
    <row r="140" spans="2:11" x14ac:dyDescent="0.25">
      <c r="B140" s="98" t="s">
        <v>854</v>
      </c>
      <c r="C140" s="98" t="s">
        <v>672</v>
      </c>
      <c r="D140" s="98" t="s">
        <v>631</v>
      </c>
      <c r="E140" s="98" t="s">
        <v>697</v>
      </c>
      <c r="F140" s="98" t="s">
        <v>673</v>
      </c>
      <c r="G140" s="98">
        <v>23</v>
      </c>
      <c r="H140" s="98" t="str">
        <f t="shared" si="9"/>
        <v>BSS-TC-25088 TC_OBI_PM 1.4_002_Summary_Midlevel_Detail_Level _Reports_Print Functionality</v>
      </c>
      <c r="I140" s="98" t="s">
        <v>630</v>
      </c>
      <c r="J140" s="98" t="s">
        <v>698</v>
      </c>
      <c r="K140" s="98" t="s">
        <v>631</v>
      </c>
    </row>
    <row r="141" spans="2:11" x14ac:dyDescent="0.25">
      <c r="B141" s="98" t="s">
        <v>854</v>
      </c>
      <c r="C141" s="98" t="s">
        <v>672</v>
      </c>
      <c r="D141" s="98" t="s">
        <v>631</v>
      </c>
      <c r="E141" s="98" t="s">
        <v>674</v>
      </c>
      <c r="F141" s="98" t="s">
        <v>673</v>
      </c>
      <c r="G141" s="98">
        <v>24</v>
      </c>
      <c r="H141" s="98" t="str">
        <f t="shared" si="9"/>
        <v>BSS-TC-25088 TC_OBI_PM 1.4_002_Summary_Midlevel_Detail_Level _Reports_Print Functionality</v>
      </c>
      <c r="I141" s="98" t="s">
        <v>630</v>
      </c>
      <c r="J141" s="98" t="s">
        <v>675</v>
      </c>
      <c r="K141" s="98" t="s">
        <v>631</v>
      </c>
    </row>
    <row r="142" spans="2:11" x14ac:dyDescent="0.25">
      <c r="B142" s="98" t="s">
        <v>854</v>
      </c>
      <c r="C142" s="98" t="s">
        <v>672</v>
      </c>
      <c r="D142" s="98" t="s">
        <v>631</v>
      </c>
      <c r="E142" s="98" t="s">
        <v>676</v>
      </c>
      <c r="F142" s="98" t="s">
        <v>673</v>
      </c>
      <c r="G142" s="98">
        <v>25</v>
      </c>
      <c r="H142" s="98" t="str">
        <f t="shared" si="9"/>
        <v>BSS-TC-25088 TC_OBI_PM 1.4_002_Summary_Midlevel_Detail_Level _Reports_Print Functionality</v>
      </c>
      <c r="I142" s="98" t="s">
        <v>630</v>
      </c>
      <c r="J142" s="98" t="s">
        <v>677</v>
      </c>
      <c r="K142" s="98" t="s">
        <v>631</v>
      </c>
    </row>
    <row r="143" spans="2:11" x14ac:dyDescent="0.25">
      <c r="B143" s="98" t="s">
        <v>854</v>
      </c>
      <c r="C143" s="98" t="s">
        <v>672</v>
      </c>
      <c r="D143" s="98" t="s">
        <v>631</v>
      </c>
      <c r="E143" s="98" t="s">
        <v>678</v>
      </c>
      <c r="F143" s="98" t="s">
        <v>673</v>
      </c>
      <c r="G143" s="98">
        <v>26</v>
      </c>
      <c r="H143" s="98" t="str">
        <f t="shared" si="9"/>
        <v>BSS-TC-25088 TC_OBI_PM 1.4_002_Summary_Midlevel_Detail_Level _Reports_Print Functionality</v>
      </c>
      <c r="I143" s="98" t="s">
        <v>630</v>
      </c>
      <c r="J143" s="98" t="s">
        <v>699</v>
      </c>
      <c r="K143" s="98" t="s">
        <v>631</v>
      </c>
    </row>
    <row r="144" spans="2:11" x14ac:dyDescent="0.25">
      <c r="B144" s="98" t="s">
        <v>854</v>
      </c>
      <c r="C144" s="98" t="s">
        <v>672</v>
      </c>
      <c r="D144" s="98" t="s">
        <v>631</v>
      </c>
      <c r="E144" s="98" t="s">
        <v>680</v>
      </c>
      <c r="F144" s="98" t="s">
        <v>673</v>
      </c>
      <c r="G144" s="98">
        <v>27</v>
      </c>
      <c r="H144" s="98" t="str">
        <f t="shared" si="9"/>
        <v>BSS-TC-25088 TC_OBI_PM 1.4_002_Summary_Midlevel_Detail_Level _Reports_Print Functionality</v>
      </c>
      <c r="I144" s="98" t="s">
        <v>630</v>
      </c>
      <c r="J144" s="98" t="s">
        <v>681</v>
      </c>
      <c r="K144" s="98" t="s">
        <v>682</v>
      </c>
    </row>
    <row r="145" spans="2:11" x14ac:dyDescent="0.25">
      <c r="B145" s="98" t="s">
        <v>854</v>
      </c>
      <c r="C145" s="98" t="s">
        <v>672</v>
      </c>
      <c r="D145" s="98" t="s">
        <v>631</v>
      </c>
      <c r="E145" s="98" t="s">
        <v>700</v>
      </c>
      <c r="F145" s="98" t="s">
        <v>673</v>
      </c>
      <c r="G145" s="98">
        <v>28</v>
      </c>
      <c r="H145" s="98" t="str">
        <f t="shared" si="9"/>
        <v>BSS-TC-25088 TC_OBI_PM 1.4_002_Summary_Midlevel_Detail_Level _Reports_Print Functionality</v>
      </c>
      <c r="I145" s="98" t="s">
        <v>630</v>
      </c>
      <c r="J145" s="98" t="s">
        <v>701</v>
      </c>
      <c r="K145" s="98" t="s">
        <v>685</v>
      </c>
    </row>
    <row r="146" spans="2:11" x14ac:dyDescent="0.25">
      <c r="B146" s="98" t="s">
        <v>855</v>
      </c>
      <c r="C146" s="98" t="s">
        <v>702</v>
      </c>
      <c r="D146" s="98" t="s">
        <v>631</v>
      </c>
      <c r="E146" s="98" t="s">
        <v>18</v>
      </c>
      <c r="F146" s="98" t="s">
        <v>703</v>
      </c>
      <c r="G146" s="98">
        <v>1</v>
      </c>
      <c r="H146" s="98" t="str">
        <f t="shared" ref="H146:H170" si="10">HYPERLINK("http://rms/perspective.req?projectId=233&amp;docId=976499","BSS-TC-25089 TC_OBI_PM 1.4_003_Export link")</f>
        <v>BSS-TC-25089 TC_OBI_PM 1.4_003_Export link</v>
      </c>
      <c r="I146" s="98" t="s">
        <v>630</v>
      </c>
      <c r="J146" s="98" t="s">
        <v>20</v>
      </c>
      <c r="K146" s="98" t="s">
        <v>631</v>
      </c>
    </row>
    <row r="147" spans="2:11" x14ac:dyDescent="0.25">
      <c r="B147" s="98" t="s">
        <v>855</v>
      </c>
      <c r="C147" s="98" t="s">
        <v>702</v>
      </c>
      <c r="D147" s="98" t="s">
        <v>631</v>
      </c>
      <c r="E147" s="98" t="s">
        <v>21</v>
      </c>
      <c r="F147" s="98" t="s">
        <v>703</v>
      </c>
      <c r="G147" s="98">
        <v>2</v>
      </c>
      <c r="H147" s="98" t="str">
        <f t="shared" si="10"/>
        <v>BSS-TC-25089 TC_OBI_PM 1.4_003_Export link</v>
      </c>
      <c r="I147" s="98" t="s">
        <v>630</v>
      </c>
      <c r="J147" s="98" t="s">
        <v>22</v>
      </c>
      <c r="K147" s="98" t="s">
        <v>631</v>
      </c>
    </row>
    <row r="148" spans="2:11" x14ac:dyDescent="0.25">
      <c r="B148" s="98" t="s">
        <v>855</v>
      </c>
      <c r="C148" s="98" t="s">
        <v>702</v>
      </c>
      <c r="D148" s="98" t="s">
        <v>631</v>
      </c>
      <c r="E148" s="98" t="s">
        <v>655</v>
      </c>
      <c r="F148" s="98" t="s">
        <v>703</v>
      </c>
      <c r="G148" s="98">
        <v>3</v>
      </c>
      <c r="H148" s="98" t="str">
        <f t="shared" si="10"/>
        <v>BSS-TC-25089 TC_OBI_PM 1.4_003_Export link</v>
      </c>
      <c r="I148" s="98" t="s">
        <v>630</v>
      </c>
      <c r="J148" s="98" t="s">
        <v>41</v>
      </c>
      <c r="K148" s="98" t="s">
        <v>631</v>
      </c>
    </row>
    <row r="149" spans="2:11" x14ac:dyDescent="0.25">
      <c r="B149" s="98" t="s">
        <v>855</v>
      </c>
      <c r="C149" s="98" t="s">
        <v>702</v>
      </c>
      <c r="D149" s="98" t="s">
        <v>631</v>
      </c>
      <c r="E149" s="98" t="s">
        <v>704</v>
      </c>
      <c r="F149" s="98" t="s">
        <v>703</v>
      </c>
      <c r="G149" s="98">
        <v>4</v>
      </c>
      <c r="H149" s="98" t="str">
        <f t="shared" si="10"/>
        <v>BSS-TC-25089 TC_OBI_PM 1.4_003_Export link</v>
      </c>
      <c r="I149" s="98" t="s">
        <v>630</v>
      </c>
      <c r="J149" s="98" t="s">
        <v>705</v>
      </c>
      <c r="K149" s="98" t="s">
        <v>706</v>
      </c>
    </row>
    <row r="150" spans="2:11" x14ac:dyDescent="0.25">
      <c r="B150" s="98" t="s">
        <v>855</v>
      </c>
      <c r="C150" s="98" t="s">
        <v>702</v>
      </c>
      <c r="D150" s="98" t="s">
        <v>631</v>
      </c>
      <c r="E150" s="98" t="s">
        <v>707</v>
      </c>
      <c r="F150" s="98" t="s">
        <v>703</v>
      </c>
      <c r="G150" s="98">
        <v>5</v>
      </c>
      <c r="H150" s="98" t="str">
        <f t="shared" si="10"/>
        <v>BSS-TC-25089 TC_OBI_PM 1.4_003_Export link</v>
      </c>
      <c r="I150" s="98" t="s">
        <v>630</v>
      </c>
      <c r="J150" s="98" t="s">
        <v>708</v>
      </c>
      <c r="K150" s="98" t="s">
        <v>631</v>
      </c>
    </row>
    <row r="151" spans="2:11" x14ac:dyDescent="0.25">
      <c r="B151" s="98" t="s">
        <v>855</v>
      </c>
      <c r="C151" s="98" t="s">
        <v>702</v>
      </c>
      <c r="D151" s="98" t="s">
        <v>631</v>
      </c>
      <c r="E151" s="98" t="s">
        <v>709</v>
      </c>
      <c r="F151" s="98" t="s">
        <v>703</v>
      </c>
      <c r="G151" s="98">
        <v>6</v>
      </c>
      <c r="H151" s="98" t="str">
        <f t="shared" si="10"/>
        <v>BSS-TC-25089 TC_OBI_PM 1.4_003_Export link</v>
      </c>
      <c r="I151" s="98" t="s">
        <v>630</v>
      </c>
      <c r="J151" s="98" t="s">
        <v>710</v>
      </c>
      <c r="K151" s="98" t="s">
        <v>631</v>
      </c>
    </row>
    <row r="152" spans="2:11" x14ac:dyDescent="0.25">
      <c r="B152" s="98" t="s">
        <v>855</v>
      </c>
      <c r="C152" s="98" t="s">
        <v>702</v>
      </c>
      <c r="D152" s="98" t="s">
        <v>631</v>
      </c>
      <c r="E152" s="98" t="s">
        <v>711</v>
      </c>
      <c r="F152" s="98" t="s">
        <v>703</v>
      </c>
      <c r="G152" s="98">
        <v>7</v>
      </c>
      <c r="H152" s="98" t="str">
        <f t="shared" si="10"/>
        <v>BSS-TC-25089 TC_OBI_PM 1.4_003_Export link</v>
      </c>
      <c r="I152" s="98" t="s">
        <v>630</v>
      </c>
      <c r="J152" s="98" t="s">
        <v>712</v>
      </c>
      <c r="K152" s="98" t="s">
        <v>631</v>
      </c>
    </row>
    <row r="153" spans="2:11" x14ac:dyDescent="0.25">
      <c r="B153" s="98" t="s">
        <v>855</v>
      </c>
      <c r="C153" s="98" t="s">
        <v>702</v>
      </c>
      <c r="D153" s="98" t="s">
        <v>631</v>
      </c>
      <c r="E153" s="98" t="s">
        <v>713</v>
      </c>
      <c r="F153" s="98" t="s">
        <v>703</v>
      </c>
      <c r="G153" s="98">
        <v>8</v>
      </c>
      <c r="H153" s="98" t="str">
        <f t="shared" si="10"/>
        <v>BSS-TC-25089 TC_OBI_PM 1.4_003_Export link</v>
      </c>
      <c r="I153" s="98" t="s">
        <v>630</v>
      </c>
      <c r="J153" s="98" t="s">
        <v>714</v>
      </c>
      <c r="K153" s="98" t="s">
        <v>715</v>
      </c>
    </row>
    <row r="154" spans="2:11" x14ac:dyDescent="0.25">
      <c r="B154" s="98" t="s">
        <v>855</v>
      </c>
      <c r="C154" s="98" t="s">
        <v>702</v>
      </c>
      <c r="D154" s="98" t="s">
        <v>631</v>
      </c>
      <c r="E154" s="98" t="s">
        <v>716</v>
      </c>
      <c r="F154" s="98" t="s">
        <v>703</v>
      </c>
      <c r="G154" s="98">
        <v>9</v>
      </c>
      <c r="H154" s="98" t="str">
        <f t="shared" si="10"/>
        <v>BSS-TC-25089 TC_OBI_PM 1.4_003_Export link</v>
      </c>
      <c r="I154" s="98" t="s">
        <v>630</v>
      </c>
      <c r="J154" s="98" t="s">
        <v>27</v>
      </c>
      <c r="K154" s="98" t="s">
        <v>631</v>
      </c>
    </row>
    <row r="155" spans="2:11" x14ac:dyDescent="0.25">
      <c r="B155" s="98" t="s">
        <v>855</v>
      </c>
      <c r="C155" s="98" t="s">
        <v>702</v>
      </c>
      <c r="D155" s="98" t="s">
        <v>631</v>
      </c>
      <c r="E155" s="98" t="s">
        <v>717</v>
      </c>
      <c r="F155" s="98" t="s">
        <v>703</v>
      </c>
      <c r="G155" s="98">
        <v>10</v>
      </c>
      <c r="H155" s="98" t="str">
        <f t="shared" si="10"/>
        <v>BSS-TC-25089 TC_OBI_PM 1.4_003_Export link</v>
      </c>
      <c r="I155" s="98" t="s">
        <v>630</v>
      </c>
      <c r="J155" s="98" t="s">
        <v>42</v>
      </c>
      <c r="K155" s="98" t="s">
        <v>631</v>
      </c>
    </row>
    <row r="156" spans="2:11" x14ac:dyDescent="0.25">
      <c r="B156" s="98" t="s">
        <v>855</v>
      </c>
      <c r="C156" s="98" t="s">
        <v>702</v>
      </c>
      <c r="D156" s="98" t="s">
        <v>631</v>
      </c>
      <c r="E156" s="98" t="s">
        <v>718</v>
      </c>
      <c r="F156" s="98" t="s">
        <v>703</v>
      </c>
      <c r="G156" s="98">
        <v>11</v>
      </c>
      <c r="H156" s="98" t="str">
        <f t="shared" si="10"/>
        <v>BSS-TC-25089 TC_OBI_PM 1.4_003_Export link</v>
      </c>
      <c r="I156" s="98" t="s">
        <v>630</v>
      </c>
      <c r="J156" s="98" t="s">
        <v>708</v>
      </c>
      <c r="K156" s="98" t="s">
        <v>719</v>
      </c>
    </row>
    <row r="157" spans="2:11" x14ac:dyDescent="0.25">
      <c r="B157" s="98" t="s">
        <v>855</v>
      </c>
      <c r="C157" s="98" t="s">
        <v>702</v>
      </c>
      <c r="D157" s="98" t="s">
        <v>631</v>
      </c>
      <c r="E157" s="98" t="s">
        <v>709</v>
      </c>
      <c r="F157" s="98" t="s">
        <v>703</v>
      </c>
      <c r="G157" s="98">
        <v>12</v>
      </c>
      <c r="H157" s="98" t="str">
        <f t="shared" si="10"/>
        <v>BSS-TC-25089 TC_OBI_PM 1.4_003_Export link</v>
      </c>
      <c r="I157" s="98" t="s">
        <v>630</v>
      </c>
      <c r="J157" s="98" t="s">
        <v>710</v>
      </c>
      <c r="K157" s="98" t="s">
        <v>631</v>
      </c>
    </row>
    <row r="158" spans="2:11" x14ac:dyDescent="0.25">
      <c r="B158" s="98" t="s">
        <v>855</v>
      </c>
      <c r="C158" s="98" t="s">
        <v>702</v>
      </c>
      <c r="D158" s="98" t="s">
        <v>631</v>
      </c>
      <c r="E158" s="98" t="s">
        <v>711</v>
      </c>
      <c r="F158" s="98" t="s">
        <v>703</v>
      </c>
      <c r="G158" s="98">
        <v>13</v>
      </c>
      <c r="H158" s="98" t="str">
        <f t="shared" si="10"/>
        <v>BSS-TC-25089 TC_OBI_PM 1.4_003_Export link</v>
      </c>
      <c r="I158" s="98" t="s">
        <v>630</v>
      </c>
      <c r="J158" s="98" t="s">
        <v>712</v>
      </c>
      <c r="K158" s="98" t="s">
        <v>631</v>
      </c>
    </row>
    <row r="159" spans="2:11" x14ac:dyDescent="0.25">
      <c r="B159" s="98" t="s">
        <v>855</v>
      </c>
      <c r="C159" s="98" t="s">
        <v>702</v>
      </c>
      <c r="D159" s="98" t="s">
        <v>631</v>
      </c>
      <c r="E159" s="98" t="s">
        <v>713</v>
      </c>
      <c r="F159" s="98" t="s">
        <v>703</v>
      </c>
      <c r="G159" s="98">
        <v>14</v>
      </c>
      <c r="H159" s="98" t="str">
        <f t="shared" si="10"/>
        <v>BSS-TC-25089 TC_OBI_PM 1.4_003_Export link</v>
      </c>
      <c r="I159" s="98" t="s">
        <v>630</v>
      </c>
      <c r="J159" s="98" t="s">
        <v>714</v>
      </c>
      <c r="K159" s="98" t="s">
        <v>715</v>
      </c>
    </row>
    <row r="160" spans="2:11" x14ac:dyDescent="0.25">
      <c r="B160" s="98" t="s">
        <v>855</v>
      </c>
      <c r="C160" s="98" t="s">
        <v>702</v>
      </c>
      <c r="D160" s="98" t="s">
        <v>631</v>
      </c>
      <c r="E160" s="98" t="s">
        <v>352</v>
      </c>
      <c r="F160" s="98" t="s">
        <v>703</v>
      </c>
      <c r="G160" s="98">
        <v>15</v>
      </c>
      <c r="H160" s="98" t="str">
        <f t="shared" si="10"/>
        <v>BSS-TC-25089 TC_OBI_PM 1.4_003_Export link</v>
      </c>
      <c r="I160" s="98" t="s">
        <v>630</v>
      </c>
      <c r="J160" s="98" t="s">
        <v>51</v>
      </c>
      <c r="K160" s="98" t="s">
        <v>720</v>
      </c>
    </row>
    <row r="161" spans="2:11" x14ac:dyDescent="0.25">
      <c r="B161" s="98" t="s">
        <v>855</v>
      </c>
      <c r="C161" s="98" t="s">
        <v>702</v>
      </c>
      <c r="D161" s="98" t="s">
        <v>631</v>
      </c>
      <c r="E161" s="98" t="s">
        <v>721</v>
      </c>
      <c r="F161" s="98" t="s">
        <v>703</v>
      </c>
      <c r="G161" s="98">
        <v>16</v>
      </c>
      <c r="H161" s="98" t="str">
        <f t="shared" si="10"/>
        <v>BSS-TC-25089 TC_OBI_PM 1.4_003_Export link</v>
      </c>
      <c r="I161" s="98" t="s">
        <v>630</v>
      </c>
      <c r="J161" s="98" t="s">
        <v>708</v>
      </c>
      <c r="K161" s="98" t="s">
        <v>631</v>
      </c>
    </row>
    <row r="162" spans="2:11" x14ac:dyDescent="0.25">
      <c r="B162" s="98" t="s">
        <v>855</v>
      </c>
      <c r="C162" s="98" t="s">
        <v>702</v>
      </c>
      <c r="D162" s="98" t="s">
        <v>631</v>
      </c>
      <c r="E162" s="98" t="s">
        <v>709</v>
      </c>
      <c r="F162" s="98" t="s">
        <v>703</v>
      </c>
      <c r="G162" s="98">
        <v>17</v>
      </c>
      <c r="H162" s="98" t="str">
        <f t="shared" si="10"/>
        <v>BSS-TC-25089 TC_OBI_PM 1.4_003_Export link</v>
      </c>
      <c r="I162" s="98" t="s">
        <v>630</v>
      </c>
      <c r="J162" s="98" t="s">
        <v>722</v>
      </c>
      <c r="K162" s="98" t="s">
        <v>631</v>
      </c>
    </row>
    <row r="163" spans="2:11" x14ac:dyDescent="0.25">
      <c r="B163" s="98" t="s">
        <v>855</v>
      </c>
      <c r="C163" s="98" t="s">
        <v>702</v>
      </c>
      <c r="D163" s="98" t="s">
        <v>631</v>
      </c>
      <c r="E163" s="98" t="s">
        <v>711</v>
      </c>
      <c r="F163" s="98" t="s">
        <v>703</v>
      </c>
      <c r="G163" s="98">
        <v>18</v>
      </c>
      <c r="H163" s="98" t="str">
        <f t="shared" si="10"/>
        <v>BSS-TC-25089 TC_OBI_PM 1.4_003_Export link</v>
      </c>
      <c r="I163" s="98" t="s">
        <v>630</v>
      </c>
      <c r="J163" s="98" t="s">
        <v>712</v>
      </c>
      <c r="K163" s="98" t="s">
        <v>631</v>
      </c>
    </row>
    <row r="164" spans="2:11" x14ac:dyDescent="0.25">
      <c r="B164" s="98" t="s">
        <v>855</v>
      </c>
      <c r="C164" s="98" t="s">
        <v>702</v>
      </c>
      <c r="D164" s="98" t="s">
        <v>631</v>
      </c>
      <c r="E164" s="98" t="s">
        <v>713</v>
      </c>
      <c r="F164" s="98" t="s">
        <v>703</v>
      </c>
      <c r="G164" s="98">
        <v>19</v>
      </c>
      <c r="H164" s="98" t="str">
        <f t="shared" si="10"/>
        <v>BSS-TC-25089 TC_OBI_PM 1.4_003_Export link</v>
      </c>
      <c r="I164" s="98" t="s">
        <v>630</v>
      </c>
      <c r="J164" s="98" t="s">
        <v>714</v>
      </c>
      <c r="K164" s="98" t="s">
        <v>723</v>
      </c>
    </row>
    <row r="165" spans="2:11" x14ac:dyDescent="0.25">
      <c r="B165" s="98" t="s">
        <v>855</v>
      </c>
      <c r="C165" s="98" t="s">
        <v>702</v>
      </c>
      <c r="D165" s="98" t="s">
        <v>631</v>
      </c>
      <c r="E165" s="98" t="s">
        <v>724</v>
      </c>
      <c r="F165" s="98" t="s">
        <v>703</v>
      </c>
      <c r="G165" s="98">
        <v>20</v>
      </c>
      <c r="H165" s="98" t="str">
        <f t="shared" si="10"/>
        <v>BSS-TC-25089 TC_OBI_PM 1.4_003_Export link</v>
      </c>
      <c r="I165" s="98" t="s">
        <v>630</v>
      </c>
      <c r="J165" s="98" t="s">
        <v>725</v>
      </c>
      <c r="K165" s="98" t="s">
        <v>631</v>
      </c>
    </row>
    <row r="166" spans="2:11" x14ac:dyDescent="0.25">
      <c r="B166" s="98" t="s">
        <v>855</v>
      </c>
      <c r="C166" s="98" t="s">
        <v>702</v>
      </c>
      <c r="D166" s="98" t="s">
        <v>631</v>
      </c>
      <c r="E166" s="98" t="s">
        <v>271</v>
      </c>
      <c r="F166" s="98" t="s">
        <v>703</v>
      </c>
      <c r="G166" s="98">
        <v>21</v>
      </c>
      <c r="H166" s="98" t="str">
        <f t="shared" si="10"/>
        <v>BSS-TC-25089 TC_OBI_PM 1.4_003_Export link</v>
      </c>
      <c r="I166" s="98" t="s">
        <v>630</v>
      </c>
      <c r="J166" s="98" t="s">
        <v>53</v>
      </c>
      <c r="K166" s="98" t="s">
        <v>726</v>
      </c>
    </row>
    <row r="167" spans="2:11" x14ac:dyDescent="0.25">
      <c r="B167" s="98" t="s">
        <v>855</v>
      </c>
      <c r="C167" s="98" t="s">
        <v>702</v>
      </c>
      <c r="D167" s="98" t="s">
        <v>631</v>
      </c>
      <c r="E167" s="98" t="s">
        <v>727</v>
      </c>
      <c r="F167" s="98" t="s">
        <v>703</v>
      </c>
      <c r="G167" s="98">
        <v>22</v>
      </c>
      <c r="H167" s="98" t="str">
        <f t="shared" si="10"/>
        <v>BSS-TC-25089 TC_OBI_PM 1.4_003_Export link</v>
      </c>
      <c r="I167" s="98" t="s">
        <v>630</v>
      </c>
      <c r="J167" s="98" t="s">
        <v>708</v>
      </c>
      <c r="K167" s="98" t="s">
        <v>631</v>
      </c>
    </row>
    <row r="168" spans="2:11" x14ac:dyDescent="0.25">
      <c r="B168" s="98" t="s">
        <v>855</v>
      </c>
      <c r="C168" s="98" t="s">
        <v>702</v>
      </c>
      <c r="D168" s="98" t="s">
        <v>631</v>
      </c>
      <c r="E168" s="98" t="s">
        <v>709</v>
      </c>
      <c r="F168" s="98" t="s">
        <v>703</v>
      </c>
      <c r="G168" s="98">
        <v>23</v>
      </c>
      <c r="H168" s="98" t="str">
        <f t="shared" si="10"/>
        <v>BSS-TC-25089 TC_OBI_PM 1.4_003_Export link</v>
      </c>
      <c r="I168" s="98" t="s">
        <v>630</v>
      </c>
      <c r="J168" s="98" t="s">
        <v>722</v>
      </c>
      <c r="K168" s="98" t="s">
        <v>631</v>
      </c>
    </row>
    <row r="169" spans="2:11" x14ac:dyDescent="0.25">
      <c r="B169" s="98" t="s">
        <v>855</v>
      </c>
      <c r="C169" s="98" t="s">
        <v>702</v>
      </c>
      <c r="D169" s="98" t="s">
        <v>631</v>
      </c>
      <c r="E169" s="98" t="s">
        <v>711</v>
      </c>
      <c r="F169" s="98" t="s">
        <v>703</v>
      </c>
      <c r="G169" s="98">
        <v>24</v>
      </c>
      <c r="H169" s="98" t="str">
        <f t="shared" si="10"/>
        <v>BSS-TC-25089 TC_OBI_PM 1.4_003_Export link</v>
      </c>
      <c r="I169" s="98" t="s">
        <v>630</v>
      </c>
      <c r="J169" s="98" t="s">
        <v>712</v>
      </c>
      <c r="K169" s="98" t="s">
        <v>631</v>
      </c>
    </row>
    <row r="170" spans="2:11" x14ac:dyDescent="0.25">
      <c r="B170" s="98" t="s">
        <v>855</v>
      </c>
      <c r="C170" s="98" t="s">
        <v>702</v>
      </c>
      <c r="D170" s="98" t="s">
        <v>631</v>
      </c>
      <c r="E170" s="98" t="s">
        <v>713</v>
      </c>
      <c r="F170" s="98" t="s">
        <v>703</v>
      </c>
      <c r="G170" s="98">
        <v>25</v>
      </c>
      <c r="H170" s="98" t="str">
        <f t="shared" si="10"/>
        <v>BSS-TC-25089 TC_OBI_PM 1.4_003_Export link</v>
      </c>
      <c r="I170" s="98" t="s">
        <v>630</v>
      </c>
      <c r="J170" s="98" t="s">
        <v>714</v>
      </c>
      <c r="K170" s="98" t="s">
        <v>728</v>
      </c>
    </row>
    <row r="171" spans="2:11" x14ac:dyDescent="0.25">
      <c r="B171" s="98" t="s">
        <v>856</v>
      </c>
      <c r="C171" s="98" t="s">
        <v>124</v>
      </c>
      <c r="D171" s="98" t="s">
        <v>631</v>
      </c>
      <c r="E171" s="98" t="s">
        <v>729</v>
      </c>
      <c r="F171" s="98" t="s">
        <v>730</v>
      </c>
      <c r="G171" s="98">
        <v>1</v>
      </c>
      <c r="H171" s="98" t="str">
        <f t="shared" ref="H171:H179" si="11">HYPERLINK("http://rms/perspective.req?projectId=233&amp;docId=959361","BSS-TC-23145 TC_OBI_PM 1.4_002_CH Qualification against PM_Missed _CH reported in more than one month")</f>
        <v>BSS-TC-23145 TC_OBI_PM 1.4_002_CH Qualification against PM_Missed _CH reported in more than one month</v>
      </c>
      <c r="I171" s="98" t="s">
        <v>630</v>
      </c>
      <c r="J171" s="98" t="s">
        <v>80</v>
      </c>
      <c r="K171" s="98" t="s">
        <v>517</v>
      </c>
    </row>
    <row r="172" spans="2:11" x14ac:dyDescent="0.25">
      <c r="B172" s="98" t="s">
        <v>856</v>
      </c>
      <c r="C172" s="98" t="s">
        <v>124</v>
      </c>
      <c r="D172" s="98" t="s">
        <v>631</v>
      </c>
      <c r="E172" s="98" t="s">
        <v>18</v>
      </c>
      <c r="F172" s="98" t="s">
        <v>730</v>
      </c>
      <c r="G172" s="98">
        <v>2</v>
      </c>
      <c r="H172" s="98" t="str">
        <f t="shared" si="11"/>
        <v>BSS-TC-23145 TC_OBI_PM 1.4_002_CH Qualification against PM_Missed _CH reported in more than one month</v>
      </c>
      <c r="I172" s="98" t="s">
        <v>630</v>
      </c>
      <c r="J172" s="98" t="s">
        <v>20</v>
      </c>
      <c r="K172" s="98" t="s">
        <v>631</v>
      </c>
    </row>
    <row r="173" spans="2:11" x14ac:dyDescent="0.25">
      <c r="B173" s="98" t="s">
        <v>856</v>
      </c>
      <c r="C173" s="98" t="s">
        <v>124</v>
      </c>
      <c r="D173" s="98" t="s">
        <v>631</v>
      </c>
      <c r="E173" s="98" t="s">
        <v>21</v>
      </c>
      <c r="F173" s="98" t="s">
        <v>730</v>
      </c>
      <c r="G173" s="98">
        <v>3</v>
      </c>
      <c r="H173" s="98" t="str">
        <f t="shared" si="11"/>
        <v>BSS-TC-23145 TC_OBI_PM 1.4_002_CH Qualification against PM_Missed _CH reported in more than one month</v>
      </c>
      <c r="I173" s="98" t="s">
        <v>630</v>
      </c>
      <c r="J173" s="98" t="s">
        <v>22</v>
      </c>
      <c r="K173" s="98" t="s">
        <v>631</v>
      </c>
    </row>
    <row r="174" spans="2:11" x14ac:dyDescent="0.25">
      <c r="B174" s="98" t="s">
        <v>856</v>
      </c>
      <c r="C174" s="98" t="s">
        <v>124</v>
      </c>
      <c r="D174" s="98" t="s">
        <v>631</v>
      </c>
      <c r="E174" s="98" t="s">
        <v>23</v>
      </c>
      <c r="F174" s="98" t="s">
        <v>730</v>
      </c>
      <c r="G174" s="98">
        <v>4</v>
      </c>
      <c r="H174" s="98" t="str">
        <f t="shared" si="11"/>
        <v>BSS-TC-23145 TC_OBI_PM 1.4_002_CH Qualification against PM_Missed _CH reported in more than one month</v>
      </c>
      <c r="I174" s="98" t="s">
        <v>630</v>
      </c>
      <c r="J174" s="98" t="s">
        <v>41</v>
      </c>
      <c r="K174" s="98" t="s">
        <v>631</v>
      </c>
    </row>
    <row r="175" spans="2:11" x14ac:dyDescent="0.25">
      <c r="B175" s="98" t="s">
        <v>856</v>
      </c>
      <c r="C175" s="98" t="s">
        <v>124</v>
      </c>
      <c r="D175" s="98" t="s">
        <v>631</v>
      </c>
      <c r="E175" s="98" t="s">
        <v>43</v>
      </c>
      <c r="F175" s="98" t="s">
        <v>730</v>
      </c>
      <c r="G175" s="98">
        <v>5</v>
      </c>
      <c r="H175" s="98" t="str">
        <f t="shared" si="11"/>
        <v>BSS-TC-23145 TC_OBI_PM 1.4_002_CH Qualification against PM_Missed _CH reported in more than one month</v>
      </c>
      <c r="I175" s="98" t="s">
        <v>630</v>
      </c>
      <c r="J175" s="98" t="s">
        <v>44</v>
      </c>
      <c r="K175" s="98" t="s">
        <v>631</v>
      </c>
    </row>
    <row r="176" spans="2:11" x14ac:dyDescent="0.25">
      <c r="B176" s="98" t="s">
        <v>856</v>
      </c>
      <c r="C176" s="98" t="s">
        <v>124</v>
      </c>
      <c r="D176" s="98" t="s">
        <v>631</v>
      </c>
      <c r="E176" s="98" t="s">
        <v>25</v>
      </c>
      <c r="F176" s="98" t="s">
        <v>730</v>
      </c>
      <c r="G176" s="98">
        <v>6</v>
      </c>
      <c r="H176" s="98" t="str">
        <f t="shared" si="11"/>
        <v>BSS-TC-23145 TC_OBI_PM 1.4_002_CH Qualification against PM_Missed _CH reported in more than one month</v>
      </c>
      <c r="I176" s="98" t="s">
        <v>630</v>
      </c>
      <c r="J176" s="98" t="s">
        <v>27</v>
      </c>
      <c r="K176" s="98" t="s">
        <v>631</v>
      </c>
    </row>
    <row r="177" spans="2:11" x14ac:dyDescent="0.25">
      <c r="B177" s="98" t="s">
        <v>856</v>
      </c>
      <c r="C177" s="98" t="s">
        <v>124</v>
      </c>
      <c r="D177" s="98" t="s">
        <v>631</v>
      </c>
      <c r="E177" s="98" t="s">
        <v>521</v>
      </c>
      <c r="F177" s="98" t="s">
        <v>730</v>
      </c>
      <c r="G177" s="98">
        <v>7</v>
      </c>
      <c r="H177" s="98" t="str">
        <f t="shared" si="11"/>
        <v>BSS-TC-23145 TC_OBI_PM 1.4_002_CH Qualification against PM_Missed _CH reported in more than one month</v>
      </c>
      <c r="I177" s="98" t="s">
        <v>630</v>
      </c>
      <c r="J177" s="98" t="s">
        <v>522</v>
      </c>
      <c r="K177" s="98" t="s">
        <v>631</v>
      </c>
    </row>
    <row r="178" spans="2:11" x14ac:dyDescent="0.25">
      <c r="B178" s="98" t="s">
        <v>856</v>
      </c>
      <c r="C178" s="98" t="s">
        <v>124</v>
      </c>
      <c r="D178" s="98" t="s">
        <v>631</v>
      </c>
      <c r="E178" s="98" t="s">
        <v>50</v>
      </c>
      <c r="F178" s="98" t="s">
        <v>730</v>
      </c>
      <c r="G178" s="98">
        <v>8</v>
      </c>
      <c r="H178" s="98" t="str">
        <f t="shared" si="11"/>
        <v>BSS-TC-23145 TC_OBI_PM 1.4_002_CH Qualification against PM_Missed _CH reported in more than one month</v>
      </c>
      <c r="I178" s="98" t="s">
        <v>630</v>
      </c>
      <c r="J178" s="98" t="s">
        <v>51</v>
      </c>
      <c r="K178" s="98" t="s">
        <v>631</v>
      </c>
    </row>
    <row r="179" spans="2:11" x14ac:dyDescent="0.25">
      <c r="B179" s="98" t="s">
        <v>856</v>
      </c>
      <c r="C179" s="98" t="s">
        <v>124</v>
      </c>
      <c r="D179" s="98" t="s">
        <v>631</v>
      </c>
      <c r="E179" s="98" t="s">
        <v>731</v>
      </c>
      <c r="F179" s="98" t="s">
        <v>730</v>
      </c>
      <c r="G179" s="98">
        <v>9</v>
      </c>
      <c r="H179" s="98" t="str">
        <f t="shared" si="11"/>
        <v>BSS-TC-23145 TC_OBI_PM 1.4_002_CH Qualification against PM_Missed _CH reported in more than one month</v>
      </c>
      <c r="I179" s="98" t="s">
        <v>630</v>
      </c>
      <c r="J179" s="98" t="s">
        <v>732</v>
      </c>
      <c r="K179" s="98" t="s">
        <v>119</v>
      </c>
    </row>
    <row r="180" spans="2:11" x14ac:dyDescent="0.25">
      <c r="B180" s="98" t="s">
        <v>857</v>
      </c>
      <c r="C180" s="98" t="s">
        <v>127</v>
      </c>
      <c r="D180" s="98" t="s">
        <v>631</v>
      </c>
      <c r="E180" s="98" t="s">
        <v>733</v>
      </c>
      <c r="F180" s="98" t="s">
        <v>734</v>
      </c>
      <c r="G180" s="98">
        <v>1</v>
      </c>
      <c r="H180" s="98" t="str">
        <f t="shared" ref="H180:H188" si="12">HYPERLINK("http://rms/perspective.req?projectId=233&amp;docId=959362","BSS-TC-23146 TC_OBI_PM 1.4_003_CH Qualification against PM_Missed _CH reported across number of consecutive months")</f>
        <v>BSS-TC-23146 TC_OBI_PM 1.4_003_CH Qualification against PM_Missed _CH reported across number of consecutive months</v>
      </c>
      <c r="I180" s="98" t="s">
        <v>630</v>
      </c>
      <c r="J180" s="98" t="s">
        <v>80</v>
      </c>
      <c r="K180" s="98" t="s">
        <v>517</v>
      </c>
    </row>
    <row r="181" spans="2:11" x14ac:dyDescent="0.25">
      <c r="B181" s="98" t="s">
        <v>857</v>
      </c>
      <c r="C181" s="98" t="s">
        <v>127</v>
      </c>
      <c r="D181" s="98" t="s">
        <v>631</v>
      </c>
      <c r="E181" s="98" t="s">
        <v>18</v>
      </c>
      <c r="F181" s="98" t="s">
        <v>734</v>
      </c>
      <c r="G181" s="98">
        <v>2</v>
      </c>
      <c r="H181" s="98" t="str">
        <f t="shared" si="12"/>
        <v>BSS-TC-23146 TC_OBI_PM 1.4_003_CH Qualification against PM_Missed _CH reported across number of consecutive months</v>
      </c>
      <c r="I181" s="98" t="s">
        <v>630</v>
      </c>
      <c r="J181" s="98" t="s">
        <v>20</v>
      </c>
      <c r="K181" s="98" t="s">
        <v>631</v>
      </c>
    </row>
    <row r="182" spans="2:11" x14ac:dyDescent="0.25">
      <c r="B182" s="98" t="s">
        <v>857</v>
      </c>
      <c r="C182" s="98" t="s">
        <v>127</v>
      </c>
      <c r="D182" s="98" t="s">
        <v>631</v>
      </c>
      <c r="E182" s="98" t="s">
        <v>21</v>
      </c>
      <c r="F182" s="98" t="s">
        <v>734</v>
      </c>
      <c r="G182" s="98">
        <v>3</v>
      </c>
      <c r="H182" s="98" t="str">
        <f t="shared" si="12"/>
        <v>BSS-TC-23146 TC_OBI_PM 1.4_003_CH Qualification against PM_Missed _CH reported across number of consecutive months</v>
      </c>
      <c r="I182" s="98" t="s">
        <v>630</v>
      </c>
      <c r="J182" s="98" t="s">
        <v>22</v>
      </c>
      <c r="K182" s="98" t="s">
        <v>631</v>
      </c>
    </row>
    <row r="183" spans="2:11" x14ac:dyDescent="0.25">
      <c r="B183" s="98" t="s">
        <v>857</v>
      </c>
      <c r="C183" s="98" t="s">
        <v>127</v>
      </c>
      <c r="D183" s="98" t="s">
        <v>631</v>
      </c>
      <c r="E183" s="98" t="s">
        <v>23</v>
      </c>
      <c r="F183" s="98" t="s">
        <v>734</v>
      </c>
      <c r="G183" s="98">
        <v>4</v>
      </c>
      <c r="H183" s="98" t="str">
        <f t="shared" si="12"/>
        <v>BSS-TC-23146 TC_OBI_PM 1.4_003_CH Qualification against PM_Missed _CH reported across number of consecutive months</v>
      </c>
      <c r="I183" s="98" t="s">
        <v>630</v>
      </c>
      <c r="J183" s="98" t="s">
        <v>41</v>
      </c>
      <c r="K183" s="98" t="s">
        <v>631</v>
      </c>
    </row>
    <row r="184" spans="2:11" x14ac:dyDescent="0.25">
      <c r="B184" s="98" t="s">
        <v>857</v>
      </c>
      <c r="C184" s="98" t="s">
        <v>127</v>
      </c>
      <c r="D184" s="98" t="s">
        <v>631</v>
      </c>
      <c r="E184" s="98" t="s">
        <v>43</v>
      </c>
      <c r="F184" s="98" t="s">
        <v>734</v>
      </c>
      <c r="G184" s="98">
        <v>5</v>
      </c>
      <c r="H184" s="98" t="str">
        <f t="shared" si="12"/>
        <v>BSS-TC-23146 TC_OBI_PM 1.4_003_CH Qualification against PM_Missed _CH reported across number of consecutive months</v>
      </c>
      <c r="I184" s="98" t="s">
        <v>630</v>
      </c>
      <c r="J184" s="98" t="s">
        <v>44</v>
      </c>
      <c r="K184" s="98" t="s">
        <v>631</v>
      </c>
    </row>
    <row r="185" spans="2:11" x14ac:dyDescent="0.25">
      <c r="B185" s="98" t="s">
        <v>857</v>
      </c>
      <c r="C185" s="98" t="s">
        <v>127</v>
      </c>
      <c r="D185" s="98" t="s">
        <v>631</v>
      </c>
      <c r="E185" s="98" t="s">
        <v>25</v>
      </c>
      <c r="F185" s="98" t="s">
        <v>734</v>
      </c>
      <c r="G185" s="98">
        <v>6</v>
      </c>
      <c r="H185" s="98" t="str">
        <f t="shared" si="12"/>
        <v>BSS-TC-23146 TC_OBI_PM 1.4_003_CH Qualification against PM_Missed _CH reported across number of consecutive months</v>
      </c>
      <c r="I185" s="98" t="s">
        <v>630</v>
      </c>
      <c r="J185" s="98" t="s">
        <v>27</v>
      </c>
      <c r="K185" s="98" t="s">
        <v>631</v>
      </c>
    </row>
    <row r="186" spans="2:11" x14ac:dyDescent="0.25">
      <c r="B186" s="98" t="s">
        <v>857</v>
      </c>
      <c r="C186" s="98" t="s">
        <v>127</v>
      </c>
      <c r="D186" s="98" t="s">
        <v>631</v>
      </c>
      <c r="E186" s="98" t="s">
        <v>521</v>
      </c>
      <c r="F186" s="98" t="s">
        <v>734</v>
      </c>
      <c r="G186" s="98">
        <v>7</v>
      </c>
      <c r="H186" s="98" t="str">
        <f t="shared" si="12"/>
        <v>BSS-TC-23146 TC_OBI_PM 1.4_003_CH Qualification against PM_Missed _CH reported across number of consecutive months</v>
      </c>
      <c r="I186" s="98" t="s">
        <v>630</v>
      </c>
      <c r="J186" s="98" t="s">
        <v>522</v>
      </c>
      <c r="K186" s="98" t="s">
        <v>631</v>
      </c>
    </row>
    <row r="187" spans="2:11" x14ac:dyDescent="0.25">
      <c r="B187" s="98" t="s">
        <v>857</v>
      </c>
      <c r="C187" s="98" t="s">
        <v>127</v>
      </c>
      <c r="D187" s="98" t="s">
        <v>631</v>
      </c>
      <c r="E187" s="98" t="s">
        <v>50</v>
      </c>
      <c r="F187" s="98" t="s">
        <v>734</v>
      </c>
      <c r="G187" s="98">
        <v>8</v>
      </c>
      <c r="H187" s="98" t="str">
        <f t="shared" si="12"/>
        <v>BSS-TC-23146 TC_OBI_PM 1.4_003_CH Qualification against PM_Missed _CH reported across number of consecutive months</v>
      </c>
      <c r="I187" s="98" t="s">
        <v>630</v>
      </c>
      <c r="J187" s="98" t="s">
        <v>51</v>
      </c>
      <c r="K187" s="98" t="s">
        <v>631</v>
      </c>
    </row>
    <row r="188" spans="2:11" x14ac:dyDescent="0.25">
      <c r="B188" s="98" t="s">
        <v>857</v>
      </c>
      <c r="C188" s="98" t="s">
        <v>127</v>
      </c>
      <c r="D188" s="98" t="s">
        <v>631</v>
      </c>
      <c r="E188" s="98" t="s">
        <v>731</v>
      </c>
      <c r="F188" s="98" t="s">
        <v>734</v>
      </c>
      <c r="G188" s="98">
        <v>9</v>
      </c>
      <c r="H188" s="98" t="str">
        <f t="shared" si="12"/>
        <v>BSS-TC-23146 TC_OBI_PM 1.4_003_CH Qualification against PM_Missed _CH reported across number of consecutive months</v>
      </c>
      <c r="I188" s="98" t="s">
        <v>630</v>
      </c>
      <c r="J188" s="98" t="s">
        <v>732</v>
      </c>
      <c r="K188" s="98" t="s">
        <v>119</v>
      </c>
    </row>
    <row r="189" spans="2:11" x14ac:dyDescent="0.25">
      <c r="B189" s="98" t="s">
        <v>858</v>
      </c>
      <c r="C189" s="98" t="s">
        <v>735</v>
      </c>
      <c r="D189" s="98" t="s">
        <v>631</v>
      </c>
      <c r="E189" s="98" t="s">
        <v>18</v>
      </c>
      <c r="F189" s="98" t="s">
        <v>736</v>
      </c>
      <c r="G189" s="98">
        <v>1</v>
      </c>
      <c r="H189" s="98" t="str">
        <f t="shared" ref="H189:H200" si="13">HYPERLINK("http://rms/perspective.req?projectId=233&amp;docId=959410","BSS-TC-23181 TC_OBI_PM 1.4_001_CR109_PM 1_ Performance Area_Report_x000D_
")</f>
        <v xml:space="preserve">BSS-TC-23181 TC_OBI_PM 1.4_001_CR109_PM 1_ Performance Area_Report_x000D_
</v>
      </c>
      <c r="I189" s="98" t="s">
        <v>630</v>
      </c>
      <c r="J189" s="98" t="s">
        <v>20</v>
      </c>
      <c r="K189" s="98" t="s">
        <v>631</v>
      </c>
    </row>
    <row r="190" spans="2:11" x14ac:dyDescent="0.25">
      <c r="B190" s="98" t="s">
        <v>858</v>
      </c>
      <c r="C190" s="98" t="s">
        <v>735</v>
      </c>
      <c r="D190" s="98" t="s">
        <v>631</v>
      </c>
      <c r="E190" s="98" t="s">
        <v>21</v>
      </c>
      <c r="F190" s="98" t="s">
        <v>736</v>
      </c>
      <c r="G190" s="98">
        <v>2</v>
      </c>
      <c r="H190" s="98" t="str">
        <f t="shared" si="13"/>
        <v xml:space="preserve">BSS-TC-23181 TC_OBI_PM 1.4_001_CR109_PM 1_ Performance Area_Report_x000D_
</v>
      </c>
      <c r="I190" s="98" t="s">
        <v>630</v>
      </c>
      <c r="J190" s="98" t="s">
        <v>22</v>
      </c>
      <c r="K190" s="98" t="s">
        <v>631</v>
      </c>
    </row>
    <row r="191" spans="2:11" x14ac:dyDescent="0.25">
      <c r="B191" s="98" t="s">
        <v>858</v>
      </c>
      <c r="C191" s="98" t="s">
        <v>735</v>
      </c>
      <c r="D191" s="98" t="s">
        <v>631</v>
      </c>
      <c r="E191" s="98" t="s">
        <v>23</v>
      </c>
      <c r="F191" s="98" t="s">
        <v>736</v>
      </c>
      <c r="G191" s="98">
        <v>3</v>
      </c>
      <c r="H191" s="98" t="str">
        <f t="shared" si="13"/>
        <v xml:space="preserve">BSS-TC-23181 TC_OBI_PM 1.4_001_CR109_PM 1_ Performance Area_Report_x000D_
</v>
      </c>
      <c r="I191" s="98" t="s">
        <v>630</v>
      </c>
      <c r="J191" s="98" t="s">
        <v>24</v>
      </c>
      <c r="K191" s="98" t="s">
        <v>631</v>
      </c>
    </row>
    <row r="192" spans="2:11" x14ac:dyDescent="0.25">
      <c r="B192" s="98" t="s">
        <v>858</v>
      </c>
      <c r="C192" s="98" t="s">
        <v>735</v>
      </c>
      <c r="D192" s="98" t="s">
        <v>631</v>
      </c>
      <c r="E192" s="98" t="s">
        <v>34</v>
      </c>
      <c r="F192" s="98" t="s">
        <v>736</v>
      </c>
      <c r="G192" s="98">
        <v>4</v>
      </c>
      <c r="H192" s="98" t="str">
        <f t="shared" si="13"/>
        <v xml:space="preserve">BSS-TC-23181 TC_OBI_PM 1.4_001_CR109_PM 1_ Performance Area_Report_x000D_
</v>
      </c>
      <c r="I192" s="98" t="s">
        <v>630</v>
      </c>
      <c r="J192" s="98" t="s">
        <v>77</v>
      </c>
      <c r="K192" s="98" t="s">
        <v>631</v>
      </c>
    </row>
    <row r="193" spans="2:11" x14ac:dyDescent="0.25">
      <c r="B193" s="98" t="s">
        <v>858</v>
      </c>
      <c r="C193" s="98" t="s">
        <v>735</v>
      </c>
      <c r="D193" s="98" t="s">
        <v>631</v>
      </c>
      <c r="E193" s="98" t="s">
        <v>35</v>
      </c>
      <c r="F193" s="98" t="s">
        <v>736</v>
      </c>
      <c r="G193" s="98">
        <v>5</v>
      </c>
      <c r="H193" s="98" t="str">
        <f t="shared" si="13"/>
        <v xml:space="preserve">BSS-TC-23181 TC_OBI_PM 1.4_001_CR109_PM 1_ Performance Area_Report_x000D_
</v>
      </c>
      <c r="I193" s="98" t="s">
        <v>630</v>
      </c>
      <c r="J193" s="98" t="s">
        <v>36</v>
      </c>
      <c r="K193" s="98" t="s">
        <v>631</v>
      </c>
    </row>
    <row r="194" spans="2:11" x14ac:dyDescent="0.25">
      <c r="B194" s="98" t="s">
        <v>858</v>
      </c>
      <c r="C194" s="98" t="s">
        <v>735</v>
      </c>
      <c r="D194" s="98" t="s">
        <v>631</v>
      </c>
      <c r="E194" s="98" t="s">
        <v>37</v>
      </c>
      <c r="F194" s="98" t="s">
        <v>736</v>
      </c>
      <c r="G194" s="98">
        <v>6</v>
      </c>
      <c r="H194" s="98" t="str">
        <f t="shared" si="13"/>
        <v xml:space="preserve">BSS-TC-23181 TC_OBI_PM 1.4_001_CR109_PM 1_ Performance Area_Report_x000D_
</v>
      </c>
      <c r="I194" s="98" t="s">
        <v>630</v>
      </c>
      <c r="J194" s="98" t="s">
        <v>38</v>
      </c>
      <c r="K194" s="98" t="s">
        <v>40</v>
      </c>
    </row>
    <row r="195" spans="2:11" x14ac:dyDescent="0.25">
      <c r="B195" s="98" t="s">
        <v>858</v>
      </c>
      <c r="C195" s="98" t="s">
        <v>735</v>
      </c>
      <c r="D195" s="98" t="s">
        <v>631</v>
      </c>
      <c r="E195" s="98" t="s">
        <v>413</v>
      </c>
      <c r="F195" s="98" t="s">
        <v>736</v>
      </c>
      <c r="G195" s="98">
        <v>7</v>
      </c>
      <c r="H195" s="98" t="str">
        <f t="shared" si="13"/>
        <v xml:space="preserve">BSS-TC-23181 TC_OBI_PM 1.4_001_CR109_PM 1_ Performance Area_Report_x000D_
</v>
      </c>
      <c r="I195" s="98" t="s">
        <v>630</v>
      </c>
      <c r="J195" s="98" t="s">
        <v>737</v>
      </c>
      <c r="K195" s="98" t="s">
        <v>340</v>
      </c>
    </row>
    <row r="196" spans="2:11" x14ac:dyDescent="0.25">
      <c r="B196" s="98" t="s">
        <v>858</v>
      </c>
      <c r="C196" s="98" t="s">
        <v>735</v>
      </c>
      <c r="D196" s="98" t="s">
        <v>631</v>
      </c>
      <c r="E196" s="98" t="s">
        <v>344</v>
      </c>
      <c r="F196" s="98" t="s">
        <v>736</v>
      </c>
      <c r="G196" s="98">
        <v>8</v>
      </c>
      <c r="H196" s="98" t="str">
        <f t="shared" si="13"/>
        <v xml:space="preserve">BSS-TC-23181 TC_OBI_PM 1.4_001_CR109_PM 1_ Performance Area_Report_x000D_
</v>
      </c>
      <c r="I196" s="98" t="s">
        <v>630</v>
      </c>
      <c r="J196" s="98" t="s">
        <v>346</v>
      </c>
      <c r="K196" s="98" t="s">
        <v>345</v>
      </c>
    </row>
    <row r="197" spans="2:11" x14ac:dyDescent="0.25">
      <c r="B197" s="98" t="s">
        <v>858</v>
      </c>
      <c r="C197" s="98" t="s">
        <v>735</v>
      </c>
      <c r="D197" s="98" t="s">
        <v>631</v>
      </c>
      <c r="E197" s="98" t="s">
        <v>738</v>
      </c>
      <c r="F197" s="98" t="s">
        <v>736</v>
      </c>
      <c r="G197" s="98">
        <v>9</v>
      </c>
      <c r="H197" s="98" t="str">
        <f t="shared" si="13"/>
        <v xml:space="preserve">BSS-TC-23181 TC_OBI_PM 1.4_001_CR109_PM 1_ Performance Area_Report_x000D_
</v>
      </c>
      <c r="I197" s="98" t="s">
        <v>630</v>
      </c>
      <c r="J197" s="98" t="s">
        <v>739</v>
      </c>
      <c r="K197" s="98" t="s">
        <v>348</v>
      </c>
    </row>
    <row r="198" spans="2:11" x14ac:dyDescent="0.25">
      <c r="B198" s="98" t="s">
        <v>858</v>
      </c>
      <c r="C198" s="98" t="s">
        <v>735</v>
      </c>
      <c r="D198" s="98" t="s">
        <v>631</v>
      </c>
      <c r="E198" s="98" t="s">
        <v>62</v>
      </c>
      <c r="F198" s="98" t="s">
        <v>736</v>
      </c>
      <c r="G198" s="98">
        <v>10</v>
      </c>
      <c r="H198" s="98" t="str">
        <f t="shared" si="13"/>
        <v xml:space="preserve">BSS-TC-23181 TC_OBI_PM 1.4_001_CR109_PM 1_ Performance Area_Report_x000D_
</v>
      </c>
      <c r="I198" s="98" t="s">
        <v>630</v>
      </c>
      <c r="J198" s="98" t="s">
        <v>63</v>
      </c>
      <c r="K198" s="98" t="s">
        <v>631</v>
      </c>
    </row>
    <row r="199" spans="2:11" x14ac:dyDescent="0.25">
      <c r="B199" s="98" t="s">
        <v>858</v>
      </c>
      <c r="C199" s="98" t="s">
        <v>735</v>
      </c>
      <c r="D199" s="98" t="s">
        <v>631</v>
      </c>
      <c r="E199" s="98" t="s">
        <v>64</v>
      </c>
      <c r="F199" s="98" t="s">
        <v>736</v>
      </c>
      <c r="G199" s="98">
        <v>11</v>
      </c>
      <c r="H199" s="98" t="str">
        <f t="shared" si="13"/>
        <v xml:space="preserve">BSS-TC-23181 TC_OBI_PM 1.4_001_CR109_PM 1_ Performance Area_Report_x000D_
</v>
      </c>
      <c r="I199" s="98" t="s">
        <v>630</v>
      </c>
      <c r="J199" s="98" t="s">
        <v>27</v>
      </c>
      <c r="K199" s="98" t="s">
        <v>631</v>
      </c>
    </row>
    <row r="200" spans="2:11" x14ac:dyDescent="0.25">
      <c r="B200" s="98" t="s">
        <v>858</v>
      </c>
      <c r="C200" s="98" t="s">
        <v>735</v>
      </c>
      <c r="D200" s="98" t="s">
        <v>631</v>
      </c>
      <c r="E200" s="98" t="s">
        <v>65</v>
      </c>
      <c r="F200" s="98" t="s">
        <v>736</v>
      </c>
      <c r="G200" s="98">
        <v>12</v>
      </c>
      <c r="H200" s="98" t="str">
        <f t="shared" si="13"/>
        <v xml:space="preserve">BSS-TC-23181 TC_OBI_PM 1.4_001_CR109_PM 1_ Performance Area_Report_x000D_
</v>
      </c>
      <c r="I200" s="98" t="s">
        <v>630</v>
      </c>
      <c r="J200" s="98" t="s">
        <v>66</v>
      </c>
      <c r="K200" s="98" t="s">
        <v>631</v>
      </c>
    </row>
    <row r="201" spans="2:11" x14ac:dyDescent="0.25">
      <c r="B201" s="98" t="s">
        <v>859</v>
      </c>
      <c r="C201" s="98" t="s">
        <v>386</v>
      </c>
      <c r="D201" s="98" t="s">
        <v>631</v>
      </c>
      <c r="E201" s="98" t="s">
        <v>740</v>
      </c>
      <c r="F201" s="98" t="s">
        <v>741</v>
      </c>
      <c r="G201" s="98">
        <v>1</v>
      </c>
      <c r="H201" s="98" t="str">
        <f t="shared" ref="H201:H210" si="14">HYPERLINK("http://rms/perspective.req?projectId=233&amp;docId=959405","BSS-TC-23177 TC_OBI_002_CR_109_PM1.4_Exclusion_Condition_2")</f>
        <v>BSS-TC-23177 TC_OBI_002_CR_109_PM1.4_Exclusion_Condition_2</v>
      </c>
      <c r="I201" s="98" t="s">
        <v>630</v>
      </c>
      <c r="J201" s="98" t="s">
        <v>80</v>
      </c>
      <c r="K201" s="98" t="s">
        <v>369</v>
      </c>
    </row>
    <row r="202" spans="2:11" x14ac:dyDescent="0.25">
      <c r="B202" s="98" t="s">
        <v>859</v>
      </c>
      <c r="C202" s="98" t="s">
        <v>386</v>
      </c>
      <c r="D202" s="98" t="s">
        <v>631</v>
      </c>
      <c r="E202" s="98" t="s">
        <v>370</v>
      </c>
      <c r="F202" s="98" t="s">
        <v>741</v>
      </c>
      <c r="G202" s="98">
        <v>2</v>
      </c>
      <c r="H202" s="98" t="str">
        <f t="shared" si="14"/>
        <v>BSS-TC-23177 TC_OBI_002_CR_109_PM1.4_Exclusion_Condition_2</v>
      </c>
      <c r="I202" s="98" t="s">
        <v>630</v>
      </c>
      <c r="J202" s="98" t="s">
        <v>156</v>
      </c>
      <c r="K202" s="98" t="s">
        <v>631</v>
      </c>
    </row>
    <row r="203" spans="2:11" x14ac:dyDescent="0.25">
      <c r="B203" s="98" t="s">
        <v>859</v>
      </c>
      <c r="C203" s="98" t="s">
        <v>386</v>
      </c>
      <c r="D203" s="98" t="s">
        <v>631</v>
      </c>
      <c r="E203" s="98" t="s">
        <v>388</v>
      </c>
      <c r="F203" s="98" t="s">
        <v>741</v>
      </c>
      <c r="G203" s="98">
        <v>3</v>
      </c>
      <c r="H203" s="98" t="str">
        <f t="shared" si="14"/>
        <v>BSS-TC-23177 TC_OBI_002_CR_109_PM1.4_Exclusion_Condition_2</v>
      </c>
      <c r="I203" s="98" t="s">
        <v>630</v>
      </c>
      <c r="J203" s="98" t="s">
        <v>389</v>
      </c>
      <c r="K203" s="98" t="s">
        <v>631</v>
      </c>
    </row>
    <row r="204" spans="2:11" x14ac:dyDescent="0.25">
      <c r="B204" s="98" t="s">
        <v>859</v>
      </c>
      <c r="C204" s="98" t="s">
        <v>386</v>
      </c>
      <c r="D204" s="98" t="s">
        <v>631</v>
      </c>
      <c r="E204" s="98" t="s">
        <v>390</v>
      </c>
      <c r="F204" s="98" t="s">
        <v>741</v>
      </c>
      <c r="G204" s="98">
        <v>4</v>
      </c>
      <c r="H204" s="98" t="str">
        <f t="shared" si="14"/>
        <v>BSS-TC-23177 TC_OBI_002_CR_109_PM1.4_Exclusion_Condition_2</v>
      </c>
      <c r="I204" s="98" t="s">
        <v>630</v>
      </c>
      <c r="J204" s="98" t="s">
        <v>391</v>
      </c>
      <c r="K204" s="98" t="s">
        <v>631</v>
      </c>
    </row>
    <row r="205" spans="2:11" x14ac:dyDescent="0.25">
      <c r="B205" s="98" t="s">
        <v>859</v>
      </c>
      <c r="C205" s="98" t="s">
        <v>386</v>
      </c>
      <c r="D205" s="98" t="s">
        <v>631</v>
      </c>
      <c r="E205" s="98" t="s">
        <v>392</v>
      </c>
      <c r="F205" s="98" t="s">
        <v>741</v>
      </c>
      <c r="G205" s="98">
        <v>5</v>
      </c>
      <c r="H205" s="98" t="str">
        <f t="shared" si="14"/>
        <v>BSS-TC-23177 TC_OBI_002_CR_109_PM1.4_Exclusion_Condition_2</v>
      </c>
      <c r="I205" s="98" t="s">
        <v>630</v>
      </c>
      <c r="J205" s="98" t="s">
        <v>394</v>
      </c>
      <c r="K205" s="98" t="s">
        <v>393</v>
      </c>
    </row>
    <row r="206" spans="2:11" x14ac:dyDescent="0.25">
      <c r="B206" s="98" t="s">
        <v>859</v>
      </c>
      <c r="C206" s="98" t="s">
        <v>386</v>
      </c>
      <c r="D206" s="98" t="s">
        <v>631</v>
      </c>
      <c r="E206" s="98" t="s">
        <v>377</v>
      </c>
      <c r="F206" s="98" t="s">
        <v>741</v>
      </c>
      <c r="G206" s="98">
        <v>6</v>
      </c>
      <c r="H206" s="98" t="str">
        <f t="shared" si="14"/>
        <v>BSS-TC-23177 TC_OBI_002_CR_109_PM1.4_Exclusion_Condition_2</v>
      </c>
      <c r="I206" s="98" t="s">
        <v>630</v>
      </c>
      <c r="J206" s="98" t="s">
        <v>396</v>
      </c>
      <c r="K206" s="98" t="s">
        <v>395</v>
      </c>
    </row>
    <row r="207" spans="2:11" x14ac:dyDescent="0.25">
      <c r="B207" s="98" t="s">
        <v>859</v>
      </c>
      <c r="C207" s="98" t="s">
        <v>386</v>
      </c>
      <c r="D207" s="98" t="s">
        <v>631</v>
      </c>
      <c r="E207" s="98" t="s">
        <v>742</v>
      </c>
      <c r="F207" s="98" t="s">
        <v>741</v>
      </c>
      <c r="G207" s="98">
        <v>7</v>
      </c>
      <c r="H207" s="98" t="str">
        <f t="shared" si="14"/>
        <v>BSS-TC-23177 TC_OBI_002_CR_109_PM1.4_Exclusion_Condition_2</v>
      </c>
      <c r="I207" s="98" t="s">
        <v>630</v>
      </c>
      <c r="J207" s="98" t="s">
        <v>381</v>
      </c>
      <c r="K207" s="98" t="s">
        <v>380</v>
      </c>
    </row>
    <row r="208" spans="2:11" x14ac:dyDescent="0.25">
      <c r="B208" s="98" t="s">
        <v>859</v>
      </c>
      <c r="C208" s="98" t="s">
        <v>386</v>
      </c>
      <c r="D208" s="98" t="s">
        <v>631</v>
      </c>
      <c r="E208" s="98" t="s">
        <v>382</v>
      </c>
      <c r="F208" s="98" t="s">
        <v>741</v>
      </c>
      <c r="G208" s="98">
        <v>8</v>
      </c>
      <c r="H208" s="98" t="str">
        <f t="shared" si="14"/>
        <v>BSS-TC-23177 TC_OBI_002_CR_109_PM1.4_Exclusion_Condition_2</v>
      </c>
      <c r="I208" s="98" t="s">
        <v>630</v>
      </c>
      <c r="J208" s="98" t="s">
        <v>383</v>
      </c>
      <c r="K208" s="98" t="s">
        <v>631</v>
      </c>
    </row>
    <row r="209" spans="2:11" x14ac:dyDescent="0.25">
      <c r="B209" s="98" t="s">
        <v>859</v>
      </c>
      <c r="C209" s="98" t="s">
        <v>386</v>
      </c>
      <c r="D209" s="98" t="s">
        <v>631</v>
      </c>
      <c r="E209" s="98" t="s">
        <v>384</v>
      </c>
      <c r="F209" s="98" t="s">
        <v>741</v>
      </c>
      <c r="G209" s="98">
        <v>9</v>
      </c>
      <c r="H209" s="98" t="str">
        <f t="shared" si="14"/>
        <v>BSS-TC-23177 TC_OBI_002_CR_109_PM1.4_Exclusion_Condition_2</v>
      </c>
      <c r="I209" s="98" t="s">
        <v>630</v>
      </c>
      <c r="J209" s="98" t="s">
        <v>397</v>
      </c>
      <c r="K209" s="98" t="s">
        <v>631</v>
      </c>
    </row>
    <row r="210" spans="2:11" x14ac:dyDescent="0.25">
      <c r="B210" s="98" t="s">
        <v>859</v>
      </c>
      <c r="C210" s="98" t="s">
        <v>386</v>
      </c>
      <c r="D210" s="98" t="s">
        <v>631</v>
      </c>
      <c r="E210" s="98" t="s">
        <v>743</v>
      </c>
      <c r="F210" s="98" t="s">
        <v>741</v>
      </c>
      <c r="G210" s="98">
        <v>10</v>
      </c>
      <c r="H210" s="98" t="str">
        <f t="shared" si="14"/>
        <v>BSS-TC-23177 TC_OBI_002_CR_109_PM1.4_Exclusion_Condition_2</v>
      </c>
      <c r="I210" s="98" t="s">
        <v>630</v>
      </c>
      <c r="J210" s="98" t="s">
        <v>381</v>
      </c>
      <c r="K210" s="98" t="s">
        <v>380</v>
      </c>
    </row>
    <row r="211" spans="2:11" x14ac:dyDescent="0.25">
      <c r="B211" s="98" t="s">
        <v>860</v>
      </c>
      <c r="C211" s="98" t="s">
        <v>98</v>
      </c>
      <c r="D211" s="98" t="s">
        <v>631</v>
      </c>
      <c r="E211" s="98" t="s">
        <v>744</v>
      </c>
      <c r="F211" s="98" t="s">
        <v>99</v>
      </c>
      <c r="G211" s="98">
        <v>1</v>
      </c>
      <c r="H211" s="98" t="str">
        <f t="shared" ref="H211:H218" si="15">HYPERLINK("http://rms/perspective.req?projectId=233&amp;docId=959482","BSS-TC-23210 TC_OBI_PM 1.4_004_CH Qualification against PM_Criteria 4")</f>
        <v>BSS-TC-23210 TC_OBI_PM 1.4_004_CH Qualification against PM_Criteria 4</v>
      </c>
      <c r="I211" s="98" t="s">
        <v>630</v>
      </c>
      <c r="J211" s="98" t="s">
        <v>631</v>
      </c>
      <c r="K211" s="98" t="s">
        <v>517</v>
      </c>
    </row>
    <row r="212" spans="2:11" x14ac:dyDescent="0.25">
      <c r="B212" s="98" t="s">
        <v>860</v>
      </c>
      <c r="C212" s="98" t="s">
        <v>98</v>
      </c>
      <c r="D212" s="98" t="s">
        <v>631</v>
      </c>
      <c r="E212" s="98" t="s">
        <v>18</v>
      </c>
      <c r="F212" s="98" t="s">
        <v>99</v>
      </c>
      <c r="G212" s="98">
        <v>2</v>
      </c>
      <c r="H212" s="98" t="str">
        <f t="shared" si="15"/>
        <v>BSS-TC-23210 TC_OBI_PM 1.4_004_CH Qualification against PM_Criteria 4</v>
      </c>
      <c r="I212" s="98" t="s">
        <v>630</v>
      </c>
      <c r="J212" s="98" t="s">
        <v>20</v>
      </c>
      <c r="K212" s="98" t="s">
        <v>631</v>
      </c>
    </row>
    <row r="213" spans="2:11" x14ac:dyDescent="0.25">
      <c r="B213" s="98" t="s">
        <v>860</v>
      </c>
      <c r="C213" s="98" t="s">
        <v>98</v>
      </c>
      <c r="D213" s="98" t="s">
        <v>631</v>
      </c>
      <c r="E213" s="98" t="s">
        <v>21</v>
      </c>
      <c r="F213" s="98" t="s">
        <v>99</v>
      </c>
      <c r="G213" s="98">
        <v>3</v>
      </c>
      <c r="H213" s="98" t="str">
        <f t="shared" si="15"/>
        <v>BSS-TC-23210 TC_OBI_PM 1.4_004_CH Qualification against PM_Criteria 4</v>
      </c>
      <c r="I213" s="98" t="s">
        <v>630</v>
      </c>
      <c r="J213" s="98" t="s">
        <v>22</v>
      </c>
      <c r="K213" s="98" t="s">
        <v>631</v>
      </c>
    </row>
    <row r="214" spans="2:11" x14ac:dyDescent="0.25">
      <c r="B214" s="98" t="s">
        <v>860</v>
      </c>
      <c r="C214" s="98" t="s">
        <v>98</v>
      </c>
      <c r="D214" s="98" t="s">
        <v>631</v>
      </c>
      <c r="E214" s="98" t="s">
        <v>23</v>
      </c>
      <c r="F214" s="98" t="s">
        <v>99</v>
      </c>
      <c r="G214" s="98">
        <v>4</v>
      </c>
      <c r="H214" s="98" t="str">
        <f t="shared" si="15"/>
        <v>BSS-TC-23210 TC_OBI_PM 1.4_004_CH Qualification against PM_Criteria 4</v>
      </c>
      <c r="I214" s="98" t="s">
        <v>630</v>
      </c>
      <c r="J214" s="98" t="s">
        <v>41</v>
      </c>
      <c r="K214" s="98" t="s">
        <v>631</v>
      </c>
    </row>
    <row r="215" spans="2:11" x14ac:dyDescent="0.25">
      <c r="B215" s="98" t="s">
        <v>860</v>
      </c>
      <c r="C215" s="98" t="s">
        <v>98</v>
      </c>
      <c r="D215" s="98" t="s">
        <v>631</v>
      </c>
      <c r="E215" s="98" t="s">
        <v>76</v>
      </c>
      <c r="F215" s="98" t="s">
        <v>99</v>
      </c>
      <c r="G215" s="98">
        <v>5</v>
      </c>
      <c r="H215" s="98" t="str">
        <f t="shared" si="15"/>
        <v>BSS-TC-23210 TC_OBI_PM 1.4_004_CH Qualification against PM_Criteria 4</v>
      </c>
      <c r="I215" s="98" t="s">
        <v>630</v>
      </c>
      <c r="J215" s="98" t="s">
        <v>44</v>
      </c>
      <c r="K215" s="98" t="s">
        <v>631</v>
      </c>
    </row>
    <row r="216" spans="2:11" x14ac:dyDescent="0.25">
      <c r="B216" s="98" t="s">
        <v>860</v>
      </c>
      <c r="C216" s="98" t="s">
        <v>98</v>
      </c>
      <c r="D216" s="98" t="s">
        <v>631</v>
      </c>
      <c r="E216" s="98" t="s">
        <v>25</v>
      </c>
      <c r="F216" s="98" t="s">
        <v>99</v>
      </c>
      <c r="G216" s="98">
        <v>6</v>
      </c>
      <c r="H216" s="98" t="str">
        <f t="shared" si="15"/>
        <v>BSS-TC-23210 TC_OBI_PM 1.4_004_CH Qualification against PM_Criteria 4</v>
      </c>
      <c r="I216" s="98" t="s">
        <v>630</v>
      </c>
      <c r="J216" s="98" t="s">
        <v>27</v>
      </c>
      <c r="K216" s="98" t="s">
        <v>631</v>
      </c>
    </row>
    <row r="217" spans="2:11" x14ac:dyDescent="0.25">
      <c r="B217" s="98" t="s">
        <v>860</v>
      </c>
      <c r="C217" s="98" t="s">
        <v>98</v>
      </c>
      <c r="D217" s="98" t="s">
        <v>631</v>
      </c>
      <c r="E217" s="98" t="s">
        <v>45</v>
      </c>
      <c r="F217" s="98" t="s">
        <v>99</v>
      </c>
      <c r="G217" s="98">
        <v>7</v>
      </c>
      <c r="H217" s="98" t="str">
        <f t="shared" si="15"/>
        <v>BSS-TC-23210 TC_OBI_PM 1.4_004_CH Qualification against PM_Criteria 4</v>
      </c>
      <c r="I217" s="98" t="s">
        <v>630</v>
      </c>
      <c r="J217" s="98" t="s">
        <v>42</v>
      </c>
      <c r="K217" s="98" t="s">
        <v>631</v>
      </c>
    </row>
    <row r="218" spans="2:11" x14ac:dyDescent="0.25">
      <c r="B218" s="98" t="s">
        <v>860</v>
      </c>
      <c r="C218" s="98" t="s">
        <v>98</v>
      </c>
      <c r="D218" s="98" t="s">
        <v>631</v>
      </c>
      <c r="E218" s="98" t="s">
        <v>745</v>
      </c>
      <c r="F218" s="98" t="s">
        <v>99</v>
      </c>
      <c r="G218" s="98">
        <v>8</v>
      </c>
      <c r="H218" s="98" t="str">
        <f t="shared" si="15"/>
        <v>BSS-TC-23210 TC_OBI_PM 1.4_004_CH Qualification against PM_Criteria 4</v>
      </c>
      <c r="I218" s="98" t="s">
        <v>630</v>
      </c>
      <c r="J218" s="98" t="s">
        <v>746</v>
      </c>
      <c r="K218" s="98" t="s">
        <v>747</v>
      </c>
    </row>
    <row r="219" spans="2:11" x14ac:dyDescent="0.25">
      <c r="B219" s="98" t="s">
        <v>861</v>
      </c>
      <c r="C219" s="98" t="s">
        <v>257</v>
      </c>
      <c r="D219" s="98" t="s">
        <v>631</v>
      </c>
      <c r="E219" s="98" t="s">
        <v>748</v>
      </c>
      <c r="F219" s="98" t="s">
        <v>749</v>
      </c>
      <c r="G219" s="98">
        <v>1</v>
      </c>
      <c r="H219" s="98" t="str">
        <f t="shared" ref="H219:H227" si="16">HYPERLINK("http://rms/perspective.req?projectId=233&amp;docId=959483","BSS-TC-23211 TC_OBI_PM 1.4_005_CH Qualification against PM_Reporting date")</f>
        <v>BSS-TC-23211 TC_OBI_PM 1.4_005_CH Qualification against PM_Reporting date</v>
      </c>
      <c r="I219" s="98" t="s">
        <v>630</v>
      </c>
      <c r="J219" s="98" t="s">
        <v>631</v>
      </c>
      <c r="K219" s="98" t="s">
        <v>517</v>
      </c>
    </row>
    <row r="220" spans="2:11" x14ac:dyDescent="0.25">
      <c r="B220" s="98" t="s">
        <v>861</v>
      </c>
      <c r="C220" s="98" t="s">
        <v>257</v>
      </c>
      <c r="D220" s="98" t="s">
        <v>631</v>
      </c>
      <c r="E220" s="98" t="s">
        <v>150</v>
      </c>
      <c r="F220" s="98" t="s">
        <v>749</v>
      </c>
      <c r="G220" s="98">
        <v>2</v>
      </c>
      <c r="H220" s="98" t="str">
        <f t="shared" si="16"/>
        <v>BSS-TC-23211 TC_OBI_PM 1.4_005_CH Qualification against PM_Reporting date</v>
      </c>
      <c r="I220" s="98" t="s">
        <v>630</v>
      </c>
      <c r="J220" s="98" t="s">
        <v>631</v>
      </c>
      <c r="K220" s="98" t="s">
        <v>631</v>
      </c>
    </row>
    <row r="221" spans="2:11" x14ac:dyDescent="0.25">
      <c r="B221" s="98" t="s">
        <v>861</v>
      </c>
      <c r="C221" s="98" t="s">
        <v>257</v>
      </c>
      <c r="D221" s="98" t="s">
        <v>631</v>
      </c>
      <c r="E221" s="98" t="s">
        <v>18</v>
      </c>
      <c r="F221" s="98" t="s">
        <v>749</v>
      </c>
      <c r="G221" s="98">
        <v>3</v>
      </c>
      <c r="H221" s="98" t="str">
        <f t="shared" si="16"/>
        <v>BSS-TC-23211 TC_OBI_PM 1.4_005_CH Qualification against PM_Reporting date</v>
      </c>
      <c r="I221" s="98" t="s">
        <v>630</v>
      </c>
      <c r="J221" s="98" t="s">
        <v>20</v>
      </c>
      <c r="K221" s="98" t="s">
        <v>631</v>
      </c>
    </row>
    <row r="222" spans="2:11" x14ac:dyDescent="0.25">
      <c r="B222" s="98" t="s">
        <v>861</v>
      </c>
      <c r="C222" s="98" t="s">
        <v>257</v>
      </c>
      <c r="D222" s="98" t="s">
        <v>631</v>
      </c>
      <c r="E222" s="98" t="s">
        <v>21</v>
      </c>
      <c r="F222" s="98" t="s">
        <v>749</v>
      </c>
      <c r="G222" s="98">
        <v>4</v>
      </c>
      <c r="H222" s="98" t="str">
        <f t="shared" si="16"/>
        <v>BSS-TC-23211 TC_OBI_PM 1.4_005_CH Qualification against PM_Reporting date</v>
      </c>
      <c r="I222" s="98" t="s">
        <v>630</v>
      </c>
      <c r="J222" s="98" t="s">
        <v>22</v>
      </c>
      <c r="K222" s="98" t="s">
        <v>631</v>
      </c>
    </row>
    <row r="223" spans="2:11" x14ac:dyDescent="0.25">
      <c r="B223" s="98" t="s">
        <v>861</v>
      </c>
      <c r="C223" s="98" t="s">
        <v>257</v>
      </c>
      <c r="D223" s="98" t="s">
        <v>631</v>
      </c>
      <c r="E223" s="98" t="s">
        <v>23</v>
      </c>
      <c r="F223" s="98" t="s">
        <v>749</v>
      </c>
      <c r="G223" s="98">
        <v>5</v>
      </c>
      <c r="H223" s="98" t="str">
        <f t="shared" si="16"/>
        <v>BSS-TC-23211 TC_OBI_PM 1.4_005_CH Qualification against PM_Reporting date</v>
      </c>
      <c r="I223" s="98" t="s">
        <v>630</v>
      </c>
      <c r="J223" s="98" t="s">
        <v>41</v>
      </c>
      <c r="K223" s="98" t="s">
        <v>631</v>
      </c>
    </row>
    <row r="224" spans="2:11" x14ac:dyDescent="0.25">
      <c r="B224" s="98" t="s">
        <v>861</v>
      </c>
      <c r="C224" s="98" t="s">
        <v>257</v>
      </c>
      <c r="D224" s="98" t="s">
        <v>631</v>
      </c>
      <c r="E224" s="98" t="s">
        <v>76</v>
      </c>
      <c r="F224" s="98" t="s">
        <v>749</v>
      </c>
      <c r="G224" s="98">
        <v>6</v>
      </c>
      <c r="H224" s="98" t="str">
        <f t="shared" si="16"/>
        <v>BSS-TC-23211 TC_OBI_PM 1.4_005_CH Qualification against PM_Reporting date</v>
      </c>
      <c r="I224" s="98" t="s">
        <v>630</v>
      </c>
      <c r="J224" s="98" t="s">
        <v>44</v>
      </c>
      <c r="K224" s="98" t="s">
        <v>631</v>
      </c>
    </row>
    <row r="225" spans="2:11" x14ac:dyDescent="0.25">
      <c r="B225" s="98" t="s">
        <v>861</v>
      </c>
      <c r="C225" s="98" t="s">
        <v>257</v>
      </c>
      <c r="D225" s="98" t="s">
        <v>631</v>
      </c>
      <c r="E225" s="98" t="s">
        <v>25</v>
      </c>
      <c r="F225" s="98" t="s">
        <v>749</v>
      </c>
      <c r="G225" s="98">
        <v>7</v>
      </c>
      <c r="H225" s="98" t="str">
        <f t="shared" si="16"/>
        <v>BSS-TC-23211 TC_OBI_PM 1.4_005_CH Qualification against PM_Reporting date</v>
      </c>
      <c r="I225" s="98" t="s">
        <v>630</v>
      </c>
      <c r="J225" s="98" t="s">
        <v>27</v>
      </c>
      <c r="K225" s="98" t="s">
        <v>631</v>
      </c>
    </row>
    <row r="226" spans="2:11" x14ac:dyDescent="0.25">
      <c r="B226" s="98" t="s">
        <v>861</v>
      </c>
      <c r="C226" s="98" t="s">
        <v>257</v>
      </c>
      <c r="D226" s="98" t="s">
        <v>631</v>
      </c>
      <c r="E226" s="98" t="s">
        <v>45</v>
      </c>
      <c r="F226" s="98" t="s">
        <v>749</v>
      </c>
      <c r="G226" s="98">
        <v>8</v>
      </c>
      <c r="H226" s="98" t="str">
        <f t="shared" si="16"/>
        <v>BSS-TC-23211 TC_OBI_PM 1.4_005_CH Qualification against PM_Reporting date</v>
      </c>
      <c r="I226" s="98" t="s">
        <v>630</v>
      </c>
      <c r="J226" s="98" t="s">
        <v>42</v>
      </c>
      <c r="K226" s="98" t="s">
        <v>631</v>
      </c>
    </row>
    <row r="227" spans="2:11" x14ac:dyDescent="0.25">
      <c r="B227" s="98" t="s">
        <v>861</v>
      </c>
      <c r="C227" s="98" t="s">
        <v>257</v>
      </c>
      <c r="D227" s="98" t="s">
        <v>631</v>
      </c>
      <c r="E227" s="98" t="s">
        <v>750</v>
      </c>
      <c r="F227" s="98" t="s">
        <v>749</v>
      </c>
      <c r="G227" s="98">
        <v>9</v>
      </c>
      <c r="H227" s="98" t="str">
        <f t="shared" si="16"/>
        <v>BSS-TC-23211 TC_OBI_PM 1.4_005_CH Qualification against PM_Reporting date</v>
      </c>
      <c r="I227" s="98" t="s">
        <v>630</v>
      </c>
      <c r="J227" s="98" t="s">
        <v>751</v>
      </c>
      <c r="K227" s="98" t="s">
        <v>78</v>
      </c>
    </row>
    <row r="228" spans="2:11" x14ac:dyDescent="0.25">
      <c r="B228" s="98" t="s">
        <v>862</v>
      </c>
      <c r="C228" s="98" t="s">
        <v>106</v>
      </c>
      <c r="D228" s="98" t="s">
        <v>631</v>
      </c>
      <c r="E228" s="98" t="s">
        <v>752</v>
      </c>
      <c r="F228" s="98" t="s">
        <v>107</v>
      </c>
      <c r="G228" s="98">
        <v>1</v>
      </c>
      <c r="H228" s="98" t="str">
        <f t="shared" ref="H228:H234" si="17">HYPERLINK("http://rms/perspective.req?projectId=233&amp;docId=959484","BSS-TC-23212 TC_OBI_PM 1.4_006_CH Qualification against PM_ASL value against Allowed and Excluded CH")</f>
        <v>BSS-TC-23212 TC_OBI_PM 1.4_006_CH Qualification against PM_ASL value against Allowed and Excluded CH</v>
      </c>
      <c r="I228" s="98" t="s">
        <v>630</v>
      </c>
      <c r="J228" s="98" t="s">
        <v>80</v>
      </c>
      <c r="K228" s="98" t="s">
        <v>517</v>
      </c>
    </row>
    <row r="229" spans="2:11" x14ac:dyDescent="0.25">
      <c r="B229" s="98" t="s">
        <v>862</v>
      </c>
      <c r="C229" s="98" t="s">
        <v>106</v>
      </c>
      <c r="D229" s="98" t="s">
        <v>631</v>
      </c>
      <c r="E229" s="98" t="s">
        <v>18</v>
      </c>
      <c r="F229" s="98" t="s">
        <v>107</v>
      </c>
      <c r="G229" s="98">
        <v>2</v>
      </c>
      <c r="H229" s="98" t="str">
        <f t="shared" si="17"/>
        <v>BSS-TC-23212 TC_OBI_PM 1.4_006_CH Qualification against PM_ASL value against Allowed and Excluded CH</v>
      </c>
      <c r="I229" s="98" t="s">
        <v>630</v>
      </c>
      <c r="J229" s="98" t="s">
        <v>20</v>
      </c>
      <c r="K229" s="98" t="s">
        <v>631</v>
      </c>
    </row>
    <row r="230" spans="2:11" x14ac:dyDescent="0.25">
      <c r="B230" s="98" t="s">
        <v>862</v>
      </c>
      <c r="C230" s="98" t="s">
        <v>106</v>
      </c>
      <c r="D230" s="98" t="s">
        <v>631</v>
      </c>
      <c r="E230" s="98" t="s">
        <v>21</v>
      </c>
      <c r="F230" s="98" t="s">
        <v>107</v>
      </c>
      <c r="G230" s="98">
        <v>3</v>
      </c>
      <c r="H230" s="98" t="str">
        <f t="shared" si="17"/>
        <v>BSS-TC-23212 TC_OBI_PM 1.4_006_CH Qualification against PM_ASL value against Allowed and Excluded CH</v>
      </c>
      <c r="I230" s="98" t="s">
        <v>630</v>
      </c>
      <c r="J230" s="98" t="s">
        <v>22</v>
      </c>
      <c r="K230" s="98" t="s">
        <v>631</v>
      </c>
    </row>
    <row r="231" spans="2:11" x14ac:dyDescent="0.25">
      <c r="B231" s="98" t="s">
        <v>862</v>
      </c>
      <c r="C231" s="98" t="s">
        <v>106</v>
      </c>
      <c r="D231" s="98" t="s">
        <v>631</v>
      </c>
      <c r="E231" s="98" t="s">
        <v>23</v>
      </c>
      <c r="F231" s="98" t="s">
        <v>107</v>
      </c>
      <c r="G231" s="98">
        <v>4</v>
      </c>
      <c r="H231" s="98" t="str">
        <f t="shared" si="17"/>
        <v>BSS-TC-23212 TC_OBI_PM 1.4_006_CH Qualification against PM_ASL value against Allowed and Excluded CH</v>
      </c>
      <c r="I231" s="98" t="s">
        <v>630</v>
      </c>
      <c r="J231" s="98" t="s">
        <v>41</v>
      </c>
      <c r="K231" s="98" t="s">
        <v>631</v>
      </c>
    </row>
    <row r="232" spans="2:11" x14ac:dyDescent="0.25">
      <c r="B232" s="98" t="s">
        <v>862</v>
      </c>
      <c r="C232" s="98" t="s">
        <v>106</v>
      </c>
      <c r="D232" s="98" t="s">
        <v>631</v>
      </c>
      <c r="E232" s="98" t="s">
        <v>43</v>
      </c>
      <c r="F232" s="98" t="s">
        <v>107</v>
      </c>
      <c r="G232" s="98">
        <v>5</v>
      </c>
      <c r="H232" s="98" t="str">
        <f t="shared" si="17"/>
        <v>BSS-TC-23212 TC_OBI_PM 1.4_006_CH Qualification against PM_ASL value against Allowed and Excluded CH</v>
      </c>
      <c r="I232" s="98" t="s">
        <v>630</v>
      </c>
      <c r="J232" s="98" t="s">
        <v>44</v>
      </c>
      <c r="K232" s="98" t="s">
        <v>631</v>
      </c>
    </row>
    <row r="233" spans="2:11" x14ac:dyDescent="0.25">
      <c r="B233" s="98" t="s">
        <v>862</v>
      </c>
      <c r="C233" s="98" t="s">
        <v>106</v>
      </c>
      <c r="D233" s="98" t="s">
        <v>631</v>
      </c>
      <c r="E233" s="98" t="s">
        <v>25</v>
      </c>
      <c r="F233" s="98" t="s">
        <v>107</v>
      </c>
      <c r="G233" s="98">
        <v>6</v>
      </c>
      <c r="H233" s="98" t="str">
        <f t="shared" si="17"/>
        <v>BSS-TC-23212 TC_OBI_PM 1.4_006_CH Qualification against PM_ASL value against Allowed and Excluded CH</v>
      </c>
      <c r="I233" s="98" t="s">
        <v>630</v>
      </c>
      <c r="J233" s="98" t="s">
        <v>27</v>
      </c>
      <c r="K233" s="98" t="s">
        <v>631</v>
      </c>
    </row>
    <row r="234" spans="2:11" x14ac:dyDescent="0.25">
      <c r="B234" s="98" t="s">
        <v>862</v>
      </c>
      <c r="C234" s="98" t="s">
        <v>106</v>
      </c>
      <c r="D234" s="98" t="s">
        <v>631</v>
      </c>
      <c r="E234" s="98" t="s">
        <v>753</v>
      </c>
      <c r="F234" s="98" t="s">
        <v>107</v>
      </c>
      <c r="G234" s="98">
        <v>7</v>
      </c>
      <c r="H234" s="98" t="str">
        <f t="shared" si="17"/>
        <v>BSS-TC-23212 TC_OBI_PM 1.4_006_CH Qualification against PM_ASL value against Allowed and Excluded CH</v>
      </c>
      <c r="I234" s="98" t="s">
        <v>630</v>
      </c>
      <c r="J234" s="98" t="s">
        <v>754</v>
      </c>
      <c r="K234" s="98" t="s">
        <v>75</v>
      </c>
    </row>
    <row r="235" spans="2:11" x14ac:dyDescent="0.25">
      <c r="B235" s="98" t="s">
        <v>863</v>
      </c>
      <c r="C235" s="98" t="s">
        <v>110</v>
      </c>
      <c r="D235" s="98" t="s">
        <v>631</v>
      </c>
      <c r="E235" s="98" t="s">
        <v>755</v>
      </c>
      <c r="F235" s="98" t="s">
        <v>515</v>
      </c>
      <c r="G235" s="98">
        <v>1</v>
      </c>
      <c r="H235" s="98" t="str">
        <f t="shared" ref="H235:H243" si="18">HYPERLINK("http://rms/perspective.req?projectId=233&amp;docId=959485","BSS-TC-23213 TC_OBI_PM 1.4_007 _CH qualification against PM_Qualifies_Missed or Allowed exception")</f>
        <v>BSS-TC-23213 TC_OBI_PM 1.4_007 _CH qualification against PM_Qualifies_Missed or Allowed exception</v>
      </c>
      <c r="I235" s="98" t="s">
        <v>630</v>
      </c>
      <c r="J235" s="98" t="s">
        <v>80</v>
      </c>
      <c r="K235" s="98" t="s">
        <v>517</v>
      </c>
    </row>
    <row r="236" spans="2:11" x14ac:dyDescent="0.25">
      <c r="B236" s="98" t="s">
        <v>863</v>
      </c>
      <c r="C236" s="98" t="s">
        <v>110</v>
      </c>
      <c r="D236" s="98" t="s">
        <v>631</v>
      </c>
      <c r="E236" s="98" t="s">
        <v>18</v>
      </c>
      <c r="F236" s="98" t="s">
        <v>515</v>
      </c>
      <c r="G236" s="98">
        <v>2</v>
      </c>
      <c r="H236" s="98" t="str">
        <f t="shared" si="18"/>
        <v>BSS-TC-23213 TC_OBI_PM 1.4_007 _CH qualification against PM_Qualifies_Missed or Allowed exception</v>
      </c>
      <c r="I236" s="98" t="s">
        <v>630</v>
      </c>
      <c r="J236" s="98" t="s">
        <v>20</v>
      </c>
      <c r="K236" s="98" t="s">
        <v>631</v>
      </c>
    </row>
    <row r="237" spans="2:11" x14ac:dyDescent="0.25">
      <c r="B237" s="98" t="s">
        <v>863</v>
      </c>
      <c r="C237" s="98" t="s">
        <v>110</v>
      </c>
      <c r="D237" s="98" t="s">
        <v>631</v>
      </c>
      <c r="E237" s="98" t="s">
        <v>21</v>
      </c>
      <c r="F237" s="98" t="s">
        <v>515</v>
      </c>
      <c r="G237" s="98">
        <v>3</v>
      </c>
      <c r="H237" s="98" t="str">
        <f t="shared" si="18"/>
        <v>BSS-TC-23213 TC_OBI_PM 1.4_007 _CH qualification against PM_Qualifies_Missed or Allowed exception</v>
      </c>
      <c r="I237" s="98" t="s">
        <v>630</v>
      </c>
      <c r="J237" s="98" t="s">
        <v>22</v>
      </c>
      <c r="K237" s="98" t="s">
        <v>631</v>
      </c>
    </row>
    <row r="238" spans="2:11" x14ac:dyDescent="0.25">
      <c r="B238" s="98" t="s">
        <v>863</v>
      </c>
      <c r="C238" s="98" t="s">
        <v>110</v>
      </c>
      <c r="D238" s="98" t="s">
        <v>631</v>
      </c>
      <c r="E238" s="98" t="s">
        <v>23</v>
      </c>
      <c r="F238" s="98" t="s">
        <v>515</v>
      </c>
      <c r="G238" s="98">
        <v>4</v>
      </c>
      <c r="H238" s="98" t="str">
        <f t="shared" si="18"/>
        <v>BSS-TC-23213 TC_OBI_PM 1.4_007 _CH qualification against PM_Qualifies_Missed or Allowed exception</v>
      </c>
      <c r="I238" s="98" t="s">
        <v>630</v>
      </c>
      <c r="J238" s="98" t="s">
        <v>41</v>
      </c>
      <c r="K238" s="98" t="s">
        <v>631</v>
      </c>
    </row>
    <row r="239" spans="2:11" x14ac:dyDescent="0.25">
      <c r="B239" s="98" t="s">
        <v>863</v>
      </c>
      <c r="C239" s="98" t="s">
        <v>110</v>
      </c>
      <c r="D239" s="98" t="s">
        <v>631</v>
      </c>
      <c r="E239" s="98" t="s">
        <v>70</v>
      </c>
      <c r="F239" s="98" t="s">
        <v>515</v>
      </c>
      <c r="G239" s="98">
        <v>5</v>
      </c>
      <c r="H239" s="98" t="str">
        <f t="shared" si="18"/>
        <v>BSS-TC-23213 TC_OBI_PM 1.4_007 _CH qualification against PM_Qualifies_Missed or Allowed exception</v>
      </c>
      <c r="I239" s="98" t="s">
        <v>630</v>
      </c>
      <c r="J239" s="98" t="s">
        <v>44</v>
      </c>
      <c r="K239" s="98" t="s">
        <v>631</v>
      </c>
    </row>
    <row r="240" spans="2:11" x14ac:dyDescent="0.25">
      <c r="B240" s="98" t="s">
        <v>863</v>
      </c>
      <c r="C240" s="98" t="s">
        <v>110</v>
      </c>
      <c r="D240" s="98" t="s">
        <v>631</v>
      </c>
      <c r="E240" s="98" t="s">
        <v>25</v>
      </c>
      <c r="F240" s="98" t="s">
        <v>515</v>
      </c>
      <c r="G240" s="98">
        <v>6</v>
      </c>
      <c r="H240" s="98" t="str">
        <f t="shared" si="18"/>
        <v>BSS-TC-23213 TC_OBI_PM 1.4_007 _CH qualification against PM_Qualifies_Missed or Allowed exception</v>
      </c>
      <c r="I240" s="98" t="s">
        <v>630</v>
      </c>
      <c r="J240" s="98" t="s">
        <v>27</v>
      </c>
      <c r="K240" s="98" t="s">
        <v>631</v>
      </c>
    </row>
    <row r="241" spans="2:11" x14ac:dyDescent="0.25">
      <c r="B241" s="98" t="s">
        <v>863</v>
      </c>
      <c r="C241" s="98" t="s">
        <v>110</v>
      </c>
      <c r="D241" s="98" t="s">
        <v>631</v>
      </c>
      <c r="E241" s="98" t="s">
        <v>45</v>
      </c>
      <c r="F241" s="98" t="s">
        <v>515</v>
      </c>
      <c r="G241" s="98">
        <v>7</v>
      </c>
      <c r="H241" s="98" t="str">
        <f t="shared" si="18"/>
        <v>BSS-TC-23213 TC_OBI_PM 1.4_007 _CH qualification against PM_Qualifies_Missed or Allowed exception</v>
      </c>
      <c r="I241" s="98" t="s">
        <v>630</v>
      </c>
      <c r="J241" s="98" t="s">
        <v>756</v>
      </c>
      <c r="K241" s="98" t="s">
        <v>631</v>
      </c>
    </row>
    <row r="242" spans="2:11" x14ac:dyDescent="0.25">
      <c r="B242" s="98" t="s">
        <v>863</v>
      </c>
      <c r="C242" s="98" t="s">
        <v>110</v>
      </c>
      <c r="D242" s="98" t="s">
        <v>631</v>
      </c>
      <c r="E242" s="98" t="s">
        <v>83</v>
      </c>
      <c r="F242" s="98" t="s">
        <v>515</v>
      </c>
      <c r="G242" s="98">
        <v>8</v>
      </c>
      <c r="H242" s="98" t="str">
        <f t="shared" si="18"/>
        <v>BSS-TC-23213 TC_OBI_PM 1.4_007 _CH qualification against PM_Qualifies_Missed or Allowed exception</v>
      </c>
      <c r="I242" s="98" t="s">
        <v>630</v>
      </c>
      <c r="J242" s="98" t="s">
        <v>757</v>
      </c>
      <c r="K242" s="98" t="s">
        <v>631</v>
      </c>
    </row>
    <row r="243" spans="2:11" x14ac:dyDescent="0.25">
      <c r="B243" s="98" t="s">
        <v>863</v>
      </c>
      <c r="C243" s="98" t="s">
        <v>110</v>
      </c>
      <c r="D243" s="98" t="s">
        <v>631</v>
      </c>
      <c r="E243" s="98" t="s">
        <v>731</v>
      </c>
      <c r="F243" s="98" t="s">
        <v>515</v>
      </c>
      <c r="G243" s="98">
        <v>9</v>
      </c>
      <c r="H243" s="98" t="str">
        <f t="shared" si="18"/>
        <v>BSS-TC-23213 TC_OBI_PM 1.4_007 _CH qualification against PM_Qualifies_Missed or Allowed exception</v>
      </c>
      <c r="I243" s="98" t="s">
        <v>630</v>
      </c>
      <c r="J243" s="98" t="s">
        <v>758</v>
      </c>
      <c r="K243" s="98" t="s">
        <v>86</v>
      </c>
    </row>
    <row r="244" spans="2:11" x14ac:dyDescent="0.25">
      <c r="B244" s="98" t="s">
        <v>864</v>
      </c>
      <c r="C244" s="98" t="s">
        <v>115</v>
      </c>
      <c r="D244" s="98" t="s">
        <v>631</v>
      </c>
      <c r="E244" s="98" t="s">
        <v>759</v>
      </c>
      <c r="F244" s="98" t="s">
        <v>116</v>
      </c>
      <c r="G244" s="98">
        <v>1</v>
      </c>
      <c r="H244" s="98" t="str">
        <f t="shared" ref="H244:H252" si="19">HYPERLINK("http://rms/perspective.req?projectId=233&amp;docId=959486","BSS-TC-23214 TC_OBI_PM 1.4_008 _CH qualification against PM_Exempted CH from Opted out ")</f>
        <v xml:space="preserve">BSS-TC-23214 TC_OBI_PM 1.4_008 _CH qualification against PM_Exempted CH from Opted out </v>
      </c>
      <c r="I244" s="98" t="s">
        <v>630</v>
      </c>
      <c r="J244" s="98" t="s">
        <v>80</v>
      </c>
      <c r="K244" s="98" t="s">
        <v>517</v>
      </c>
    </row>
    <row r="245" spans="2:11" x14ac:dyDescent="0.25">
      <c r="B245" s="98" t="s">
        <v>864</v>
      </c>
      <c r="C245" s="98" t="s">
        <v>115</v>
      </c>
      <c r="D245" s="98" t="s">
        <v>631</v>
      </c>
      <c r="E245" s="98" t="s">
        <v>18</v>
      </c>
      <c r="F245" s="98" t="s">
        <v>116</v>
      </c>
      <c r="G245" s="98">
        <v>2</v>
      </c>
      <c r="H245" s="98" t="str">
        <f t="shared" si="19"/>
        <v xml:space="preserve">BSS-TC-23214 TC_OBI_PM 1.4_008 _CH qualification against PM_Exempted CH from Opted out </v>
      </c>
      <c r="I245" s="98" t="s">
        <v>630</v>
      </c>
      <c r="J245" s="98" t="s">
        <v>20</v>
      </c>
      <c r="K245" s="98" t="s">
        <v>631</v>
      </c>
    </row>
    <row r="246" spans="2:11" x14ac:dyDescent="0.25">
      <c r="B246" s="98" t="s">
        <v>864</v>
      </c>
      <c r="C246" s="98" t="s">
        <v>115</v>
      </c>
      <c r="D246" s="98" t="s">
        <v>631</v>
      </c>
      <c r="E246" s="98" t="s">
        <v>21</v>
      </c>
      <c r="F246" s="98" t="s">
        <v>116</v>
      </c>
      <c r="G246" s="98">
        <v>3</v>
      </c>
      <c r="H246" s="98" t="str">
        <f t="shared" si="19"/>
        <v xml:space="preserve">BSS-TC-23214 TC_OBI_PM 1.4_008 _CH qualification against PM_Exempted CH from Opted out </v>
      </c>
      <c r="I246" s="98" t="s">
        <v>630</v>
      </c>
      <c r="J246" s="98" t="s">
        <v>22</v>
      </c>
      <c r="K246" s="98" t="s">
        <v>631</v>
      </c>
    </row>
    <row r="247" spans="2:11" x14ac:dyDescent="0.25">
      <c r="B247" s="98" t="s">
        <v>864</v>
      </c>
      <c r="C247" s="98" t="s">
        <v>115</v>
      </c>
      <c r="D247" s="98" t="s">
        <v>631</v>
      </c>
      <c r="E247" s="98" t="s">
        <v>23</v>
      </c>
      <c r="F247" s="98" t="s">
        <v>116</v>
      </c>
      <c r="G247" s="98">
        <v>4</v>
      </c>
      <c r="H247" s="98" t="str">
        <f t="shared" si="19"/>
        <v xml:space="preserve">BSS-TC-23214 TC_OBI_PM 1.4_008 _CH qualification against PM_Exempted CH from Opted out </v>
      </c>
      <c r="I247" s="98" t="s">
        <v>630</v>
      </c>
      <c r="J247" s="98" t="s">
        <v>41</v>
      </c>
      <c r="K247" s="98" t="s">
        <v>631</v>
      </c>
    </row>
    <row r="248" spans="2:11" x14ac:dyDescent="0.25">
      <c r="B248" s="98" t="s">
        <v>864</v>
      </c>
      <c r="C248" s="98" t="s">
        <v>115</v>
      </c>
      <c r="D248" s="98" t="s">
        <v>631</v>
      </c>
      <c r="E248" s="98" t="s">
        <v>70</v>
      </c>
      <c r="F248" s="98" t="s">
        <v>116</v>
      </c>
      <c r="G248" s="98">
        <v>5</v>
      </c>
      <c r="H248" s="98" t="str">
        <f t="shared" si="19"/>
        <v xml:space="preserve">BSS-TC-23214 TC_OBI_PM 1.4_008 _CH qualification against PM_Exempted CH from Opted out </v>
      </c>
      <c r="I248" s="98" t="s">
        <v>630</v>
      </c>
      <c r="J248" s="98" t="s">
        <v>44</v>
      </c>
      <c r="K248" s="98" t="s">
        <v>631</v>
      </c>
    </row>
    <row r="249" spans="2:11" x14ac:dyDescent="0.25">
      <c r="B249" s="98" t="s">
        <v>864</v>
      </c>
      <c r="C249" s="98" t="s">
        <v>115</v>
      </c>
      <c r="D249" s="98" t="s">
        <v>631</v>
      </c>
      <c r="E249" s="98" t="s">
        <v>25</v>
      </c>
      <c r="F249" s="98" t="s">
        <v>116</v>
      </c>
      <c r="G249" s="98">
        <v>6</v>
      </c>
      <c r="H249" s="98" t="str">
        <f t="shared" si="19"/>
        <v xml:space="preserve">BSS-TC-23214 TC_OBI_PM 1.4_008 _CH qualification against PM_Exempted CH from Opted out </v>
      </c>
      <c r="I249" s="98" t="s">
        <v>630</v>
      </c>
      <c r="J249" s="98" t="s">
        <v>27</v>
      </c>
      <c r="K249" s="98" t="s">
        <v>631</v>
      </c>
    </row>
    <row r="250" spans="2:11" x14ac:dyDescent="0.25">
      <c r="B250" s="98" t="s">
        <v>864</v>
      </c>
      <c r="C250" s="98" t="s">
        <v>115</v>
      </c>
      <c r="D250" s="98" t="s">
        <v>631</v>
      </c>
      <c r="E250" s="98" t="s">
        <v>45</v>
      </c>
      <c r="F250" s="98" t="s">
        <v>116</v>
      </c>
      <c r="G250" s="98">
        <v>7</v>
      </c>
      <c r="H250" s="98" t="str">
        <f t="shared" si="19"/>
        <v xml:space="preserve">BSS-TC-23214 TC_OBI_PM 1.4_008 _CH qualification against PM_Exempted CH from Opted out </v>
      </c>
      <c r="I250" s="98" t="s">
        <v>630</v>
      </c>
      <c r="J250" s="98" t="s">
        <v>756</v>
      </c>
      <c r="K250" s="98" t="s">
        <v>631</v>
      </c>
    </row>
    <row r="251" spans="2:11" x14ac:dyDescent="0.25">
      <c r="B251" s="98" t="s">
        <v>864</v>
      </c>
      <c r="C251" s="98" t="s">
        <v>115</v>
      </c>
      <c r="D251" s="98" t="s">
        <v>631</v>
      </c>
      <c r="E251" s="98" t="s">
        <v>83</v>
      </c>
      <c r="F251" s="98" t="s">
        <v>116</v>
      </c>
      <c r="G251" s="98">
        <v>8</v>
      </c>
      <c r="H251" s="98" t="str">
        <f t="shared" si="19"/>
        <v xml:space="preserve">BSS-TC-23214 TC_OBI_PM 1.4_008 _CH qualification against PM_Exempted CH from Opted out </v>
      </c>
      <c r="I251" s="98" t="s">
        <v>630</v>
      </c>
      <c r="J251" s="98" t="s">
        <v>757</v>
      </c>
      <c r="K251" s="98" t="s">
        <v>631</v>
      </c>
    </row>
    <row r="252" spans="2:11" x14ac:dyDescent="0.25">
      <c r="B252" s="98" t="s">
        <v>864</v>
      </c>
      <c r="C252" s="98" t="s">
        <v>115</v>
      </c>
      <c r="D252" s="98" t="s">
        <v>631</v>
      </c>
      <c r="E252" s="98" t="s">
        <v>731</v>
      </c>
      <c r="F252" s="98" t="s">
        <v>116</v>
      </c>
      <c r="G252" s="98">
        <v>9</v>
      </c>
      <c r="H252" s="98" t="str">
        <f t="shared" si="19"/>
        <v xml:space="preserve">BSS-TC-23214 TC_OBI_PM 1.4_008 _CH qualification against PM_Exempted CH from Opted out </v>
      </c>
      <c r="I252" s="98" t="s">
        <v>630</v>
      </c>
      <c r="J252" s="98" t="s">
        <v>758</v>
      </c>
      <c r="K252" s="98" t="s">
        <v>86</v>
      </c>
    </row>
    <row r="253" spans="2:11" x14ac:dyDescent="0.25">
      <c r="B253" s="98" t="s">
        <v>865</v>
      </c>
      <c r="C253" s="98" t="s">
        <v>117</v>
      </c>
      <c r="D253" s="98" t="s">
        <v>631</v>
      </c>
      <c r="E253" s="98" t="s">
        <v>760</v>
      </c>
      <c r="F253" s="98" t="s">
        <v>118</v>
      </c>
      <c r="G253" s="98">
        <v>1</v>
      </c>
      <c r="H253" s="98" t="str">
        <f t="shared" ref="H253:H261" si="20">HYPERLINK("http://rms/perspective.req?projectId=233&amp;docId=959487","BSS-TC-23215 TC_OBI_PM 1.4_009_CH Qualification against PM_Missed Criteria")</f>
        <v>BSS-TC-23215 TC_OBI_PM 1.4_009_CH Qualification against PM_Missed Criteria</v>
      </c>
      <c r="I253" s="98" t="s">
        <v>630</v>
      </c>
      <c r="J253" s="98" t="s">
        <v>80</v>
      </c>
      <c r="K253" s="98" t="s">
        <v>517</v>
      </c>
    </row>
    <row r="254" spans="2:11" x14ac:dyDescent="0.25">
      <c r="B254" s="98" t="s">
        <v>865</v>
      </c>
      <c r="C254" s="98" t="s">
        <v>117</v>
      </c>
      <c r="D254" s="98" t="s">
        <v>631</v>
      </c>
      <c r="E254" s="98" t="s">
        <v>18</v>
      </c>
      <c r="F254" s="98" t="s">
        <v>118</v>
      </c>
      <c r="G254" s="98">
        <v>2</v>
      </c>
      <c r="H254" s="98" t="str">
        <f t="shared" si="20"/>
        <v>BSS-TC-23215 TC_OBI_PM 1.4_009_CH Qualification against PM_Missed Criteria</v>
      </c>
      <c r="I254" s="98" t="s">
        <v>630</v>
      </c>
      <c r="J254" s="98" t="s">
        <v>20</v>
      </c>
      <c r="K254" s="98" t="s">
        <v>631</v>
      </c>
    </row>
    <row r="255" spans="2:11" x14ac:dyDescent="0.25">
      <c r="B255" s="98" t="s">
        <v>865</v>
      </c>
      <c r="C255" s="98" t="s">
        <v>117</v>
      </c>
      <c r="D255" s="98" t="s">
        <v>631</v>
      </c>
      <c r="E255" s="98" t="s">
        <v>21</v>
      </c>
      <c r="F255" s="98" t="s">
        <v>118</v>
      </c>
      <c r="G255" s="98">
        <v>3</v>
      </c>
      <c r="H255" s="98" t="str">
        <f t="shared" si="20"/>
        <v>BSS-TC-23215 TC_OBI_PM 1.4_009_CH Qualification against PM_Missed Criteria</v>
      </c>
      <c r="I255" s="98" t="s">
        <v>630</v>
      </c>
      <c r="J255" s="98" t="s">
        <v>22</v>
      </c>
      <c r="K255" s="98" t="s">
        <v>631</v>
      </c>
    </row>
    <row r="256" spans="2:11" x14ac:dyDescent="0.25">
      <c r="B256" s="98" t="s">
        <v>865</v>
      </c>
      <c r="C256" s="98" t="s">
        <v>117</v>
      </c>
      <c r="D256" s="98" t="s">
        <v>631</v>
      </c>
      <c r="E256" s="98" t="s">
        <v>23</v>
      </c>
      <c r="F256" s="98" t="s">
        <v>118</v>
      </c>
      <c r="G256" s="98">
        <v>4</v>
      </c>
      <c r="H256" s="98" t="str">
        <f t="shared" si="20"/>
        <v>BSS-TC-23215 TC_OBI_PM 1.4_009_CH Qualification against PM_Missed Criteria</v>
      </c>
      <c r="I256" s="98" t="s">
        <v>630</v>
      </c>
      <c r="J256" s="98" t="s">
        <v>41</v>
      </c>
      <c r="K256" s="98" t="s">
        <v>631</v>
      </c>
    </row>
    <row r="257" spans="2:11" x14ac:dyDescent="0.25">
      <c r="B257" s="98" t="s">
        <v>865</v>
      </c>
      <c r="C257" s="98" t="s">
        <v>117</v>
      </c>
      <c r="D257" s="98" t="s">
        <v>631</v>
      </c>
      <c r="E257" s="98" t="s">
        <v>43</v>
      </c>
      <c r="F257" s="98" t="s">
        <v>118</v>
      </c>
      <c r="G257" s="98">
        <v>5</v>
      </c>
      <c r="H257" s="98" t="str">
        <f t="shared" si="20"/>
        <v>BSS-TC-23215 TC_OBI_PM 1.4_009_CH Qualification against PM_Missed Criteria</v>
      </c>
      <c r="I257" s="98" t="s">
        <v>630</v>
      </c>
      <c r="J257" s="98" t="s">
        <v>44</v>
      </c>
      <c r="K257" s="98" t="s">
        <v>631</v>
      </c>
    </row>
    <row r="258" spans="2:11" x14ac:dyDescent="0.25">
      <c r="B258" s="98" t="s">
        <v>865</v>
      </c>
      <c r="C258" s="98" t="s">
        <v>117</v>
      </c>
      <c r="D258" s="98" t="s">
        <v>631</v>
      </c>
      <c r="E258" s="98" t="s">
        <v>25</v>
      </c>
      <c r="F258" s="98" t="s">
        <v>118</v>
      </c>
      <c r="G258" s="98">
        <v>6</v>
      </c>
      <c r="H258" s="98" t="str">
        <f t="shared" si="20"/>
        <v>BSS-TC-23215 TC_OBI_PM 1.4_009_CH Qualification against PM_Missed Criteria</v>
      </c>
      <c r="I258" s="98" t="s">
        <v>630</v>
      </c>
      <c r="J258" s="98" t="s">
        <v>27</v>
      </c>
      <c r="K258" s="98" t="s">
        <v>631</v>
      </c>
    </row>
    <row r="259" spans="2:11" x14ac:dyDescent="0.25">
      <c r="B259" s="98" t="s">
        <v>865</v>
      </c>
      <c r="C259" s="98" t="s">
        <v>117</v>
      </c>
      <c r="D259" s="98" t="s">
        <v>631</v>
      </c>
      <c r="E259" s="98" t="s">
        <v>761</v>
      </c>
      <c r="F259" s="98" t="s">
        <v>118</v>
      </c>
      <c r="G259" s="98">
        <v>7</v>
      </c>
      <c r="H259" s="98" t="str">
        <f t="shared" si="20"/>
        <v>BSS-TC-23215 TC_OBI_PM 1.4_009_CH Qualification against PM_Missed Criteria</v>
      </c>
      <c r="I259" s="98" t="s">
        <v>630</v>
      </c>
      <c r="J259" s="98" t="s">
        <v>762</v>
      </c>
      <c r="K259" s="98" t="s">
        <v>157</v>
      </c>
    </row>
    <row r="260" spans="2:11" x14ac:dyDescent="0.25">
      <c r="B260" s="98" t="s">
        <v>865</v>
      </c>
      <c r="C260" s="98" t="s">
        <v>117</v>
      </c>
      <c r="D260" s="98" t="s">
        <v>631</v>
      </c>
      <c r="E260" s="98" t="s">
        <v>50</v>
      </c>
      <c r="F260" s="98" t="s">
        <v>118</v>
      </c>
      <c r="G260" s="98">
        <v>8</v>
      </c>
      <c r="H260" s="98" t="str">
        <f t="shared" si="20"/>
        <v>BSS-TC-23215 TC_OBI_PM 1.4_009_CH Qualification against PM_Missed Criteria</v>
      </c>
      <c r="I260" s="98" t="s">
        <v>630</v>
      </c>
      <c r="J260" s="98" t="s">
        <v>51</v>
      </c>
      <c r="K260" s="98" t="s">
        <v>631</v>
      </c>
    </row>
    <row r="261" spans="2:11" x14ac:dyDescent="0.25">
      <c r="B261" s="98" t="s">
        <v>865</v>
      </c>
      <c r="C261" s="98" t="s">
        <v>117</v>
      </c>
      <c r="D261" s="98" t="s">
        <v>631</v>
      </c>
      <c r="E261" s="98" t="s">
        <v>731</v>
      </c>
      <c r="F261" s="98" t="s">
        <v>118</v>
      </c>
      <c r="G261" s="98">
        <v>9</v>
      </c>
      <c r="H261" s="98" t="str">
        <f t="shared" si="20"/>
        <v>BSS-TC-23215 TC_OBI_PM 1.4_009_CH Qualification against PM_Missed Criteria</v>
      </c>
      <c r="I261" s="98" t="s">
        <v>630</v>
      </c>
      <c r="J261" s="98" t="s">
        <v>732</v>
      </c>
      <c r="K261" s="98" t="s">
        <v>119</v>
      </c>
    </row>
    <row r="262" spans="2:11" x14ac:dyDescent="0.25">
      <c r="B262" s="98" t="s">
        <v>866</v>
      </c>
      <c r="C262" s="98" t="s">
        <v>238</v>
      </c>
      <c r="D262" s="98" t="s">
        <v>631</v>
      </c>
      <c r="E262" s="98" t="s">
        <v>763</v>
      </c>
      <c r="F262" s="98" t="s">
        <v>518</v>
      </c>
      <c r="G262" s="98">
        <v>1</v>
      </c>
      <c r="H262" s="98" t="str">
        <f t="shared" ref="H262:H271" si="21">HYPERLINK("http://rms/perspective.req?projectId=233&amp;docId=959488","BSS-TC-23216 TC_OBI_PM 1.4_010_Exempted CH detail report _Outage  start,outage end_Field validation")</f>
        <v>BSS-TC-23216 TC_OBI_PM 1.4_010_Exempted CH detail report _Outage  start,outage end_Field validation</v>
      </c>
      <c r="I262" s="98" t="s">
        <v>630</v>
      </c>
      <c r="J262" s="98" t="s">
        <v>80</v>
      </c>
      <c r="K262" s="98" t="s">
        <v>517</v>
      </c>
    </row>
    <row r="263" spans="2:11" x14ac:dyDescent="0.25">
      <c r="B263" s="98" t="s">
        <v>866</v>
      </c>
      <c r="C263" s="98" t="s">
        <v>238</v>
      </c>
      <c r="D263" s="98" t="s">
        <v>631</v>
      </c>
      <c r="E263" s="98" t="s">
        <v>764</v>
      </c>
      <c r="F263" s="98" t="s">
        <v>518</v>
      </c>
      <c r="G263" s="98">
        <v>2</v>
      </c>
      <c r="H263" s="98" t="str">
        <f t="shared" si="21"/>
        <v>BSS-TC-23216 TC_OBI_PM 1.4_010_Exempted CH detail report _Outage  start,outage end_Field validation</v>
      </c>
      <c r="I263" s="98" t="s">
        <v>630</v>
      </c>
      <c r="J263" s="98" t="s">
        <v>631</v>
      </c>
      <c r="K263" s="98" t="s">
        <v>631</v>
      </c>
    </row>
    <row r="264" spans="2:11" x14ac:dyDescent="0.25">
      <c r="B264" s="98" t="s">
        <v>866</v>
      </c>
      <c r="C264" s="98" t="s">
        <v>238</v>
      </c>
      <c r="D264" s="98" t="s">
        <v>631</v>
      </c>
      <c r="E264" s="98" t="s">
        <v>18</v>
      </c>
      <c r="F264" s="98" t="s">
        <v>518</v>
      </c>
      <c r="G264" s="98">
        <v>3</v>
      </c>
      <c r="H264" s="98" t="str">
        <f t="shared" si="21"/>
        <v>BSS-TC-23216 TC_OBI_PM 1.4_010_Exempted CH detail report _Outage  start,outage end_Field validation</v>
      </c>
      <c r="I264" s="98" t="s">
        <v>630</v>
      </c>
      <c r="J264" s="98" t="s">
        <v>20</v>
      </c>
      <c r="K264" s="98" t="s">
        <v>631</v>
      </c>
    </row>
    <row r="265" spans="2:11" x14ac:dyDescent="0.25">
      <c r="B265" s="98" t="s">
        <v>866</v>
      </c>
      <c r="C265" s="98" t="s">
        <v>238</v>
      </c>
      <c r="D265" s="98" t="s">
        <v>631</v>
      </c>
      <c r="E265" s="98" t="s">
        <v>21</v>
      </c>
      <c r="F265" s="98" t="s">
        <v>518</v>
      </c>
      <c r="G265" s="98">
        <v>4</v>
      </c>
      <c r="H265" s="98" t="str">
        <f t="shared" si="21"/>
        <v>BSS-TC-23216 TC_OBI_PM 1.4_010_Exempted CH detail report _Outage  start,outage end_Field validation</v>
      </c>
      <c r="I265" s="98" t="s">
        <v>630</v>
      </c>
      <c r="J265" s="98" t="s">
        <v>22</v>
      </c>
      <c r="K265" s="98" t="s">
        <v>631</v>
      </c>
    </row>
    <row r="266" spans="2:11" x14ac:dyDescent="0.25">
      <c r="B266" s="98" t="s">
        <v>866</v>
      </c>
      <c r="C266" s="98" t="s">
        <v>238</v>
      </c>
      <c r="D266" s="98" t="s">
        <v>631</v>
      </c>
      <c r="E266" s="98" t="s">
        <v>23</v>
      </c>
      <c r="F266" s="98" t="s">
        <v>518</v>
      </c>
      <c r="G266" s="98">
        <v>5</v>
      </c>
      <c r="H266" s="98" t="str">
        <f t="shared" si="21"/>
        <v>BSS-TC-23216 TC_OBI_PM 1.4_010_Exempted CH detail report _Outage  start,outage end_Field validation</v>
      </c>
      <c r="I266" s="98" t="s">
        <v>630</v>
      </c>
      <c r="J266" s="98" t="s">
        <v>41</v>
      </c>
      <c r="K266" s="98" t="s">
        <v>631</v>
      </c>
    </row>
    <row r="267" spans="2:11" x14ac:dyDescent="0.25">
      <c r="B267" s="98" t="s">
        <v>866</v>
      </c>
      <c r="C267" s="98" t="s">
        <v>238</v>
      </c>
      <c r="D267" s="98" t="s">
        <v>631</v>
      </c>
      <c r="E267" s="98" t="s">
        <v>43</v>
      </c>
      <c r="F267" s="98" t="s">
        <v>518</v>
      </c>
      <c r="G267" s="98">
        <v>6</v>
      </c>
      <c r="H267" s="98" t="str">
        <f t="shared" si="21"/>
        <v>BSS-TC-23216 TC_OBI_PM 1.4_010_Exempted CH detail report _Outage  start,outage end_Field validation</v>
      </c>
      <c r="I267" s="98" t="s">
        <v>630</v>
      </c>
      <c r="J267" s="98" t="s">
        <v>44</v>
      </c>
      <c r="K267" s="98" t="s">
        <v>631</v>
      </c>
    </row>
    <row r="268" spans="2:11" x14ac:dyDescent="0.25">
      <c r="B268" s="98" t="s">
        <v>866</v>
      </c>
      <c r="C268" s="98" t="s">
        <v>238</v>
      </c>
      <c r="D268" s="98" t="s">
        <v>631</v>
      </c>
      <c r="E268" s="98" t="s">
        <v>25</v>
      </c>
      <c r="F268" s="98" t="s">
        <v>518</v>
      </c>
      <c r="G268" s="98">
        <v>7</v>
      </c>
      <c r="H268" s="98" t="str">
        <f t="shared" si="21"/>
        <v>BSS-TC-23216 TC_OBI_PM 1.4_010_Exempted CH detail report _Outage  start,outage end_Field validation</v>
      </c>
      <c r="I268" s="98" t="s">
        <v>630</v>
      </c>
      <c r="J268" s="98" t="s">
        <v>27</v>
      </c>
      <c r="K268" s="98" t="s">
        <v>631</v>
      </c>
    </row>
    <row r="269" spans="2:11" x14ac:dyDescent="0.25">
      <c r="B269" s="98" t="s">
        <v>866</v>
      </c>
      <c r="C269" s="98" t="s">
        <v>238</v>
      </c>
      <c r="D269" s="98" t="s">
        <v>631</v>
      </c>
      <c r="E269" s="98" t="s">
        <v>753</v>
      </c>
      <c r="F269" s="98" t="s">
        <v>518</v>
      </c>
      <c r="G269" s="98">
        <v>8</v>
      </c>
      <c r="H269" s="98" t="str">
        <f t="shared" si="21"/>
        <v>BSS-TC-23216 TC_OBI_PM 1.4_010_Exempted CH detail report _Outage  start,outage end_Field validation</v>
      </c>
      <c r="I269" s="98" t="s">
        <v>630</v>
      </c>
      <c r="J269" s="98" t="s">
        <v>765</v>
      </c>
      <c r="K269" s="98" t="s">
        <v>75</v>
      </c>
    </row>
    <row r="270" spans="2:11" x14ac:dyDescent="0.25">
      <c r="B270" s="98" t="s">
        <v>866</v>
      </c>
      <c r="C270" s="98" t="s">
        <v>238</v>
      </c>
      <c r="D270" s="98" t="s">
        <v>631</v>
      </c>
      <c r="E270" s="98" t="s">
        <v>52</v>
      </c>
      <c r="F270" s="98" t="s">
        <v>518</v>
      </c>
      <c r="G270" s="98">
        <v>9</v>
      </c>
      <c r="H270" s="98" t="str">
        <f t="shared" si="21"/>
        <v>BSS-TC-23216 TC_OBI_PM 1.4_010_Exempted CH detail report _Outage  start,outage end_Field validation</v>
      </c>
      <c r="I270" s="98" t="s">
        <v>630</v>
      </c>
      <c r="J270" s="98" t="s">
        <v>145</v>
      </c>
      <c r="K270" s="98" t="s">
        <v>631</v>
      </c>
    </row>
    <row r="271" spans="2:11" x14ac:dyDescent="0.25">
      <c r="B271" s="98" t="s">
        <v>866</v>
      </c>
      <c r="C271" s="98" t="s">
        <v>238</v>
      </c>
      <c r="D271" s="98" t="s">
        <v>631</v>
      </c>
      <c r="E271" s="98" t="s">
        <v>766</v>
      </c>
      <c r="F271" s="98" t="s">
        <v>518</v>
      </c>
      <c r="G271" s="98">
        <v>10</v>
      </c>
      <c r="H271" s="98" t="str">
        <f t="shared" si="21"/>
        <v>BSS-TC-23216 TC_OBI_PM 1.4_010_Exempted CH detail report _Outage  start,outage end_Field validation</v>
      </c>
      <c r="I271" s="98" t="s">
        <v>630</v>
      </c>
      <c r="J271" s="98" t="s">
        <v>767</v>
      </c>
      <c r="K271" s="98" t="s">
        <v>147</v>
      </c>
    </row>
    <row r="272" spans="2:11" x14ac:dyDescent="0.25">
      <c r="B272" s="98" t="s">
        <v>867</v>
      </c>
      <c r="C272" s="98" t="s">
        <v>239</v>
      </c>
      <c r="D272" s="98" t="s">
        <v>631</v>
      </c>
      <c r="E272" s="98" t="s">
        <v>768</v>
      </c>
      <c r="F272" s="98" t="s">
        <v>221</v>
      </c>
      <c r="G272" s="98">
        <v>1</v>
      </c>
      <c r="H272" s="98" t="str">
        <f t="shared" ref="H272:H279" si="22">HYPERLINK("http://rms/perspective.req?projectId=233&amp;docId=959489","BSS-TC-23217 TC_OBI_PM 1.4_011_Exempted CH detail report _Days taken to raise incident_field validation")</f>
        <v>BSS-TC-23217 TC_OBI_PM 1.4_011_Exempted CH detail report _Days taken to raise incident_field validation</v>
      </c>
      <c r="I272" s="98" t="s">
        <v>630</v>
      </c>
      <c r="J272" s="98" t="s">
        <v>80</v>
      </c>
      <c r="K272" s="98" t="s">
        <v>517</v>
      </c>
    </row>
    <row r="273" spans="2:11" x14ac:dyDescent="0.25">
      <c r="B273" s="98" t="s">
        <v>867</v>
      </c>
      <c r="C273" s="98" t="s">
        <v>239</v>
      </c>
      <c r="D273" s="98" t="s">
        <v>631</v>
      </c>
      <c r="E273" s="98" t="s">
        <v>18</v>
      </c>
      <c r="F273" s="98" t="s">
        <v>221</v>
      </c>
      <c r="G273" s="98">
        <v>2</v>
      </c>
      <c r="H273" s="98" t="str">
        <f t="shared" si="22"/>
        <v>BSS-TC-23217 TC_OBI_PM 1.4_011_Exempted CH detail report _Days taken to raise incident_field validation</v>
      </c>
      <c r="I273" s="98" t="s">
        <v>630</v>
      </c>
      <c r="J273" s="98" t="s">
        <v>20</v>
      </c>
      <c r="K273" s="98" t="s">
        <v>631</v>
      </c>
    </row>
    <row r="274" spans="2:11" x14ac:dyDescent="0.25">
      <c r="B274" s="98" t="s">
        <v>867</v>
      </c>
      <c r="C274" s="98" t="s">
        <v>239</v>
      </c>
      <c r="D274" s="98" t="s">
        <v>631</v>
      </c>
      <c r="E274" s="98" t="s">
        <v>21</v>
      </c>
      <c r="F274" s="98" t="s">
        <v>221</v>
      </c>
      <c r="G274" s="98">
        <v>3</v>
      </c>
      <c r="H274" s="98" t="str">
        <f t="shared" si="22"/>
        <v>BSS-TC-23217 TC_OBI_PM 1.4_011_Exempted CH detail report _Days taken to raise incident_field validation</v>
      </c>
      <c r="I274" s="98" t="s">
        <v>630</v>
      </c>
      <c r="J274" s="98" t="s">
        <v>22</v>
      </c>
      <c r="K274" s="98" t="s">
        <v>631</v>
      </c>
    </row>
    <row r="275" spans="2:11" x14ac:dyDescent="0.25">
      <c r="B275" s="98" t="s">
        <v>867</v>
      </c>
      <c r="C275" s="98" t="s">
        <v>239</v>
      </c>
      <c r="D275" s="98" t="s">
        <v>631</v>
      </c>
      <c r="E275" s="98" t="s">
        <v>23</v>
      </c>
      <c r="F275" s="98" t="s">
        <v>221</v>
      </c>
      <c r="G275" s="98">
        <v>4</v>
      </c>
      <c r="H275" s="98" t="str">
        <f t="shared" si="22"/>
        <v>BSS-TC-23217 TC_OBI_PM 1.4_011_Exempted CH detail report _Days taken to raise incident_field validation</v>
      </c>
      <c r="I275" s="98" t="s">
        <v>630</v>
      </c>
      <c r="J275" s="98" t="s">
        <v>41</v>
      </c>
      <c r="K275" s="98" t="s">
        <v>631</v>
      </c>
    </row>
    <row r="276" spans="2:11" x14ac:dyDescent="0.25">
      <c r="B276" s="98" t="s">
        <v>867</v>
      </c>
      <c r="C276" s="98" t="s">
        <v>239</v>
      </c>
      <c r="D276" s="98" t="s">
        <v>631</v>
      </c>
      <c r="E276" s="98" t="s">
        <v>43</v>
      </c>
      <c r="F276" s="98" t="s">
        <v>221</v>
      </c>
      <c r="G276" s="98">
        <v>5</v>
      </c>
      <c r="H276" s="98" t="str">
        <f t="shared" si="22"/>
        <v>BSS-TC-23217 TC_OBI_PM 1.4_011_Exempted CH detail report _Days taken to raise incident_field validation</v>
      </c>
      <c r="I276" s="98" t="s">
        <v>630</v>
      </c>
      <c r="J276" s="98" t="s">
        <v>44</v>
      </c>
      <c r="K276" s="98" t="s">
        <v>631</v>
      </c>
    </row>
    <row r="277" spans="2:11" x14ac:dyDescent="0.25">
      <c r="B277" s="98" t="s">
        <v>867</v>
      </c>
      <c r="C277" s="98" t="s">
        <v>239</v>
      </c>
      <c r="D277" s="98" t="s">
        <v>631</v>
      </c>
      <c r="E277" s="98" t="s">
        <v>25</v>
      </c>
      <c r="F277" s="98" t="s">
        <v>221</v>
      </c>
      <c r="G277" s="98">
        <v>6</v>
      </c>
      <c r="H277" s="98" t="str">
        <f t="shared" si="22"/>
        <v>BSS-TC-23217 TC_OBI_PM 1.4_011_Exempted CH detail report _Days taken to raise incident_field validation</v>
      </c>
      <c r="I277" s="98" t="s">
        <v>630</v>
      </c>
      <c r="J277" s="98" t="s">
        <v>27</v>
      </c>
      <c r="K277" s="98" t="s">
        <v>631</v>
      </c>
    </row>
    <row r="278" spans="2:11" x14ac:dyDescent="0.25">
      <c r="B278" s="98" t="s">
        <v>867</v>
      </c>
      <c r="C278" s="98" t="s">
        <v>239</v>
      </c>
      <c r="D278" s="98" t="s">
        <v>631</v>
      </c>
      <c r="E278" s="98" t="s">
        <v>52</v>
      </c>
      <c r="F278" s="98" t="s">
        <v>221</v>
      </c>
      <c r="G278" s="98">
        <v>7</v>
      </c>
      <c r="H278" s="98" t="str">
        <f t="shared" si="22"/>
        <v>BSS-TC-23217 TC_OBI_PM 1.4_011_Exempted CH detail report _Days taken to raise incident_field validation</v>
      </c>
      <c r="I278" s="98" t="s">
        <v>630</v>
      </c>
      <c r="J278" s="98" t="s">
        <v>145</v>
      </c>
      <c r="K278" s="98" t="s">
        <v>631</v>
      </c>
    </row>
    <row r="279" spans="2:11" x14ac:dyDescent="0.25">
      <c r="B279" s="98" t="s">
        <v>867</v>
      </c>
      <c r="C279" s="98" t="s">
        <v>239</v>
      </c>
      <c r="D279" s="98" t="s">
        <v>631</v>
      </c>
      <c r="E279" s="98" t="s">
        <v>650</v>
      </c>
      <c r="F279" s="98" t="s">
        <v>221</v>
      </c>
      <c r="G279" s="98">
        <v>8</v>
      </c>
      <c r="H279" s="98" t="str">
        <f t="shared" si="22"/>
        <v>BSS-TC-23217 TC_OBI_PM 1.4_011_Exempted CH detail report _Days taken to raise incident_field validation</v>
      </c>
      <c r="I279" s="98" t="s">
        <v>630</v>
      </c>
      <c r="J279" s="98" t="s">
        <v>769</v>
      </c>
      <c r="K279" s="98" t="s">
        <v>147</v>
      </c>
    </row>
    <row r="280" spans="2:11" x14ac:dyDescent="0.25">
      <c r="B280" s="98" t="s">
        <v>868</v>
      </c>
      <c r="C280" s="98" t="s">
        <v>240</v>
      </c>
      <c r="D280" s="98" t="s">
        <v>631</v>
      </c>
      <c r="E280" s="98" t="s">
        <v>770</v>
      </c>
      <c r="F280" s="98" t="s">
        <v>223</v>
      </c>
      <c r="G280" s="98">
        <v>1</v>
      </c>
      <c r="H280" s="98" t="str">
        <f t="shared" ref="H280:H287" si="23">HYPERLINK("http://rms/perspective.req?projectId=233&amp;docId=959490","BSS-TC-23218 TC_OBI_PM 1.4_012_Exempted CH detail report _Days taken to re-assign incident to SU_field validation")</f>
        <v>BSS-TC-23218 TC_OBI_PM 1.4_012_Exempted CH detail report _Days taken to re-assign incident to SU_field validation</v>
      </c>
      <c r="I280" s="98" t="s">
        <v>630</v>
      </c>
      <c r="J280" s="98" t="s">
        <v>80</v>
      </c>
      <c r="K280" s="98" t="s">
        <v>517</v>
      </c>
    </row>
    <row r="281" spans="2:11" x14ac:dyDescent="0.25">
      <c r="B281" s="98" t="s">
        <v>868</v>
      </c>
      <c r="C281" s="98" t="s">
        <v>240</v>
      </c>
      <c r="D281" s="98" t="s">
        <v>631</v>
      </c>
      <c r="E281" s="98" t="s">
        <v>18</v>
      </c>
      <c r="F281" s="98" t="s">
        <v>223</v>
      </c>
      <c r="G281" s="98">
        <v>2</v>
      </c>
      <c r="H281" s="98" t="str">
        <f t="shared" si="23"/>
        <v>BSS-TC-23218 TC_OBI_PM 1.4_012_Exempted CH detail report _Days taken to re-assign incident to SU_field validation</v>
      </c>
      <c r="I281" s="98" t="s">
        <v>630</v>
      </c>
      <c r="J281" s="98" t="s">
        <v>20</v>
      </c>
      <c r="K281" s="98" t="s">
        <v>631</v>
      </c>
    </row>
    <row r="282" spans="2:11" x14ac:dyDescent="0.25">
      <c r="B282" s="98" t="s">
        <v>868</v>
      </c>
      <c r="C282" s="98" t="s">
        <v>240</v>
      </c>
      <c r="D282" s="98" t="s">
        <v>631</v>
      </c>
      <c r="E282" s="98" t="s">
        <v>21</v>
      </c>
      <c r="F282" s="98" t="s">
        <v>223</v>
      </c>
      <c r="G282" s="98">
        <v>3</v>
      </c>
      <c r="H282" s="98" t="str">
        <f t="shared" si="23"/>
        <v>BSS-TC-23218 TC_OBI_PM 1.4_012_Exempted CH detail report _Days taken to re-assign incident to SU_field validation</v>
      </c>
      <c r="I282" s="98" t="s">
        <v>630</v>
      </c>
      <c r="J282" s="98" t="s">
        <v>22</v>
      </c>
      <c r="K282" s="98" t="s">
        <v>631</v>
      </c>
    </row>
    <row r="283" spans="2:11" x14ac:dyDescent="0.25">
      <c r="B283" s="98" t="s">
        <v>868</v>
      </c>
      <c r="C283" s="98" t="s">
        <v>240</v>
      </c>
      <c r="D283" s="98" t="s">
        <v>631</v>
      </c>
      <c r="E283" s="98" t="s">
        <v>23</v>
      </c>
      <c r="F283" s="98" t="s">
        <v>223</v>
      </c>
      <c r="G283" s="98">
        <v>4</v>
      </c>
      <c r="H283" s="98" t="str">
        <f t="shared" si="23"/>
        <v>BSS-TC-23218 TC_OBI_PM 1.4_012_Exempted CH detail report _Days taken to re-assign incident to SU_field validation</v>
      </c>
      <c r="I283" s="98" t="s">
        <v>630</v>
      </c>
      <c r="J283" s="98" t="s">
        <v>41</v>
      </c>
      <c r="K283" s="98" t="s">
        <v>631</v>
      </c>
    </row>
    <row r="284" spans="2:11" x14ac:dyDescent="0.25">
      <c r="B284" s="98" t="s">
        <v>868</v>
      </c>
      <c r="C284" s="98" t="s">
        <v>240</v>
      </c>
      <c r="D284" s="98" t="s">
        <v>631</v>
      </c>
      <c r="E284" s="98" t="s">
        <v>43</v>
      </c>
      <c r="F284" s="98" t="s">
        <v>223</v>
      </c>
      <c r="G284" s="98">
        <v>5</v>
      </c>
      <c r="H284" s="98" t="str">
        <f t="shared" si="23"/>
        <v>BSS-TC-23218 TC_OBI_PM 1.4_012_Exempted CH detail report _Days taken to re-assign incident to SU_field validation</v>
      </c>
      <c r="I284" s="98" t="s">
        <v>630</v>
      </c>
      <c r="J284" s="98" t="s">
        <v>44</v>
      </c>
      <c r="K284" s="98" t="s">
        <v>631</v>
      </c>
    </row>
    <row r="285" spans="2:11" x14ac:dyDescent="0.25">
      <c r="B285" s="98" t="s">
        <v>868</v>
      </c>
      <c r="C285" s="98" t="s">
        <v>240</v>
      </c>
      <c r="D285" s="98" t="s">
        <v>631</v>
      </c>
      <c r="E285" s="98" t="s">
        <v>25</v>
      </c>
      <c r="F285" s="98" t="s">
        <v>223</v>
      </c>
      <c r="G285" s="98">
        <v>6</v>
      </c>
      <c r="H285" s="98" t="str">
        <f t="shared" si="23"/>
        <v>BSS-TC-23218 TC_OBI_PM 1.4_012_Exempted CH detail report _Days taken to re-assign incident to SU_field validation</v>
      </c>
      <c r="I285" s="98" t="s">
        <v>630</v>
      </c>
      <c r="J285" s="98" t="s">
        <v>27</v>
      </c>
      <c r="K285" s="98" t="s">
        <v>631</v>
      </c>
    </row>
    <row r="286" spans="2:11" x14ac:dyDescent="0.25">
      <c r="B286" s="98" t="s">
        <v>868</v>
      </c>
      <c r="C286" s="98" t="s">
        <v>240</v>
      </c>
      <c r="D286" s="98" t="s">
        <v>631</v>
      </c>
      <c r="E286" s="98" t="s">
        <v>52</v>
      </c>
      <c r="F286" s="98" t="s">
        <v>223</v>
      </c>
      <c r="G286" s="98">
        <v>7</v>
      </c>
      <c r="H286" s="98" t="str">
        <f t="shared" si="23"/>
        <v>BSS-TC-23218 TC_OBI_PM 1.4_012_Exempted CH detail report _Days taken to re-assign incident to SU_field validation</v>
      </c>
      <c r="I286" s="98" t="s">
        <v>630</v>
      </c>
      <c r="J286" s="98" t="s">
        <v>145</v>
      </c>
      <c r="K286" s="98" t="s">
        <v>631</v>
      </c>
    </row>
    <row r="287" spans="2:11" x14ac:dyDescent="0.25">
      <c r="B287" s="98" t="s">
        <v>868</v>
      </c>
      <c r="C287" s="98" t="s">
        <v>240</v>
      </c>
      <c r="D287" s="98" t="s">
        <v>631</v>
      </c>
      <c r="E287" s="98" t="s">
        <v>650</v>
      </c>
      <c r="F287" s="98" t="s">
        <v>223</v>
      </c>
      <c r="G287" s="98">
        <v>8</v>
      </c>
      <c r="H287" s="98" t="str">
        <f t="shared" si="23"/>
        <v>BSS-TC-23218 TC_OBI_PM 1.4_012_Exempted CH detail report _Days taken to re-assign incident to SU_field validation</v>
      </c>
      <c r="I287" s="98" t="s">
        <v>630</v>
      </c>
      <c r="J287" s="98" t="s">
        <v>769</v>
      </c>
      <c r="K287" s="98" t="s">
        <v>147</v>
      </c>
    </row>
    <row r="288" spans="2:11" x14ac:dyDescent="0.25">
      <c r="B288" s="98" t="s">
        <v>869</v>
      </c>
      <c r="C288" s="98" t="s">
        <v>241</v>
      </c>
      <c r="D288" s="98" t="s">
        <v>631</v>
      </c>
      <c r="E288" s="98" t="s">
        <v>771</v>
      </c>
      <c r="F288" s="98" t="s">
        <v>229</v>
      </c>
      <c r="G288" s="98">
        <v>1</v>
      </c>
      <c r="H288" s="98" t="str">
        <f t="shared" ref="H288:H295" si="24">HYPERLINK("http://rms/perspective.req?projectId=233&amp;docId=959491","BSS-TC-23219 TC_OBI_PM 1.4_013_Exempted CH detail report _Exception reason_field validation")</f>
        <v>BSS-TC-23219 TC_OBI_PM 1.4_013_Exempted CH detail report _Exception reason_field validation</v>
      </c>
      <c r="I288" s="98" t="s">
        <v>630</v>
      </c>
      <c r="J288" s="98" t="s">
        <v>80</v>
      </c>
      <c r="K288" s="98" t="s">
        <v>517</v>
      </c>
    </row>
    <row r="289" spans="2:11" x14ac:dyDescent="0.25">
      <c r="B289" s="98" t="s">
        <v>869</v>
      </c>
      <c r="C289" s="98" t="s">
        <v>241</v>
      </c>
      <c r="D289" s="98" t="s">
        <v>631</v>
      </c>
      <c r="E289" s="98" t="s">
        <v>18</v>
      </c>
      <c r="F289" s="98" t="s">
        <v>229</v>
      </c>
      <c r="G289" s="98">
        <v>2</v>
      </c>
      <c r="H289" s="98" t="str">
        <f t="shared" si="24"/>
        <v>BSS-TC-23219 TC_OBI_PM 1.4_013_Exempted CH detail report _Exception reason_field validation</v>
      </c>
      <c r="I289" s="98" t="s">
        <v>630</v>
      </c>
      <c r="J289" s="98" t="s">
        <v>20</v>
      </c>
      <c r="K289" s="98" t="s">
        <v>631</v>
      </c>
    </row>
    <row r="290" spans="2:11" x14ac:dyDescent="0.25">
      <c r="B290" s="98" t="s">
        <v>869</v>
      </c>
      <c r="C290" s="98" t="s">
        <v>241</v>
      </c>
      <c r="D290" s="98" t="s">
        <v>631</v>
      </c>
      <c r="E290" s="98" t="s">
        <v>21</v>
      </c>
      <c r="F290" s="98" t="s">
        <v>229</v>
      </c>
      <c r="G290" s="98">
        <v>3</v>
      </c>
      <c r="H290" s="98" t="str">
        <f t="shared" si="24"/>
        <v>BSS-TC-23219 TC_OBI_PM 1.4_013_Exempted CH detail report _Exception reason_field validation</v>
      </c>
      <c r="I290" s="98" t="s">
        <v>630</v>
      </c>
      <c r="J290" s="98" t="s">
        <v>22</v>
      </c>
      <c r="K290" s="98" t="s">
        <v>631</v>
      </c>
    </row>
    <row r="291" spans="2:11" x14ac:dyDescent="0.25">
      <c r="B291" s="98" t="s">
        <v>869</v>
      </c>
      <c r="C291" s="98" t="s">
        <v>241</v>
      </c>
      <c r="D291" s="98" t="s">
        <v>631</v>
      </c>
      <c r="E291" s="98" t="s">
        <v>23</v>
      </c>
      <c r="F291" s="98" t="s">
        <v>229</v>
      </c>
      <c r="G291" s="98">
        <v>4</v>
      </c>
      <c r="H291" s="98" t="str">
        <f t="shared" si="24"/>
        <v>BSS-TC-23219 TC_OBI_PM 1.4_013_Exempted CH detail report _Exception reason_field validation</v>
      </c>
      <c r="I291" s="98" t="s">
        <v>630</v>
      </c>
      <c r="J291" s="98" t="s">
        <v>41</v>
      </c>
      <c r="K291" s="98" t="s">
        <v>631</v>
      </c>
    </row>
    <row r="292" spans="2:11" x14ac:dyDescent="0.25">
      <c r="B292" s="98" t="s">
        <v>869</v>
      </c>
      <c r="C292" s="98" t="s">
        <v>241</v>
      </c>
      <c r="D292" s="98" t="s">
        <v>631</v>
      </c>
      <c r="E292" s="98" t="s">
        <v>43</v>
      </c>
      <c r="F292" s="98" t="s">
        <v>229</v>
      </c>
      <c r="G292" s="98">
        <v>5</v>
      </c>
      <c r="H292" s="98" t="str">
        <f t="shared" si="24"/>
        <v>BSS-TC-23219 TC_OBI_PM 1.4_013_Exempted CH detail report _Exception reason_field validation</v>
      </c>
      <c r="I292" s="98" t="s">
        <v>630</v>
      </c>
      <c r="J292" s="98" t="s">
        <v>44</v>
      </c>
      <c r="K292" s="98" t="s">
        <v>631</v>
      </c>
    </row>
    <row r="293" spans="2:11" x14ac:dyDescent="0.25">
      <c r="B293" s="98" t="s">
        <v>869</v>
      </c>
      <c r="C293" s="98" t="s">
        <v>241</v>
      </c>
      <c r="D293" s="98" t="s">
        <v>631</v>
      </c>
      <c r="E293" s="98" t="s">
        <v>25</v>
      </c>
      <c r="F293" s="98" t="s">
        <v>229</v>
      </c>
      <c r="G293" s="98">
        <v>6</v>
      </c>
      <c r="H293" s="98" t="str">
        <f t="shared" si="24"/>
        <v>BSS-TC-23219 TC_OBI_PM 1.4_013_Exempted CH detail report _Exception reason_field validation</v>
      </c>
      <c r="I293" s="98" t="s">
        <v>630</v>
      </c>
      <c r="J293" s="98" t="s">
        <v>27</v>
      </c>
      <c r="K293" s="98" t="s">
        <v>631</v>
      </c>
    </row>
    <row r="294" spans="2:11" x14ac:dyDescent="0.25">
      <c r="B294" s="98" t="s">
        <v>869</v>
      </c>
      <c r="C294" s="98" t="s">
        <v>241</v>
      </c>
      <c r="D294" s="98" t="s">
        <v>631</v>
      </c>
      <c r="E294" s="98" t="s">
        <v>52</v>
      </c>
      <c r="F294" s="98" t="s">
        <v>229</v>
      </c>
      <c r="G294" s="98">
        <v>7</v>
      </c>
      <c r="H294" s="98" t="str">
        <f t="shared" si="24"/>
        <v>BSS-TC-23219 TC_OBI_PM 1.4_013_Exempted CH detail report _Exception reason_field validation</v>
      </c>
      <c r="I294" s="98" t="s">
        <v>630</v>
      </c>
      <c r="J294" s="98" t="s">
        <v>145</v>
      </c>
      <c r="K294" s="98" t="s">
        <v>631</v>
      </c>
    </row>
    <row r="295" spans="2:11" x14ac:dyDescent="0.25">
      <c r="B295" s="98" t="s">
        <v>869</v>
      </c>
      <c r="C295" s="98" t="s">
        <v>241</v>
      </c>
      <c r="D295" s="98" t="s">
        <v>631</v>
      </c>
      <c r="E295" s="98" t="s">
        <v>650</v>
      </c>
      <c r="F295" s="98" t="s">
        <v>229</v>
      </c>
      <c r="G295" s="98">
        <v>8</v>
      </c>
      <c r="H295" s="98" t="str">
        <f t="shared" si="24"/>
        <v>BSS-TC-23219 TC_OBI_PM 1.4_013_Exempted CH detail report _Exception reason_field validation</v>
      </c>
      <c r="I295" s="98" t="s">
        <v>630</v>
      </c>
      <c r="J295" s="98" t="s">
        <v>769</v>
      </c>
      <c r="K295" s="98" t="s">
        <v>147</v>
      </c>
    </row>
    <row r="296" spans="2:11" x14ac:dyDescent="0.25">
      <c r="B296" s="98" t="s">
        <v>870</v>
      </c>
      <c r="C296" s="98" t="s">
        <v>242</v>
      </c>
      <c r="D296" s="98" t="s">
        <v>631</v>
      </c>
      <c r="E296" s="98" t="s">
        <v>772</v>
      </c>
      <c r="F296" s="98" t="s">
        <v>232</v>
      </c>
      <c r="G296" s="98">
        <v>1</v>
      </c>
      <c r="H296" s="98" t="str">
        <f t="shared" ref="H296:H303" si="25">HYPERLINK("http://rms/perspective.req?projectId=233&amp;docId=959492","BSS-TC-23220 TC_OBI_PM 1.4_014_Exempted CH detail report _""Incident first assigned to Arqiva""_field validation")</f>
        <v>BSS-TC-23220 TC_OBI_PM 1.4_014_Exempted CH detail report _"Incident first assigned to Arqiva"_field validation</v>
      </c>
      <c r="I296" s="98" t="s">
        <v>630</v>
      </c>
      <c r="J296" s="98" t="s">
        <v>80</v>
      </c>
      <c r="K296" s="98" t="s">
        <v>517</v>
      </c>
    </row>
    <row r="297" spans="2:11" x14ac:dyDescent="0.25">
      <c r="B297" s="98" t="s">
        <v>870</v>
      </c>
      <c r="C297" s="98" t="s">
        <v>242</v>
      </c>
      <c r="D297" s="98" t="s">
        <v>631</v>
      </c>
      <c r="E297" s="98" t="s">
        <v>18</v>
      </c>
      <c r="F297" s="98" t="s">
        <v>232</v>
      </c>
      <c r="G297" s="98">
        <v>2</v>
      </c>
      <c r="H297" s="98" t="str">
        <f t="shared" si="25"/>
        <v>BSS-TC-23220 TC_OBI_PM 1.4_014_Exempted CH detail report _"Incident first assigned to Arqiva"_field validation</v>
      </c>
      <c r="I297" s="98" t="s">
        <v>630</v>
      </c>
      <c r="J297" s="98" t="s">
        <v>20</v>
      </c>
      <c r="K297" s="98" t="s">
        <v>631</v>
      </c>
    </row>
    <row r="298" spans="2:11" x14ac:dyDescent="0.25">
      <c r="B298" s="98" t="s">
        <v>870</v>
      </c>
      <c r="C298" s="98" t="s">
        <v>242</v>
      </c>
      <c r="D298" s="98" t="s">
        <v>631</v>
      </c>
      <c r="E298" s="98" t="s">
        <v>21</v>
      </c>
      <c r="F298" s="98" t="s">
        <v>232</v>
      </c>
      <c r="G298" s="98">
        <v>3</v>
      </c>
      <c r="H298" s="98" t="str">
        <f t="shared" si="25"/>
        <v>BSS-TC-23220 TC_OBI_PM 1.4_014_Exempted CH detail report _"Incident first assigned to Arqiva"_field validation</v>
      </c>
      <c r="I298" s="98" t="s">
        <v>630</v>
      </c>
      <c r="J298" s="98" t="s">
        <v>22</v>
      </c>
      <c r="K298" s="98" t="s">
        <v>631</v>
      </c>
    </row>
    <row r="299" spans="2:11" x14ac:dyDescent="0.25">
      <c r="B299" s="98" t="s">
        <v>870</v>
      </c>
      <c r="C299" s="98" t="s">
        <v>242</v>
      </c>
      <c r="D299" s="98" t="s">
        <v>631</v>
      </c>
      <c r="E299" s="98" t="s">
        <v>23</v>
      </c>
      <c r="F299" s="98" t="s">
        <v>232</v>
      </c>
      <c r="G299" s="98">
        <v>4</v>
      </c>
      <c r="H299" s="98" t="str">
        <f t="shared" si="25"/>
        <v>BSS-TC-23220 TC_OBI_PM 1.4_014_Exempted CH detail report _"Incident first assigned to Arqiva"_field validation</v>
      </c>
      <c r="I299" s="98" t="s">
        <v>630</v>
      </c>
      <c r="J299" s="98" t="s">
        <v>41</v>
      </c>
      <c r="K299" s="98" t="s">
        <v>631</v>
      </c>
    </row>
    <row r="300" spans="2:11" x14ac:dyDescent="0.25">
      <c r="B300" s="98" t="s">
        <v>870</v>
      </c>
      <c r="C300" s="98" t="s">
        <v>242</v>
      </c>
      <c r="D300" s="98" t="s">
        <v>631</v>
      </c>
      <c r="E300" s="98" t="s">
        <v>43</v>
      </c>
      <c r="F300" s="98" t="s">
        <v>232</v>
      </c>
      <c r="G300" s="98">
        <v>5</v>
      </c>
      <c r="H300" s="98" t="str">
        <f t="shared" si="25"/>
        <v>BSS-TC-23220 TC_OBI_PM 1.4_014_Exempted CH detail report _"Incident first assigned to Arqiva"_field validation</v>
      </c>
      <c r="I300" s="98" t="s">
        <v>630</v>
      </c>
      <c r="J300" s="98" t="s">
        <v>44</v>
      </c>
      <c r="K300" s="98" t="s">
        <v>631</v>
      </c>
    </row>
    <row r="301" spans="2:11" x14ac:dyDescent="0.25">
      <c r="B301" s="98" t="s">
        <v>870</v>
      </c>
      <c r="C301" s="98" t="s">
        <v>242</v>
      </c>
      <c r="D301" s="98" t="s">
        <v>631</v>
      </c>
      <c r="E301" s="98" t="s">
        <v>25</v>
      </c>
      <c r="F301" s="98" t="s">
        <v>232</v>
      </c>
      <c r="G301" s="98">
        <v>6</v>
      </c>
      <c r="H301" s="98" t="str">
        <f t="shared" si="25"/>
        <v>BSS-TC-23220 TC_OBI_PM 1.4_014_Exempted CH detail report _"Incident first assigned to Arqiva"_field validation</v>
      </c>
      <c r="I301" s="98" t="s">
        <v>630</v>
      </c>
      <c r="J301" s="98" t="s">
        <v>27</v>
      </c>
      <c r="K301" s="98" t="s">
        <v>631</v>
      </c>
    </row>
    <row r="302" spans="2:11" x14ac:dyDescent="0.25">
      <c r="B302" s="98" t="s">
        <v>870</v>
      </c>
      <c r="C302" s="98" t="s">
        <v>242</v>
      </c>
      <c r="D302" s="98" t="s">
        <v>631</v>
      </c>
      <c r="E302" s="98" t="s">
        <v>52</v>
      </c>
      <c r="F302" s="98" t="s">
        <v>232</v>
      </c>
      <c r="G302" s="98">
        <v>7</v>
      </c>
      <c r="H302" s="98" t="str">
        <f t="shared" si="25"/>
        <v>BSS-TC-23220 TC_OBI_PM 1.4_014_Exempted CH detail report _"Incident first assigned to Arqiva"_field validation</v>
      </c>
      <c r="I302" s="98" t="s">
        <v>630</v>
      </c>
      <c r="J302" s="98" t="s">
        <v>145</v>
      </c>
      <c r="K302" s="98" t="s">
        <v>631</v>
      </c>
    </row>
    <row r="303" spans="2:11" x14ac:dyDescent="0.25">
      <c r="B303" s="98" t="s">
        <v>870</v>
      </c>
      <c r="C303" s="98" t="s">
        <v>242</v>
      </c>
      <c r="D303" s="98" t="s">
        <v>631</v>
      </c>
      <c r="E303" s="98" t="s">
        <v>650</v>
      </c>
      <c r="F303" s="98" t="s">
        <v>232</v>
      </c>
      <c r="G303" s="98">
        <v>8</v>
      </c>
      <c r="H303" s="98" t="str">
        <f t="shared" si="25"/>
        <v>BSS-TC-23220 TC_OBI_PM 1.4_014_Exempted CH detail report _"Incident first assigned to Arqiva"_field validation</v>
      </c>
      <c r="I303" s="98" t="s">
        <v>630</v>
      </c>
      <c r="J303" s="98" t="s">
        <v>769</v>
      </c>
      <c r="K303" s="98" t="s">
        <v>147</v>
      </c>
    </row>
    <row r="304" spans="2:11" x14ac:dyDescent="0.25">
      <c r="B304" s="98" t="s">
        <v>871</v>
      </c>
      <c r="C304" s="98" t="s">
        <v>244</v>
      </c>
      <c r="D304" s="98" t="s">
        <v>631</v>
      </c>
      <c r="E304" s="98" t="s">
        <v>773</v>
      </c>
      <c r="F304" s="98" t="s">
        <v>243</v>
      </c>
      <c r="G304" s="98">
        <v>1</v>
      </c>
      <c r="H304" s="98" t="str">
        <f t="shared" ref="H304:H311" si="26">HYPERLINK("http://rms/perspective.req?projectId=233&amp;docId=959493","BSS-TC-23221 TC_OBI_PM 1.4_015_Exempted CH detail report _Incident first assigned to SU_field validation")</f>
        <v>BSS-TC-23221 TC_OBI_PM 1.4_015_Exempted CH detail report _Incident first assigned to SU_field validation</v>
      </c>
      <c r="I304" s="98" t="s">
        <v>630</v>
      </c>
      <c r="J304" s="98" t="s">
        <v>80</v>
      </c>
      <c r="K304" s="98" t="s">
        <v>517</v>
      </c>
    </row>
    <row r="305" spans="2:11" x14ac:dyDescent="0.25">
      <c r="B305" s="98" t="s">
        <v>871</v>
      </c>
      <c r="C305" s="98" t="s">
        <v>244</v>
      </c>
      <c r="D305" s="98" t="s">
        <v>631</v>
      </c>
      <c r="E305" s="98" t="s">
        <v>18</v>
      </c>
      <c r="F305" s="98" t="s">
        <v>243</v>
      </c>
      <c r="G305" s="98">
        <v>2</v>
      </c>
      <c r="H305" s="98" t="str">
        <f t="shared" si="26"/>
        <v>BSS-TC-23221 TC_OBI_PM 1.4_015_Exempted CH detail report _Incident first assigned to SU_field validation</v>
      </c>
      <c r="I305" s="98" t="s">
        <v>630</v>
      </c>
      <c r="J305" s="98" t="s">
        <v>20</v>
      </c>
      <c r="K305" s="98" t="s">
        <v>631</v>
      </c>
    </row>
    <row r="306" spans="2:11" x14ac:dyDescent="0.25">
      <c r="B306" s="98" t="s">
        <v>871</v>
      </c>
      <c r="C306" s="98" t="s">
        <v>244</v>
      </c>
      <c r="D306" s="98" t="s">
        <v>631</v>
      </c>
      <c r="E306" s="98" t="s">
        <v>21</v>
      </c>
      <c r="F306" s="98" t="s">
        <v>243</v>
      </c>
      <c r="G306" s="98">
        <v>3</v>
      </c>
      <c r="H306" s="98" t="str">
        <f t="shared" si="26"/>
        <v>BSS-TC-23221 TC_OBI_PM 1.4_015_Exempted CH detail report _Incident first assigned to SU_field validation</v>
      </c>
      <c r="I306" s="98" t="s">
        <v>630</v>
      </c>
      <c r="J306" s="98" t="s">
        <v>22</v>
      </c>
      <c r="K306" s="98" t="s">
        <v>631</v>
      </c>
    </row>
    <row r="307" spans="2:11" x14ac:dyDescent="0.25">
      <c r="B307" s="98" t="s">
        <v>871</v>
      </c>
      <c r="C307" s="98" t="s">
        <v>244</v>
      </c>
      <c r="D307" s="98" t="s">
        <v>631</v>
      </c>
      <c r="E307" s="98" t="s">
        <v>23</v>
      </c>
      <c r="F307" s="98" t="s">
        <v>243</v>
      </c>
      <c r="G307" s="98">
        <v>4</v>
      </c>
      <c r="H307" s="98" t="str">
        <f t="shared" si="26"/>
        <v>BSS-TC-23221 TC_OBI_PM 1.4_015_Exempted CH detail report _Incident first assigned to SU_field validation</v>
      </c>
      <c r="I307" s="98" t="s">
        <v>630</v>
      </c>
      <c r="J307" s="98" t="s">
        <v>41</v>
      </c>
      <c r="K307" s="98" t="s">
        <v>631</v>
      </c>
    </row>
    <row r="308" spans="2:11" x14ac:dyDescent="0.25">
      <c r="B308" s="98" t="s">
        <v>871</v>
      </c>
      <c r="C308" s="98" t="s">
        <v>244</v>
      </c>
      <c r="D308" s="98" t="s">
        <v>631</v>
      </c>
      <c r="E308" s="98" t="s">
        <v>43</v>
      </c>
      <c r="F308" s="98" t="s">
        <v>243</v>
      </c>
      <c r="G308" s="98">
        <v>5</v>
      </c>
      <c r="H308" s="98" t="str">
        <f t="shared" si="26"/>
        <v>BSS-TC-23221 TC_OBI_PM 1.4_015_Exempted CH detail report _Incident first assigned to SU_field validation</v>
      </c>
      <c r="I308" s="98" t="s">
        <v>630</v>
      </c>
      <c r="J308" s="98" t="s">
        <v>44</v>
      </c>
      <c r="K308" s="98" t="s">
        <v>631</v>
      </c>
    </row>
    <row r="309" spans="2:11" x14ac:dyDescent="0.25">
      <c r="B309" s="98" t="s">
        <v>871</v>
      </c>
      <c r="C309" s="98" t="s">
        <v>244</v>
      </c>
      <c r="D309" s="98" t="s">
        <v>631</v>
      </c>
      <c r="E309" s="98" t="s">
        <v>25</v>
      </c>
      <c r="F309" s="98" t="s">
        <v>243</v>
      </c>
      <c r="G309" s="98">
        <v>6</v>
      </c>
      <c r="H309" s="98" t="str">
        <f t="shared" si="26"/>
        <v>BSS-TC-23221 TC_OBI_PM 1.4_015_Exempted CH detail report _Incident first assigned to SU_field validation</v>
      </c>
      <c r="I309" s="98" t="s">
        <v>630</v>
      </c>
      <c r="J309" s="98" t="s">
        <v>27</v>
      </c>
      <c r="K309" s="98" t="s">
        <v>631</v>
      </c>
    </row>
    <row r="310" spans="2:11" x14ac:dyDescent="0.25">
      <c r="B310" s="98" t="s">
        <v>871</v>
      </c>
      <c r="C310" s="98" t="s">
        <v>244</v>
      </c>
      <c r="D310" s="98" t="s">
        <v>631</v>
      </c>
      <c r="E310" s="98" t="s">
        <v>52</v>
      </c>
      <c r="F310" s="98" t="s">
        <v>243</v>
      </c>
      <c r="G310" s="98">
        <v>7</v>
      </c>
      <c r="H310" s="98" t="str">
        <f t="shared" si="26"/>
        <v>BSS-TC-23221 TC_OBI_PM 1.4_015_Exempted CH detail report _Incident first assigned to SU_field validation</v>
      </c>
      <c r="I310" s="98" t="s">
        <v>630</v>
      </c>
      <c r="J310" s="98" t="s">
        <v>145</v>
      </c>
      <c r="K310" s="98" t="s">
        <v>631</v>
      </c>
    </row>
    <row r="311" spans="2:11" x14ac:dyDescent="0.25">
      <c r="B311" s="98" t="s">
        <v>871</v>
      </c>
      <c r="C311" s="98" t="s">
        <v>244</v>
      </c>
      <c r="D311" s="98" t="s">
        <v>631</v>
      </c>
      <c r="E311" s="98" t="s">
        <v>650</v>
      </c>
      <c r="F311" s="98" t="s">
        <v>243</v>
      </c>
      <c r="G311" s="98">
        <v>8</v>
      </c>
      <c r="H311" s="98" t="str">
        <f t="shared" si="26"/>
        <v>BSS-TC-23221 TC_OBI_PM 1.4_015_Exempted CH detail report _Incident first assigned to SU_field validation</v>
      </c>
      <c r="I311" s="98" t="s">
        <v>630</v>
      </c>
      <c r="J311" s="98" t="s">
        <v>769</v>
      </c>
      <c r="K311" s="98" t="s">
        <v>147</v>
      </c>
    </row>
    <row r="312" spans="2:11" x14ac:dyDescent="0.25">
      <c r="B312" s="98" t="s">
        <v>872</v>
      </c>
      <c r="C312" s="98" t="s">
        <v>247</v>
      </c>
      <c r="D312" s="98" t="s">
        <v>631</v>
      </c>
      <c r="E312" s="98" t="s">
        <v>774</v>
      </c>
      <c r="F312" s="98" t="s">
        <v>775</v>
      </c>
      <c r="G312" s="98">
        <v>1</v>
      </c>
      <c r="H312" s="98" t="str">
        <f t="shared" ref="H312:H319" si="27">HYPERLINK("http://rms/perspective.req?projectId=233&amp;docId=959494","BSS-TC-23222 TC_OBI_PM 1.4_016_Exempted CH detail report _Manual PM Override Flag field_field validation")</f>
        <v>BSS-TC-23222 TC_OBI_PM 1.4_016_Exempted CH detail report _Manual PM Override Flag field_field validation</v>
      </c>
      <c r="I312" s="98" t="s">
        <v>630</v>
      </c>
      <c r="J312" s="98" t="s">
        <v>80</v>
      </c>
      <c r="K312" s="98" t="s">
        <v>517</v>
      </c>
    </row>
    <row r="313" spans="2:11" x14ac:dyDescent="0.25">
      <c r="B313" s="98" t="s">
        <v>872</v>
      </c>
      <c r="C313" s="98" t="s">
        <v>247</v>
      </c>
      <c r="D313" s="98" t="s">
        <v>631</v>
      </c>
      <c r="E313" s="98" t="s">
        <v>18</v>
      </c>
      <c r="F313" s="98" t="s">
        <v>775</v>
      </c>
      <c r="G313" s="98">
        <v>2</v>
      </c>
      <c r="H313" s="98" t="str">
        <f t="shared" si="27"/>
        <v>BSS-TC-23222 TC_OBI_PM 1.4_016_Exempted CH detail report _Manual PM Override Flag field_field validation</v>
      </c>
      <c r="I313" s="98" t="s">
        <v>630</v>
      </c>
      <c r="J313" s="98" t="s">
        <v>20</v>
      </c>
      <c r="K313" s="98" t="s">
        <v>631</v>
      </c>
    </row>
    <row r="314" spans="2:11" x14ac:dyDescent="0.25">
      <c r="B314" s="98" t="s">
        <v>872</v>
      </c>
      <c r="C314" s="98" t="s">
        <v>247</v>
      </c>
      <c r="D314" s="98" t="s">
        <v>631</v>
      </c>
      <c r="E314" s="98" t="s">
        <v>21</v>
      </c>
      <c r="F314" s="98" t="s">
        <v>775</v>
      </c>
      <c r="G314" s="98">
        <v>3</v>
      </c>
      <c r="H314" s="98" t="str">
        <f t="shared" si="27"/>
        <v>BSS-TC-23222 TC_OBI_PM 1.4_016_Exempted CH detail report _Manual PM Override Flag field_field validation</v>
      </c>
      <c r="I314" s="98" t="s">
        <v>630</v>
      </c>
      <c r="J314" s="98" t="s">
        <v>22</v>
      </c>
      <c r="K314" s="98" t="s">
        <v>631</v>
      </c>
    </row>
    <row r="315" spans="2:11" x14ac:dyDescent="0.25">
      <c r="B315" s="98" t="s">
        <v>872</v>
      </c>
      <c r="C315" s="98" t="s">
        <v>247</v>
      </c>
      <c r="D315" s="98" t="s">
        <v>631</v>
      </c>
      <c r="E315" s="98" t="s">
        <v>23</v>
      </c>
      <c r="F315" s="98" t="s">
        <v>775</v>
      </c>
      <c r="G315" s="98">
        <v>4</v>
      </c>
      <c r="H315" s="98" t="str">
        <f t="shared" si="27"/>
        <v>BSS-TC-23222 TC_OBI_PM 1.4_016_Exempted CH detail report _Manual PM Override Flag field_field validation</v>
      </c>
      <c r="I315" s="98" t="s">
        <v>630</v>
      </c>
      <c r="J315" s="98" t="s">
        <v>41</v>
      </c>
      <c r="K315" s="98" t="s">
        <v>631</v>
      </c>
    </row>
    <row r="316" spans="2:11" x14ac:dyDescent="0.25">
      <c r="B316" s="98" t="s">
        <v>872</v>
      </c>
      <c r="C316" s="98" t="s">
        <v>247</v>
      </c>
      <c r="D316" s="98" t="s">
        <v>631</v>
      </c>
      <c r="E316" s="98" t="s">
        <v>43</v>
      </c>
      <c r="F316" s="98" t="s">
        <v>775</v>
      </c>
      <c r="G316" s="98">
        <v>5</v>
      </c>
      <c r="H316" s="98" t="str">
        <f t="shared" si="27"/>
        <v>BSS-TC-23222 TC_OBI_PM 1.4_016_Exempted CH detail report _Manual PM Override Flag field_field validation</v>
      </c>
      <c r="I316" s="98" t="s">
        <v>630</v>
      </c>
      <c r="J316" s="98" t="s">
        <v>44</v>
      </c>
      <c r="K316" s="98" t="s">
        <v>631</v>
      </c>
    </row>
    <row r="317" spans="2:11" x14ac:dyDescent="0.25">
      <c r="B317" s="98" t="s">
        <v>872</v>
      </c>
      <c r="C317" s="98" t="s">
        <v>247</v>
      </c>
      <c r="D317" s="98" t="s">
        <v>631</v>
      </c>
      <c r="E317" s="98" t="s">
        <v>25</v>
      </c>
      <c r="F317" s="98" t="s">
        <v>775</v>
      </c>
      <c r="G317" s="98">
        <v>6</v>
      </c>
      <c r="H317" s="98" t="str">
        <f t="shared" si="27"/>
        <v>BSS-TC-23222 TC_OBI_PM 1.4_016_Exempted CH detail report _Manual PM Override Flag field_field validation</v>
      </c>
      <c r="I317" s="98" t="s">
        <v>630</v>
      </c>
      <c r="J317" s="98" t="s">
        <v>27</v>
      </c>
      <c r="K317" s="98" t="s">
        <v>631</v>
      </c>
    </row>
    <row r="318" spans="2:11" x14ac:dyDescent="0.25">
      <c r="B318" s="98" t="s">
        <v>872</v>
      </c>
      <c r="C318" s="98" t="s">
        <v>247</v>
      </c>
      <c r="D318" s="98" t="s">
        <v>631</v>
      </c>
      <c r="E318" s="98" t="s">
        <v>52</v>
      </c>
      <c r="F318" s="98" t="s">
        <v>775</v>
      </c>
      <c r="G318" s="98">
        <v>7</v>
      </c>
      <c r="H318" s="98" t="str">
        <f t="shared" si="27"/>
        <v>BSS-TC-23222 TC_OBI_PM 1.4_016_Exempted CH detail report _Manual PM Override Flag field_field validation</v>
      </c>
      <c r="I318" s="98" t="s">
        <v>630</v>
      </c>
      <c r="J318" s="98" t="s">
        <v>145</v>
      </c>
      <c r="K318" s="98" t="s">
        <v>631</v>
      </c>
    </row>
    <row r="319" spans="2:11" x14ac:dyDescent="0.25">
      <c r="B319" s="98" t="s">
        <v>872</v>
      </c>
      <c r="C319" s="98" t="s">
        <v>247</v>
      </c>
      <c r="D319" s="98" t="s">
        <v>631</v>
      </c>
      <c r="E319" s="98" t="s">
        <v>248</v>
      </c>
      <c r="F319" s="98" t="s">
        <v>775</v>
      </c>
      <c r="G319" s="98">
        <v>8</v>
      </c>
      <c r="H319" s="98" t="str">
        <f t="shared" si="27"/>
        <v>BSS-TC-23222 TC_OBI_PM 1.4_016_Exempted CH detail report _Manual PM Override Flag field_field validation</v>
      </c>
      <c r="I319" s="98" t="s">
        <v>630</v>
      </c>
      <c r="J319" s="98" t="s">
        <v>769</v>
      </c>
      <c r="K319" s="98" t="s">
        <v>249</v>
      </c>
    </row>
    <row r="320" spans="2:11" x14ac:dyDescent="0.25">
      <c r="B320" s="98" t="s">
        <v>873</v>
      </c>
      <c r="C320" s="98" t="s">
        <v>531</v>
      </c>
      <c r="D320" s="98" t="s">
        <v>631</v>
      </c>
      <c r="E320" s="98" t="s">
        <v>265</v>
      </c>
      <c r="F320" s="98" t="s">
        <v>280</v>
      </c>
      <c r="G320" s="98">
        <v>1</v>
      </c>
      <c r="H320" s="98" t="str">
        <f t="shared" ref="H320:H330" si="28">HYPERLINK("http://rms/perspective.req?projectId=233&amp;docId=959496","BSS-TC-23224 TC_OBI_018_CR109_PM1.4_Exempted_CH_Comms_Hub_and_Incident_ID_Validation")</f>
        <v>BSS-TC-23224 TC_OBI_018_CR109_PM1.4_Exempted_CH_Comms_Hub_and_Incident_ID_Validation</v>
      </c>
      <c r="I320" s="98" t="s">
        <v>630</v>
      </c>
      <c r="J320" s="98" t="s">
        <v>266</v>
      </c>
      <c r="K320" s="98" t="s">
        <v>631</v>
      </c>
    </row>
    <row r="321" spans="2:11" x14ac:dyDescent="0.25">
      <c r="B321" s="98" t="s">
        <v>873</v>
      </c>
      <c r="C321" s="98" t="s">
        <v>531</v>
      </c>
      <c r="D321" s="98" t="s">
        <v>631</v>
      </c>
      <c r="E321" s="98" t="s">
        <v>25</v>
      </c>
      <c r="F321" s="98" t="s">
        <v>280</v>
      </c>
      <c r="G321" s="98">
        <v>2</v>
      </c>
      <c r="H321" s="98" t="str">
        <f t="shared" si="28"/>
        <v>BSS-TC-23224 TC_OBI_018_CR109_PM1.4_Exempted_CH_Comms_Hub_and_Incident_ID_Validation</v>
      </c>
      <c r="I321" s="98" t="s">
        <v>630</v>
      </c>
      <c r="J321" s="98" t="s">
        <v>27</v>
      </c>
      <c r="K321" s="98" t="s">
        <v>631</v>
      </c>
    </row>
    <row r="322" spans="2:11" x14ac:dyDescent="0.25">
      <c r="B322" s="98" t="s">
        <v>873</v>
      </c>
      <c r="C322" s="98" t="s">
        <v>531</v>
      </c>
      <c r="D322" s="98" t="s">
        <v>631</v>
      </c>
      <c r="E322" s="98" t="s">
        <v>45</v>
      </c>
      <c r="F322" s="98" t="s">
        <v>280</v>
      </c>
      <c r="G322" s="98">
        <v>3</v>
      </c>
      <c r="H322" s="98" t="str">
        <f t="shared" si="28"/>
        <v>BSS-TC-23224 TC_OBI_018_CR109_PM1.4_Exempted_CH_Comms_Hub_and_Incident_ID_Validation</v>
      </c>
      <c r="I322" s="98" t="s">
        <v>630</v>
      </c>
      <c r="J322" s="98" t="s">
        <v>284</v>
      </c>
      <c r="K322" s="98" t="s">
        <v>631</v>
      </c>
    </row>
    <row r="323" spans="2:11" x14ac:dyDescent="0.25">
      <c r="B323" s="98" t="s">
        <v>873</v>
      </c>
      <c r="C323" s="98" t="s">
        <v>531</v>
      </c>
      <c r="D323" s="98" t="s">
        <v>631</v>
      </c>
      <c r="E323" s="98" t="s">
        <v>286</v>
      </c>
      <c r="F323" s="98" t="s">
        <v>280</v>
      </c>
      <c r="G323" s="98">
        <v>4</v>
      </c>
      <c r="H323" s="98" t="str">
        <f t="shared" si="28"/>
        <v>BSS-TC-23224 TC_OBI_018_CR109_PM1.4_Exempted_CH_Comms_Hub_and_Incident_ID_Validation</v>
      </c>
      <c r="I323" s="98" t="s">
        <v>630</v>
      </c>
      <c r="J323" s="98" t="s">
        <v>288</v>
      </c>
      <c r="K323" s="98" t="s">
        <v>287</v>
      </c>
    </row>
    <row r="324" spans="2:11" x14ac:dyDescent="0.25">
      <c r="B324" s="98" t="s">
        <v>873</v>
      </c>
      <c r="C324" s="98" t="s">
        <v>531</v>
      </c>
      <c r="D324" s="98" t="s">
        <v>631</v>
      </c>
      <c r="E324" s="98" t="s">
        <v>290</v>
      </c>
      <c r="F324" s="98" t="s">
        <v>280</v>
      </c>
      <c r="G324" s="98">
        <v>5</v>
      </c>
      <c r="H324" s="98" t="str">
        <f t="shared" si="28"/>
        <v>BSS-TC-23224 TC_OBI_018_CR109_PM1.4_Exempted_CH_Comms_Hub_and_Incident_ID_Validation</v>
      </c>
      <c r="I324" s="98" t="s">
        <v>630</v>
      </c>
      <c r="J324" s="98" t="s">
        <v>776</v>
      </c>
      <c r="K324" s="98" t="s">
        <v>291</v>
      </c>
    </row>
    <row r="325" spans="2:11" x14ac:dyDescent="0.25">
      <c r="B325" s="98" t="s">
        <v>873</v>
      </c>
      <c r="C325" s="98" t="s">
        <v>531</v>
      </c>
      <c r="D325" s="98" t="s">
        <v>631</v>
      </c>
      <c r="E325" s="98" t="s">
        <v>294</v>
      </c>
      <c r="F325" s="98" t="s">
        <v>280</v>
      </c>
      <c r="G325" s="98">
        <v>6</v>
      </c>
      <c r="H325" s="98" t="str">
        <f t="shared" si="28"/>
        <v>BSS-TC-23224 TC_OBI_018_CR109_PM1.4_Exempted_CH_Comms_Hub_and_Incident_ID_Validation</v>
      </c>
      <c r="I325" s="98" t="s">
        <v>630</v>
      </c>
      <c r="J325" s="98" t="s">
        <v>295</v>
      </c>
      <c r="K325" s="98" t="s">
        <v>631</v>
      </c>
    </row>
    <row r="326" spans="2:11" x14ac:dyDescent="0.25">
      <c r="B326" s="98" t="s">
        <v>873</v>
      </c>
      <c r="C326" s="98" t="s">
        <v>531</v>
      </c>
      <c r="D326" s="98" t="s">
        <v>631</v>
      </c>
      <c r="E326" s="98" t="s">
        <v>584</v>
      </c>
      <c r="F326" s="98" t="s">
        <v>280</v>
      </c>
      <c r="G326" s="98">
        <v>7</v>
      </c>
      <c r="H326" s="98" t="str">
        <f t="shared" si="28"/>
        <v>BSS-TC-23224 TC_OBI_018_CR109_PM1.4_Exempted_CH_Comms_Hub_and_Incident_ID_Validation</v>
      </c>
      <c r="I326" s="98" t="s">
        <v>630</v>
      </c>
      <c r="J326" s="98" t="s">
        <v>298</v>
      </c>
      <c r="K326" s="98" t="s">
        <v>297</v>
      </c>
    </row>
    <row r="327" spans="2:11" x14ac:dyDescent="0.25">
      <c r="B327" s="98" t="s">
        <v>873</v>
      </c>
      <c r="C327" s="98" t="s">
        <v>531</v>
      </c>
      <c r="D327" s="98" t="s">
        <v>631</v>
      </c>
      <c r="E327" s="98" t="s">
        <v>300</v>
      </c>
      <c r="F327" s="98" t="s">
        <v>280</v>
      </c>
      <c r="G327" s="98">
        <v>8</v>
      </c>
      <c r="H327" s="98" t="str">
        <f t="shared" si="28"/>
        <v>BSS-TC-23224 TC_OBI_018_CR109_PM1.4_Exempted_CH_Comms_Hub_and_Incident_ID_Validation</v>
      </c>
      <c r="I327" s="98" t="s">
        <v>630</v>
      </c>
      <c r="J327" s="98" t="s">
        <v>301</v>
      </c>
      <c r="K327" s="98" t="s">
        <v>631</v>
      </c>
    </row>
    <row r="328" spans="2:11" x14ac:dyDescent="0.25">
      <c r="B328" s="98" t="s">
        <v>873</v>
      </c>
      <c r="C328" s="98" t="s">
        <v>531</v>
      </c>
      <c r="D328" s="98" t="s">
        <v>631</v>
      </c>
      <c r="E328" s="98" t="s">
        <v>303</v>
      </c>
      <c r="F328" s="98" t="s">
        <v>280</v>
      </c>
      <c r="G328" s="98">
        <v>9</v>
      </c>
      <c r="H328" s="98" t="str">
        <f t="shared" si="28"/>
        <v>BSS-TC-23224 TC_OBI_018_CR109_PM1.4_Exempted_CH_Comms_Hub_and_Incident_ID_Validation</v>
      </c>
      <c r="I328" s="98" t="s">
        <v>630</v>
      </c>
      <c r="J328" s="98" t="s">
        <v>777</v>
      </c>
      <c r="K328" s="98" t="s">
        <v>631</v>
      </c>
    </row>
    <row r="329" spans="2:11" x14ac:dyDescent="0.25">
      <c r="B329" s="98" t="s">
        <v>873</v>
      </c>
      <c r="C329" s="98" t="s">
        <v>531</v>
      </c>
      <c r="D329" s="98" t="s">
        <v>631</v>
      </c>
      <c r="E329" s="98" t="s">
        <v>306</v>
      </c>
      <c r="F329" s="98" t="s">
        <v>280</v>
      </c>
      <c r="G329" s="98">
        <v>10</v>
      </c>
      <c r="H329" s="98" t="str">
        <f t="shared" si="28"/>
        <v>BSS-TC-23224 TC_OBI_018_CR109_PM1.4_Exempted_CH_Comms_Hub_and_Incident_ID_Validation</v>
      </c>
      <c r="I329" s="98" t="s">
        <v>630</v>
      </c>
      <c r="J329" s="98" t="s">
        <v>307</v>
      </c>
      <c r="K329" s="98" t="s">
        <v>631</v>
      </c>
    </row>
    <row r="330" spans="2:11" x14ac:dyDescent="0.25">
      <c r="B330" s="98" t="s">
        <v>873</v>
      </c>
      <c r="C330" s="98" t="s">
        <v>531</v>
      </c>
      <c r="D330" s="98" t="s">
        <v>631</v>
      </c>
      <c r="E330" s="98" t="s">
        <v>584</v>
      </c>
      <c r="F330" s="98" t="s">
        <v>280</v>
      </c>
      <c r="G330" s="98">
        <v>11</v>
      </c>
      <c r="H330" s="98" t="str">
        <f t="shared" si="28"/>
        <v>BSS-TC-23224 TC_OBI_018_CR109_PM1.4_Exempted_CH_Comms_Hub_and_Incident_ID_Validation</v>
      </c>
      <c r="I330" s="98" t="s">
        <v>630</v>
      </c>
      <c r="J330" s="98" t="s">
        <v>298</v>
      </c>
      <c r="K330" s="98" t="s">
        <v>297</v>
      </c>
    </row>
    <row r="331" spans="2:11" x14ac:dyDescent="0.25">
      <c r="B331" s="98" t="s">
        <v>874</v>
      </c>
      <c r="C331" s="98" t="s">
        <v>87</v>
      </c>
      <c r="D331" s="98" t="s">
        <v>631</v>
      </c>
      <c r="E331" s="98" t="s">
        <v>778</v>
      </c>
      <c r="F331" s="98" t="s">
        <v>515</v>
      </c>
      <c r="G331" s="98">
        <v>1</v>
      </c>
      <c r="H331" s="98" t="str">
        <f t="shared" ref="H331:H339" si="29">HYPERLINK("http://rms/perspective.req?projectId=233&amp;docId=959479","BSS-TC-23207 TC_OBI_PM 1.4_001 _CH qualification against PM_Exempted CH_Criterial1")</f>
        <v>BSS-TC-23207 TC_OBI_PM 1.4_001 _CH qualification against PM_Exempted CH_Criterial1</v>
      </c>
      <c r="I331" s="98" t="s">
        <v>630</v>
      </c>
      <c r="J331" s="98" t="s">
        <v>80</v>
      </c>
      <c r="K331" s="98" t="s">
        <v>517</v>
      </c>
    </row>
    <row r="332" spans="2:11" x14ac:dyDescent="0.25">
      <c r="B332" s="98" t="s">
        <v>874</v>
      </c>
      <c r="C332" s="98" t="s">
        <v>87</v>
      </c>
      <c r="D332" s="98" t="s">
        <v>631</v>
      </c>
      <c r="E332" s="98" t="s">
        <v>18</v>
      </c>
      <c r="F332" s="98" t="s">
        <v>515</v>
      </c>
      <c r="G332" s="98">
        <v>2</v>
      </c>
      <c r="H332" s="98" t="str">
        <f t="shared" si="29"/>
        <v>BSS-TC-23207 TC_OBI_PM 1.4_001 _CH qualification against PM_Exempted CH_Criterial1</v>
      </c>
      <c r="I332" s="98" t="s">
        <v>630</v>
      </c>
      <c r="J332" s="98" t="s">
        <v>20</v>
      </c>
      <c r="K332" s="98" t="s">
        <v>631</v>
      </c>
    </row>
    <row r="333" spans="2:11" x14ac:dyDescent="0.25">
      <c r="B333" s="98" t="s">
        <v>874</v>
      </c>
      <c r="C333" s="98" t="s">
        <v>87</v>
      </c>
      <c r="D333" s="98" t="s">
        <v>631</v>
      </c>
      <c r="E333" s="98" t="s">
        <v>21</v>
      </c>
      <c r="F333" s="98" t="s">
        <v>515</v>
      </c>
      <c r="G333" s="98">
        <v>3</v>
      </c>
      <c r="H333" s="98" t="str">
        <f t="shared" si="29"/>
        <v>BSS-TC-23207 TC_OBI_PM 1.4_001 _CH qualification against PM_Exempted CH_Criterial1</v>
      </c>
      <c r="I333" s="98" t="s">
        <v>630</v>
      </c>
      <c r="J333" s="98" t="s">
        <v>22</v>
      </c>
      <c r="K333" s="98" t="s">
        <v>631</v>
      </c>
    </row>
    <row r="334" spans="2:11" x14ac:dyDescent="0.25">
      <c r="B334" s="98" t="s">
        <v>874</v>
      </c>
      <c r="C334" s="98" t="s">
        <v>87</v>
      </c>
      <c r="D334" s="98" t="s">
        <v>631</v>
      </c>
      <c r="E334" s="98" t="s">
        <v>23</v>
      </c>
      <c r="F334" s="98" t="s">
        <v>515</v>
      </c>
      <c r="G334" s="98">
        <v>4</v>
      </c>
      <c r="H334" s="98" t="str">
        <f t="shared" si="29"/>
        <v>BSS-TC-23207 TC_OBI_PM 1.4_001 _CH qualification against PM_Exempted CH_Criterial1</v>
      </c>
      <c r="I334" s="98" t="s">
        <v>630</v>
      </c>
      <c r="J334" s="98" t="s">
        <v>41</v>
      </c>
      <c r="K334" s="98" t="s">
        <v>631</v>
      </c>
    </row>
    <row r="335" spans="2:11" x14ac:dyDescent="0.25">
      <c r="B335" s="98" t="s">
        <v>874</v>
      </c>
      <c r="C335" s="98" t="s">
        <v>87</v>
      </c>
      <c r="D335" s="98" t="s">
        <v>631</v>
      </c>
      <c r="E335" s="98" t="s">
        <v>70</v>
      </c>
      <c r="F335" s="98" t="s">
        <v>515</v>
      </c>
      <c r="G335" s="98">
        <v>5</v>
      </c>
      <c r="H335" s="98" t="str">
        <f t="shared" si="29"/>
        <v>BSS-TC-23207 TC_OBI_PM 1.4_001 _CH qualification against PM_Exempted CH_Criterial1</v>
      </c>
      <c r="I335" s="98" t="s">
        <v>630</v>
      </c>
      <c r="J335" s="98" t="s">
        <v>44</v>
      </c>
      <c r="K335" s="98" t="s">
        <v>631</v>
      </c>
    </row>
    <row r="336" spans="2:11" x14ac:dyDescent="0.25">
      <c r="B336" s="98" t="s">
        <v>874</v>
      </c>
      <c r="C336" s="98" t="s">
        <v>87</v>
      </c>
      <c r="D336" s="98" t="s">
        <v>631</v>
      </c>
      <c r="E336" s="98" t="s">
        <v>25</v>
      </c>
      <c r="F336" s="98" t="s">
        <v>515</v>
      </c>
      <c r="G336" s="98">
        <v>6</v>
      </c>
      <c r="H336" s="98" t="str">
        <f t="shared" si="29"/>
        <v>BSS-TC-23207 TC_OBI_PM 1.4_001 _CH qualification against PM_Exempted CH_Criterial1</v>
      </c>
      <c r="I336" s="98" t="s">
        <v>630</v>
      </c>
      <c r="J336" s="98" t="s">
        <v>27</v>
      </c>
      <c r="K336" s="98" t="s">
        <v>631</v>
      </c>
    </row>
    <row r="337" spans="2:11" x14ac:dyDescent="0.25">
      <c r="B337" s="98" t="s">
        <v>874</v>
      </c>
      <c r="C337" s="98" t="s">
        <v>87</v>
      </c>
      <c r="D337" s="98" t="s">
        <v>631</v>
      </c>
      <c r="E337" s="98" t="s">
        <v>45</v>
      </c>
      <c r="F337" s="98" t="s">
        <v>515</v>
      </c>
      <c r="G337" s="98">
        <v>7</v>
      </c>
      <c r="H337" s="98" t="str">
        <f t="shared" si="29"/>
        <v>BSS-TC-23207 TC_OBI_PM 1.4_001 _CH qualification against PM_Exempted CH_Criterial1</v>
      </c>
      <c r="I337" s="98" t="s">
        <v>630</v>
      </c>
      <c r="J337" s="98" t="s">
        <v>756</v>
      </c>
      <c r="K337" s="98" t="s">
        <v>631</v>
      </c>
    </row>
    <row r="338" spans="2:11" x14ac:dyDescent="0.25">
      <c r="B338" s="98" t="s">
        <v>874</v>
      </c>
      <c r="C338" s="98" t="s">
        <v>87</v>
      </c>
      <c r="D338" s="98" t="s">
        <v>631</v>
      </c>
      <c r="E338" s="98" t="s">
        <v>83</v>
      </c>
      <c r="F338" s="98" t="s">
        <v>515</v>
      </c>
      <c r="G338" s="98">
        <v>8</v>
      </c>
      <c r="H338" s="98" t="str">
        <f t="shared" si="29"/>
        <v>BSS-TC-23207 TC_OBI_PM 1.4_001 _CH qualification against PM_Exempted CH_Criterial1</v>
      </c>
      <c r="I338" s="98" t="s">
        <v>630</v>
      </c>
      <c r="J338" s="98" t="s">
        <v>757</v>
      </c>
      <c r="K338" s="98" t="s">
        <v>631</v>
      </c>
    </row>
    <row r="339" spans="2:11" x14ac:dyDescent="0.25">
      <c r="B339" s="98" t="s">
        <v>874</v>
      </c>
      <c r="C339" s="98" t="s">
        <v>87</v>
      </c>
      <c r="D339" s="98" t="s">
        <v>631</v>
      </c>
      <c r="E339" s="98" t="s">
        <v>731</v>
      </c>
      <c r="F339" s="98" t="s">
        <v>515</v>
      </c>
      <c r="G339" s="98">
        <v>9</v>
      </c>
      <c r="H339" s="98" t="str">
        <f t="shared" si="29"/>
        <v>BSS-TC-23207 TC_OBI_PM 1.4_001 _CH qualification against PM_Exempted CH_Criterial1</v>
      </c>
      <c r="I339" s="98" t="s">
        <v>630</v>
      </c>
      <c r="J339" s="98" t="s">
        <v>758</v>
      </c>
      <c r="K339" s="98" t="s">
        <v>86</v>
      </c>
    </row>
    <row r="340" spans="2:11" x14ac:dyDescent="0.25">
      <c r="B340" s="98" t="s">
        <v>875</v>
      </c>
      <c r="C340" s="98" t="s">
        <v>88</v>
      </c>
      <c r="D340" s="98" t="s">
        <v>631</v>
      </c>
      <c r="E340" s="98" t="s">
        <v>624</v>
      </c>
      <c r="F340" s="98" t="s">
        <v>515</v>
      </c>
      <c r="G340" s="98">
        <v>1</v>
      </c>
      <c r="H340" s="98" t="str">
        <f t="shared" ref="H340:H348" si="30">HYPERLINK("http://rms/perspective.req?projectId=233&amp;docId=959480","BSS-TC-23208 TC_OBI_PM 1.4_002 _CH qualification against PM_Exempted CH_Criteria2")</f>
        <v>BSS-TC-23208 TC_OBI_PM 1.4_002 _CH qualification against PM_Exempted CH_Criteria2</v>
      </c>
      <c r="I340" s="98" t="s">
        <v>630</v>
      </c>
      <c r="J340" s="98" t="s">
        <v>80</v>
      </c>
      <c r="K340" s="98" t="s">
        <v>517</v>
      </c>
    </row>
    <row r="341" spans="2:11" x14ac:dyDescent="0.25">
      <c r="B341" s="98" t="s">
        <v>875</v>
      </c>
      <c r="C341" s="98" t="s">
        <v>88</v>
      </c>
      <c r="D341" s="98" t="s">
        <v>631</v>
      </c>
      <c r="E341" s="98" t="s">
        <v>18</v>
      </c>
      <c r="F341" s="98" t="s">
        <v>515</v>
      </c>
      <c r="G341" s="98">
        <v>2</v>
      </c>
      <c r="H341" s="98" t="str">
        <f t="shared" si="30"/>
        <v>BSS-TC-23208 TC_OBI_PM 1.4_002 _CH qualification against PM_Exempted CH_Criteria2</v>
      </c>
      <c r="I341" s="98" t="s">
        <v>630</v>
      </c>
      <c r="J341" s="98" t="s">
        <v>20</v>
      </c>
      <c r="K341" s="98" t="s">
        <v>631</v>
      </c>
    </row>
    <row r="342" spans="2:11" x14ac:dyDescent="0.25">
      <c r="B342" s="98" t="s">
        <v>875</v>
      </c>
      <c r="C342" s="98" t="s">
        <v>88</v>
      </c>
      <c r="D342" s="98" t="s">
        <v>631</v>
      </c>
      <c r="E342" s="98" t="s">
        <v>21</v>
      </c>
      <c r="F342" s="98" t="s">
        <v>515</v>
      </c>
      <c r="G342" s="98">
        <v>3</v>
      </c>
      <c r="H342" s="98" t="str">
        <f t="shared" si="30"/>
        <v>BSS-TC-23208 TC_OBI_PM 1.4_002 _CH qualification against PM_Exempted CH_Criteria2</v>
      </c>
      <c r="I342" s="98" t="s">
        <v>630</v>
      </c>
      <c r="J342" s="98" t="s">
        <v>22</v>
      </c>
      <c r="K342" s="98" t="s">
        <v>631</v>
      </c>
    </row>
    <row r="343" spans="2:11" x14ac:dyDescent="0.25">
      <c r="B343" s="98" t="s">
        <v>875</v>
      </c>
      <c r="C343" s="98" t="s">
        <v>88</v>
      </c>
      <c r="D343" s="98" t="s">
        <v>631</v>
      </c>
      <c r="E343" s="98" t="s">
        <v>23</v>
      </c>
      <c r="F343" s="98" t="s">
        <v>515</v>
      </c>
      <c r="G343" s="98">
        <v>4</v>
      </c>
      <c r="H343" s="98" t="str">
        <f t="shared" si="30"/>
        <v>BSS-TC-23208 TC_OBI_PM 1.4_002 _CH qualification against PM_Exempted CH_Criteria2</v>
      </c>
      <c r="I343" s="98" t="s">
        <v>630</v>
      </c>
      <c r="J343" s="98" t="s">
        <v>41</v>
      </c>
      <c r="K343" s="98" t="s">
        <v>631</v>
      </c>
    </row>
    <row r="344" spans="2:11" x14ac:dyDescent="0.25">
      <c r="B344" s="98" t="s">
        <v>875</v>
      </c>
      <c r="C344" s="98" t="s">
        <v>88</v>
      </c>
      <c r="D344" s="98" t="s">
        <v>631</v>
      </c>
      <c r="E344" s="98" t="s">
        <v>70</v>
      </c>
      <c r="F344" s="98" t="s">
        <v>515</v>
      </c>
      <c r="G344" s="98">
        <v>5</v>
      </c>
      <c r="H344" s="98" t="str">
        <f t="shared" si="30"/>
        <v>BSS-TC-23208 TC_OBI_PM 1.4_002 _CH qualification against PM_Exempted CH_Criteria2</v>
      </c>
      <c r="I344" s="98" t="s">
        <v>630</v>
      </c>
      <c r="J344" s="98" t="s">
        <v>44</v>
      </c>
      <c r="K344" s="98" t="s">
        <v>631</v>
      </c>
    </row>
    <row r="345" spans="2:11" x14ac:dyDescent="0.25">
      <c r="B345" s="98" t="s">
        <v>875</v>
      </c>
      <c r="C345" s="98" t="s">
        <v>88</v>
      </c>
      <c r="D345" s="98" t="s">
        <v>631</v>
      </c>
      <c r="E345" s="98" t="s">
        <v>25</v>
      </c>
      <c r="F345" s="98" t="s">
        <v>515</v>
      </c>
      <c r="G345" s="98">
        <v>6</v>
      </c>
      <c r="H345" s="98" t="str">
        <f t="shared" si="30"/>
        <v>BSS-TC-23208 TC_OBI_PM 1.4_002 _CH qualification against PM_Exempted CH_Criteria2</v>
      </c>
      <c r="I345" s="98" t="s">
        <v>630</v>
      </c>
      <c r="J345" s="98" t="s">
        <v>27</v>
      </c>
      <c r="K345" s="98" t="s">
        <v>631</v>
      </c>
    </row>
    <row r="346" spans="2:11" x14ac:dyDescent="0.25">
      <c r="B346" s="98" t="s">
        <v>875</v>
      </c>
      <c r="C346" s="98" t="s">
        <v>88</v>
      </c>
      <c r="D346" s="98" t="s">
        <v>631</v>
      </c>
      <c r="E346" s="98" t="s">
        <v>45</v>
      </c>
      <c r="F346" s="98" t="s">
        <v>515</v>
      </c>
      <c r="G346" s="98">
        <v>7</v>
      </c>
      <c r="H346" s="98" t="str">
        <f t="shared" si="30"/>
        <v>BSS-TC-23208 TC_OBI_PM 1.4_002 _CH qualification against PM_Exempted CH_Criteria2</v>
      </c>
      <c r="I346" s="98" t="s">
        <v>630</v>
      </c>
      <c r="J346" s="98" t="s">
        <v>756</v>
      </c>
      <c r="K346" s="98" t="s">
        <v>631</v>
      </c>
    </row>
    <row r="347" spans="2:11" x14ac:dyDescent="0.25">
      <c r="B347" s="98" t="s">
        <v>875</v>
      </c>
      <c r="C347" s="98" t="s">
        <v>88</v>
      </c>
      <c r="D347" s="98" t="s">
        <v>631</v>
      </c>
      <c r="E347" s="98" t="s">
        <v>83</v>
      </c>
      <c r="F347" s="98" t="s">
        <v>515</v>
      </c>
      <c r="G347" s="98">
        <v>8</v>
      </c>
      <c r="H347" s="98" t="str">
        <f t="shared" si="30"/>
        <v>BSS-TC-23208 TC_OBI_PM 1.4_002 _CH qualification against PM_Exempted CH_Criteria2</v>
      </c>
      <c r="I347" s="98" t="s">
        <v>630</v>
      </c>
      <c r="J347" s="98" t="s">
        <v>757</v>
      </c>
      <c r="K347" s="98" t="s">
        <v>631</v>
      </c>
    </row>
    <row r="348" spans="2:11" x14ac:dyDescent="0.25">
      <c r="B348" s="98" t="s">
        <v>875</v>
      </c>
      <c r="C348" s="98" t="s">
        <v>88</v>
      </c>
      <c r="D348" s="98" t="s">
        <v>631</v>
      </c>
      <c r="E348" s="98" t="s">
        <v>731</v>
      </c>
      <c r="F348" s="98" t="s">
        <v>515</v>
      </c>
      <c r="G348" s="98">
        <v>9</v>
      </c>
      <c r="H348" s="98" t="str">
        <f t="shared" si="30"/>
        <v>BSS-TC-23208 TC_OBI_PM 1.4_002 _CH qualification against PM_Exempted CH_Criteria2</v>
      </c>
      <c r="I348" s="98" t="s">
        <v>630</v>
      </c>
      <c r="J348" s="98" t="s">
        <v>758</v>
      </c>
      <c r="K348" s="98" t="s">
        <v>86</v>
      </c>
    </row>
    <row r="349" spans="2:11" x14ac:dyDescent="0.25">
      <c r="B349" s="98" t="s">
        <v>876</v>
      </c>
      <c r="C349" s="98" t="s">
        <v>535</v>
      </c>
      <c r="D349" s="98" t="s">
        <v>631</v>
      </c>
      <c r="E349" s="98" t="s">
        <v>265</v>
      </c>
      <c r="F349" s="98" t="s">
        <v>310</v>
      </c>
      <c r="G349" s="98">
        <v>1</v>
      </c>
      <c r="H349" s="98" t="str">
        <f>HYPERLINK("http://rms/perspective.req?projectId=233&amp;docId=959497","BSS-TC-23225 TC_OBI_019_CR109_PM1.4_Exempted_CH_detail_Report_Column_Validation")</f>
        <v>BSS-TC-23225 TC_OBI_019_CR109_PM1.4_Exempted_CH_detail_Report_Column_Validation</v>
      </c>
      <c r="I349" s="98" t="s">
        <v>630</v>
      </c>
      <c r="J349" s="98" t="s">
        <v>266</v>
      </c>
      <c r="K349" s="98" t="s">
        <v>631</v>
      </c>
    </row>
    <row r="350" spans="2:11" x14ac:dyDescent="0.25">
      <c r="B350" s="98" t="s">
        <v>876</v>
      </c>
      <c r="C350" s="98" t="s">
        <v>535</v>
      </c>
      <c r="D350" s="98" t="s">
        <v>631</v>
      </c>
      <c r="E350" s="98" t="s">
        <v>267</v>
      </c>
      <c r="F350" s="98" t="s">
        <v>310</v>
      </c>
      <c r="G350" s="98">
        <v>2</v>
      </c>
      <c r="H350" s="98" t="str">
        <f>HYPERLINK("http://rms/perspective.req?projectId=233&amp;docId=959497","BSS-TC-23225 TC_OBI_019_CR109_PM1.4_Exempted_CH_detail_Report_Column_Validation")</f>
        <v>BSS-TC-23225 TC_OBI_019_CR109_PM1.4_Exempted_CH_detail_Report_Column_Validation</v>
      </c>
      <c r="I350" s="98" t="s">
        <v>630</v>
      </c>
      <c r="J350" s="98" t="s">
        <v>27</v>
      </c>
      <c r="K350" s="98" t="s">
        <v>631</v>
      </c>
    </row>
    <row r="351" spans="2:11" x14ac:dyDescent="0.25">
      <c r="B351" s="98" t="s">
        <v>876</v>
      </c>
      <c r="C351" s="98" t="s">
        <v>535</v>
      </c>
      <c r="D351" s="98" t="s">
        <v>631</v>
      </c>
      <c r="E351" s="98" t="s">
        <v>268</v>
      </c>
      <c r="F351" s="98" t="s">
        <v>310</v>
      </c>
      <c r="G351" s="98">
        <v>3</v>
      </c>
      <c r="H351" s="98" t="str">
        <f>HYPERLINK("http://rms/perspective.req?projectId=233&amp;docId=959497","BSS-TC-23225 TC_OBI_019_CR109_PM1.4_Exempted_CH_detail_Report_Column_Validation")</f>
        <v>BSS-TC-23225 TC_OBI_019_CR109_PM1.4_Exempted_CH_detail_Report_Column_Validation</v>
      </c>
      <c r="I351" s="98" t="s">
        <v>630</v>
      </c>
      <c r="J351" s="98" t="s">
        <v>270</v>
      </c>
      <c r="K351" s="98" t="s">
        <v>269</v>
      </c>
    </row>
    <row r="352" spans="2:11" x14ac:dyDescent="0.25">
      <c r="B352" s="98" t="s">
        <v>876</v>
      </c>
      <c r="C352" s="98" t="s">
        <v>535</v>
      </c>
      <c r="D352" s="98" t="s">
        <v>631</v>
      </c>
      <c r="E352" s="98" t="s">
        <v>311</v>
      </c>
      <c r="F352" s="98" t="s">
        <v>310</v>
      </c>
      <c r="G352" s="98">
        <v>4</v>
      </c>
      <c r="H352" s="98" t="str">
        <f>HYPERLINK("http://rms/perspective.req?projectId=233&amp;docId=959497","BSS-TC-23225 TC_OBI_019_CR109_PM1.4_Exempted_CH_detail_Report_Column_Validation")</f>
        <v>BSS-TC-23225 TC_OBI_019_CR109_PM1.4_Exempted_CH_detail_Report_Column_Validation</v>
      </c>
      <c r="I352" s="98" t="s">
        <v>630</v>
      </c>
      <c r="J352" s="98" t="s">
        <v>312</v>
      </c>
      <c r="K352" s="98" t="s">
        <v>272</v>
      </c>
    </row>
    <row r="353" spans="2:11" x14ac:dyDescent="0.25">
      <c r="B353" s="98" t="s">
        <v>876</v>
      </c>
      <c r="C353" s="98" t="s">
        <v>535</v>
      </c>
      <c r="D353" s="98" t="s">
        <v>631</v>
      </c>
      <c r="E353" s="98" t="s">
        <v>313</v>
      </c>
      <c r="F353" s="98" t="s">
        <v>310</v>
      </c>
      <c r="G353" s="98">
        <v>5</v>
      </c>
      <c r="H353" s="98" t="str">
        <f>HYPERLINK("http://rms/perspective.req?projectId=233&amp;docId=959497","BSS-TC-23225 TC_OBI_019_CR109_PM1.4_Exempted_CH_detail_Report_Column_Validation")</f>
        <v>BSS-TC-23225 TC_OBI_019_CR109_PM1.4_Exempted_CH_detail_Report_Column_Validation</v>
      </c>
      <c r="I353" s="98" t="s">
        <v>630</v>
      </c>
      <c r="J353" s="98" t="s">
        <v>779</v>
      </c>
      <c r="K353" s="98" t="s">
        <v>314</v>
      </c>
    </row>
    <row r="354" spans="2:11" x14ac:dyDescent="0.25">
      <c r="B354" s="98" t="s">
        <v>877</v>
      </c>
      <c r="C354" s="98" t="s">
        <v>96</v>
      </c>
      <c r="D354" s="98" t="s">
        <v>631</v>
      </c>
      <c r="E354" s="98" t="s">
        <v>780</v>
      </c>
      <c r="F354" s="98" t="s">
        <v>97</v>
      </c>
      <c r="G354" s="98">
        <v>1</v>
      </c>
      <c r="H354" s="98" t="str">
        <f t="shared" ref="H354:H361" si="31">HYPERLINK("http://rms/perspective.req?projectId=233&amp;docId=959481","BSS-TC-23209 TC_OBI_PM 1.4_003_CH Qualification against PM_Criteria 3")</f>
        <v>BSS-TC-23209 TC_OBI_PM 1.4_003_CH Qualification against PM_Criteria 3</v>
      </c>
      <c r="I354" s="98" t="s">
        <v>630</v>
      </c>
      <c r="J354" s="98" t="s">
        <v>631</v>
      </c>
      <c r="K354" s="98" t="s">
        <v>517</v>
      </c>
    </row>
    <row r="355" spans="2:11" x14ac:dyDescent="0.25">
      <c r="B355" s="98" t="s">
        <v>877</v>
      </c>
      <c r="C355" s="98" t="s">
        <v>96</v>
      </c>
      <c r="D355" s="98" t="s">
        <v>631</v>
      </c>
      <c r="E355" s="98" t="s">
        <v>18</v>
      </c>
      <c r="F355" s="98" t="s">
        <v>97</v>
      </c>
      <c r="G355" s="98">
        <v>2</v>
      </c>
      <c r="H355" s="98" t="str">
        <f t="shared" si="31"/>
        <v>BSS-TC-23209 TC_OBI_PM 1.4_003_CH Qualification against PM_Criteria 3</v>
      </c>
      <c r="I355" s="98" t="s">
        <v>630</v>
      </c>
      <c r="J355" s="98" t="s">
        <v>20</v>
      </c>
      <c r="K355" s="98" t="s">
        <v>631</v>
      </c>
    </row>
    <row r="356" spans="2:11" x14ac:dyDescent="0.25">
      <c r="B356" s="98" t="s">
        <v>877</v>
      </c>
      <c r="C356" s="98" t="s">
        <v>96</v>
      </c>
      <c r="D356" s="98" t="s">
        <v>631</v>
      </c>
      <c r="E356" s="98" t="s">
        <v>21</v>
      </c>
      <c r="F356" s="98" t="s">
        <v>97</v>
      </c>
      <c r="G356" s="98">
        <v>3</v>
      </c>
      <c r="H356" s="98" t="str">
        <f t="shared" si="31"/>
        <v>BSS-TC-23209 TC_OBI_PM 1.4_003_CH Qualification against PM_Criteria 3</v>
      </c>
      <c r="I356" s="98" t="s">
        <v>630</v>
      </c>
      <c r="J356" s="98" t="s">
        <v>22</v>
      </c>
      <c r="K356" s="98" t="s">
        <v>631</v>
      </c>
    </row>
    <row r="357" spans="2:11" x14ac:dyDescent="0.25">
      <c r="B357" s="98" t="s">
        <v>877</v>
      </c>
      <c r="C357" s="98" t="s">
        <v>96</v>
      </c>
      <c r="D357" s="98" t="s">
        <v>631</v>
      </c>
      <c r="E357" s="98" t="s">
        <v>23</v>
      </c>
      <c r="F357" s="98" t="s">
        <v>97</v>
      </c>
      <c r="G357" s="98">
        <v>4</v>
      </c>
      <c r="H357" s="98" t="str">
        <f t="shared" si="31"/>
        <v>BSS-TC-23209 TC_OBI_PM 1.4_003_CH Qualification against PM_Criteria 3</v>
      </c>
      <c r="I357" s="98" t="s">
        <v>630</v>
      </c>
      <c r="J357" s="98" t="s">
        <v>41</v>
      </c>
      <c r="K357" s="98" t="s">
        <v>631</v>
      </c>
    </row>
    <row r="358" spans="2:11" x14ac:dyDescent="0.25">
      <c r="B358" s="98" t="s">
        <v>877</v>
      </c>
      <c r="C358" s="98" t="s">
        <v>96</v>
      </c>
      <c r="D358" s="98" t="s">
        <v>631</v>
      </c>
      <c r="E358" s="98" t="s">
        <v>76</v>
      </c>
      <c r="F358" s="98" t="s">
        <v>97</v>
      </c>
      <c r="G358" s="98">
        <v>5</v>
      </c>
      <c r="H358" s="98" t="str">
        <f t="shared" si="31"/>
        <v>BSS-TC-23209 TC_OBI_PM 1.4_003_CH Qualification against PM_Criteria 3</v>
      </c>
      <c r="I358" s="98" t="s">
        <v>630</v>
      </c>
      <c r="J358" s="98" t="s">
        <v>44</v>
      </c>
      <c r="K358" s="98" t="s">
        <v>631</v>
      </c>
    </row>
    <row r="359" spans="2:11" x14ac:dyDescent="0.25">
      <c r="B359" s="98" t="s">
        <v>877</v>
      </c>
      <c r="C359" s="98" t="s">
        <v>96</v>
      </c>
      <c r="D359" s="98" t="s">
        <v>631</v>
      </c>
      <c r="E359" s="98" t="s">
        <v>25</v>
      </c>
      <c r="F359" s="98" t="s">
        <v>97</v>
      </c>
      <c r="G359" s="98">
        <v>6</v>
      </c>
      <c r="H359" s="98" t="str">
        <f t="shared" si="31"/>
        <v>BSS-TC-23209 TC_OBI_PM 1.4_003_CH Qualification against PM_Criteria 3</v>
      </c>
      <c r="I359" s="98" t="s">
        <v>630</v>
      </c>
      <c r="J359" s="98" t="s">
        <v>27</v>
      </c>
      <c r="K359" s="98" t="s">
        <v>631</v>
      </c>
    </row>
    <row r="360" spans="2:11" x14ac:dyDescent="0.25">
      <c r="B360" s="98" t="s">
        <v>877</v>
      </c>
      <c r="C360" s="98" t="s">
        <v>96</v>
      </c>
      <c r="D360" s="98" t="s">
        <v>631</v>
      </c>
      <c r="E360" s="98" t="s">
        <v>45</v>
      </c>
      <c r="F360" s="98" t="s">
        <v>97</v>
      </c>
      <c r="G360" s="98">
        <v>7</v>
      </c>
      <c r="H360" s="98" t="str">
        <f t="shared" si="31"/>
        <v>BSS-TC-23209 TC_OBI_PM 1.4_003_CH Qualification against PM_Criteria 3</v>
      </c>
      <c r="I360" s="98" t="s">
        <v>630</v>
      </c>
      <c r="J360" s="98" t="s">
        <v>42</v>
      </c>
      <c r="K360" s="98" t="s">
        <v>631</v>
      </c>
    </row>
    <row r="361" spans="2:11" x14ac:dyDescent="0.25">
      <c r="B361" s="98" t="s">
        <v>877</v>
      </c>
      <c r="C361" s="98" t="s">
        <v>96</v>
      </c>
      <c r="D361" s="98" t="s">
        <v>631</v>
      </c>
      <c r="E361" s="98" t="s">
        <v>750</v>
      </c>
      <c r="F361" s="98" t="s">
        <v>97</v>
      </c>
      <c r="G361" s="98">
        <v>8</v>
      </c>
      <c r="H361" s="98" t="str">
        <f t="shared" si="31"/>
        <v>BSS-TC-23209 TC_OBI_PM 1.4_003_CH Qualification against PM_Criteria 3</v>
      </c>
      <c r="I361" s="98" t="s">
        <v>630</v>
      </c>
      <c r="J361" s="98" t="s">
        <v>100</v>
      </c>
      <c r="K361" s="98" t="s">
        <v>237</v>
      </c>
    </row>
    <row r="362" spans="2:11" x14ac:dyDescent="0.25">
      <c r="B362" s="98" t="s">
        <v>878</v>
      </c>
      <c r="C362" s="98" t="s">
        <v>94</v>
      </c>
      <c r="D362" s="98" t="s">
        <v>631</v>
      </c>
      <c r="E362" s="98" t="s">
        <v>781</v>
      </c>
      <c r="F362" s="98" t="s">
        <v>67</v>
      </c>
      <c r="G362" s="98">
        <v>1</v>
      </c>
      <c r="H362" s="98" t="str">
        <f t="shared" ref="H362:H369" si="32">HYPERLINK("http://rms/perspective.req?projectId=233&amp;docId=959509","BSS-TC-23226 TC_OBI_PM 1.4_001_Summary level report_ASL calculation")</f>
        <v>BSS-TC-23226 TC_OBI_PM 1.4_001_Summary level report_ASL calculation</v>
      </c>
      <c r="I362" s="98" t="s">
        <v>630</v>
      </c>
      <c r="J362" s="98" t="s">
        <v>80</v>
      </c>
      <c r="K362" s="98" t="s">
        <v>631</v>
      </c>
    </row>
    <row r="363" spans="2:11" x14ac:dyDescent="0.25">
      <c r="B363" s="98" t="s">
        <v>878</v>
      </c>
      <c r="C363" s="98" t="s">
        <v>94</v>
      </c>
      <c r="D363" s="98" t="s">
        <v>631</v>
      </c>
      <c r="E363" s="98" t="s">
        <v>782</v>
      </c>
      <c r="F363" s="98" t="s">
        <v>67</v>
      </c>
      <c r="G363" s="98">
        <v>2</v>
      </c>
      <c r="H363" s="98" t="str">
        <f t="shared" si="32"/>
        <v>BSS-TC-23226 TC_OBI_PM 1.4_001_Summary level report_ASL calculation</v>
      </c>
      <c r="I363" s="98" t="s">
        <v>630</v>
      </c>
      <c r="J363" s="98" t="s">
        <v>80</v>
      </c>
      <c r="K363" s="98" t="s">
        <v>631</v>
      </c>
    </row>
    <row r="364" spans="2:11" x14ac:dyDescent="0.25">
      <c r="B364" s="98" t="s">
        <v>878</v>
      </c>
      <c r="C364" s="98" t="s">
        <v>94</v>
      </c>
      <c r="D364" s="98" t="s">
        <v>631</v>
      </c>
      <c r="E364" s="98" t="s">
        <v>18</v>
      </c>
      <c r="F364" s="98" t="s">
        <v>67</v>
      </c>
      <c r="G364" s="98">
        <v>3</v>
      </c>
      <c r="H364" s="98" t="str">
        <f t="shared" si="32"/>
        <v>BSS-TC-23226 TC_OBI_PM 1.4_001_Summary level report_ASL calculation</v>
      </c>
      <c r="I364" s="98" t="s">
        <v>630</v>
      </c>
      <c r="J364" s="98" t="s">
        <v>20</v>
      </c>
      <c r="K364" s="98" t="s">
        <v>631</v>
      </c>
    </row>
    <row r="365" spans="2:11" x14ac:dyDescent="0.25">
      <c r="B365" s="98" t="s">
        <v>878</v>
      </c>
      <c r="C365" s="98" t="s">
        <v>94</v>
      </c>
      <c r="D365" s="98" t="s">
        <v>631</v>
      </c>
      <c r="E365" s="98" t="s">
        <v>21</v>
      </c>
      <c r="F365" s="98" t="s">
        <v>67</v>
      </c>
      <c r="G365" s="98">
        <v>4</v>
      </c>
      <c r="H365" s="98" t="str">
        <f t="shared" si="32"/>
        <v>BSS-TC-23226 TC_OBI_PM 1.4_001_Summary level report_ASL calculation</v>
      </c>
      <c r="I365" s="98" t="s">
        <v>630</v>
      </c>
      <c r="J365" s="98" t="s">
        <v>22</v>
      </c>
      <c r="K365" s="98" t="s">
        <v>631</v>
      </c>
    </row>
    <row r="366" spans="2:11" x14ac:dyDescent="0.25">
      <c r="B366" s="98" t="s">
        <v>878</v>
      </c>
      <c r="C366" s="98" t="s">
        <v>94</v>
      </c>
      <c r="D366" s="98" t="s">
        <v>631</v>
      </c>
      <c r="E366" s="98" t="s">
        <v>23</v>
      </c>
      <c r="F366" s="98" t="s">
        <v>67</v>
      </c>
      <c r="G366" s="98">
        <v>5</v>
      </c>
      <c r="H366" s="98" t="str">
        <f t="shared" si="32"/>
        <v>BSS-TC-23226 TC_OBI_PM 1.4_001_Summary level report_ASL calculation</v>
      </c>
      <c r="I366" s="98" t="s">
        <v>630</v>
      </c>
      <c r="J366" s="98" t="s">
        <v>41</v>
      </c>
      <c r="K366" s="98" t="s">
        <v>631</v>
      </c>
    </row>
    <row r="367" spans="2:11" x14ac:dyDescent="0.25">
      <c r="B367" s="98" t="s">
        <v>878</v>
      </c>
      <c r="C367" s="98" t="s">
        <v>94</v>
      </c>
      <c r="D367" s="98" t="s">
        <v>631</v>
      </c>
      <c r="E367" s="98" t="s">
        <v>43</v>
      </c>
      <c r="F367" s="98" t="s">
        <v>67</v>
      </c>
      <c r="G367" s="98">
        <v>6</v>
      </c>
      <c r="H367" s="98" t="str">
        <f t="shared" si="32"/>
        <v>BSS-TC-23226 TC_OBI_PM 1.4_001_Summary level report_ASL calculation</v>
      </c>
      <c r="I367" s="98" t="s">
        <v>630</v>
      </c>
      <c r="J367" s="98" t="s">
        <v>44</v>
      </c>
      <c r="K367" s="98" t="s">
        <v>631</v>
      </c>
    </row>
    <row r="368" spans="2:11" x14ac:dyDescent="0.25">
      <c r="B368" s="98" t="s">
        <v>878</v>
      </c>
      <c r="C368" s="98" t="s">
        <v>94</v>
      </c>
      <c r="D368" s="98" t="s">
        <v>631</v>
      </c>
      <c r="E368" s="98" t="s">
        <v>25</v>
      </c>
      <c r="F368" s="98" t="s">
        <v>67</v>
      </c>
      <c r="G368" s="98">
        <v>7</v>
      </c>
      <c r="H368" s="98" t="str">
        <f t="shared" si="32"/>
        <v>BSS-TC-23226 TC_OBI_PM 1.4_001_Summary level report_ASL calculation</v>
      </c>
      <c r="I368" s="98" t="s">
        <v>630</v>
      </c>
      <c r="J368" s="98" t="s">
        <v>27</v>
      </c>
      <c r="K368" s="98" t="s">
        <v>631</v>
      </c>
    </row>
    <row r="369" spans="2:11" x14ac:dyDescent="0.25">
      <c r="B369" s="98" t="s">
        <v>878</v>
      </c>
      <c r="C369" s="98" t="s">
        <v>94</v>
      </c>
      <c r="D369" s="98" t="s">
        <v>631</v>
      </c>
      <c r="E369" s="98" t="s">
        <v>783</v>
      </c>
      <c r="F369" s="98" t="s">
        <v>67</v>
      </c>
      <c r="G369" s="98">
        <v>8</v>
      </c>
      <c r="H369" s="98" t="str">
        <f t="shared" si="32"/>
        <v>BSS-TC-23226 TC_OBI_PM 1.4_001_Summary level report_ASL calculation</v>
      </c>
      <c r="I369" s="98" t="s">
        <v>630</v>
      </c>
      <c r="J369" s="98" t="s">
        <v>784</v>
      </c>
      <c r="K369" s="98" t="s">
        <v>75</v>
      </c>
    </row>
    <row r="370" spans="2:11" x14ac:dyDescent="0.25">
      <c r="B370" s="98" t="s">
        <v>879</v>
      </c>
      <c r="C370" s="98" t="s">
        <v>259</v>
      </c>
      <c r="D370" s="98" t="s">
        <v>631</v>
      </c>
      <c r="E370" s="98" t="s">
        <v>785</v>
      </c>
      <c r="F370" s="98" t="s">
        <v>260</v>
      </c>
      <c r="G370" s="98">
        <v>1</v>
      </c>
      <c r="H370" s="98" t="str">
        <f t="shared" ref="H370:H377" si="33">HYPERLINK("http://rms/perspective.req?projectId=233&amp;docId=959510","BSS-TC-23227 TC_OBI_PM 1.4_002_Mid level report_Total _validation")</f>
        <v>BSS-TC-23227 TC_OBI_PM 1.4_002_Mid level report_Total _validation</v>
      </c>
      <c r="I370" s="98" t="s">
        <v>630</v>
      </c>
      <c r="J370" s="98" t="s">
        <v>80</v>
      </c>
      <c r="K370" s="98" t="s">
        <v>631</v>
      </c>
    </row>
    <row r="371" spans="2:11" x14ac:dyDescent="0.25">
      <c r="B371" s="98" t="s">
        <v>879</v>
      </c>
      <c r="C371" s="98" t="s">
        <v>259</v>
      </c>
      <c r="D371" s="98" t="s">
        <v>631</v>
      </c>
      <c r="E371" s="98" t="s">
        <v>18</v>
      </c>
      <c r="F371" s="98" t="s">
        <v>260</v>
      </c>
      <c r="G371" s="98">
        <v>2</v>
      </c>
      <c r="H371" s="98" t="str">
        <f t="shared" si="33"/>
        <v>BSS-TC-23227 TC_OBI_PM 1.4_002_Mid level report_Total _validation</v>
      </c>
      <c r="I371" s="98" t="s">
        <v>630</v>
      </c>
      <c r="J371" s="98" t="s">
        <v>20</v>
      </c>
      <c r="K371" s="98" t="s">
        <v>631</v>
      </c>
    </row>
    <row r="372" spans="2:11" x14ac:dyDescent="0.25">
      <c r="B372" s="98" t="s">
        <v>879</v>
      </c>
      <c r="C372" s="98" t="s">
        <v>259</v>
      </c>
      <c r="D372" s="98" t="s">
        <v>631</v>
      </c>
      <c r="E372" s="98" t="s">
        <v>21</v>
      </c>
      <c r="F372" s="98" t="s">
        <v>260</v>
      </c>
      <c r="G372" s="98">
        <v>3</v>
      </c>
      <c r="H372" s="98" t="str">
        <f t="shared" si="33"/>
        <v>BSS-TC-23227 TC_OBI_PM 1.4_002_Mid level report_Total _validation</v>
      </c>
      <c r="I372" s="98" t="s">
        <v>630</v>
      </c>
      <c r="J372" s="98" t="s">
        <v>22</v>
      </c>
      <c r="K372" s="98" t="s">
        <v>631</v>
      </c>
    </row>
    <row r="373" spans="2:11" x14ac:dyDescent="0.25">
      <c r="B373" s="98" t="s">
        <v>879</v>
      </c>
      <c r="C373" s="98" t="s">
        <v>259</v>
      </c>
      <c r="D373" s="98" t="s">
        <v>631</v>
      </c>
      <c r="E373" s="98" t="s">
        <v>23</v>
      </c>
      <c r="F373" s="98" t="s">
        <v>260</v>
      </c>
      <c r="G373" s="98">
        <v>4</v>
      </c>
      <c r="H373" s="98" t="str">
        <f t="shared" si="33"/>
        <v>BSS-TC-23227 TC_OBI_PM 1.4_002_Mid level report_Total _validation</v>
      </c>
      <c r="I373" s="98" t="s">
        <v>630</v>
      </c>
      <c r="J373" s="98" t="s">
        <v>41</v>
      </c>
      <c r="K373" s="98" t="s">
        <v>631</v>
      </c>
    </row>
    <row r="374" spans="2:11" x14ac:dyDescent="0.25">
      <c r="B374" s="98" t="s">
        <v>879</v>
      </c>
      <c r="C374" s="98" t="s">
        <v>259</v>
      </c>
      <c r="D374" s="98" t="s">
        <v>631</v>
      </c>
      <c r="E374" s="98" t="s">
        <v>76</v>
      </c>
      <c r="F374" s="98" t="s">
        <v>260</v>
      </c>
      <c r="G374" s="98">
        <v>5</v>
      </c>
      <c r="H374" s="98" t="str">
        <f t="shared" si="33"/>
        <v>BSS-TC-23227 TC_OBI_PM 1.4_002_Mid level report_Total _validation</v>
      </c>
      <c r="I374" s="98" t="s">
        <v>630</v>
      </c>
      <c r="J374" s="98" t="s">
        <v>44</v>
      </c>
      <c r="K374" s="98" t="s">
        <v>631</v>
      </c>
    </row>
    <row r="375" spans="2:11" x14ac:dyDescent="0.25">
      <c r="B375" s="98" t="s">
        <v>879</v>
      </c>
      <c r="C375" s="98" t="s">
        <v>259</v>
      </c>
      <c r="D375" s="98" t="s">
        <v>631</v>
      </c>
      <c r="E375" s="98" t="s">
        <v>25</v>
      </c>
      <c r="F375" s="98" t="s">
        <v>260</v>
      </c>
      <c r="G375" s="98">
        <v>6</v>
      </c>
      <c r="H375" s="98" t="str">
        <f t="shared" si="33"/>
        <v>BSS-TC-23227 TC_OBI_PM 1.4_002_Mid level report_Total _validation</v>
      </c>
      <c r="I375" s="98" t="s">
        <v>630</v>
      </c>
      <c r="J375" s="98" t="s">
        <v>27</v>
      </c>
      <c r="K375" s="98" t="s">
        <v>631</v>
      </c>
    </row>
    <row r="376" spans="2:11" x14ac:dyDescent="0.25">
      <c r="B376" s="98" t="s">
        <v>879</v>
      </c>
      <c r="C376" s="98" t="s">
        <v>259</v>
      </c>
      <c r="D376" s="98" t="s">
        <v>631</v>
      </c>
      <c r="E376" s="98" t="s">
        <v>45</v>
      </c>
      <c r="F376" s="98" t="s">
        <v>260</v>
      </c>
      <c r="G376" s="98">
        <v>7</v>
      </c>
      <c r="H376" s="98" t="str">
        <f t="shared" si="33"/>
        <v>BSS-TC-23227 TC_OBI_PM 1.4_002_Mid level report_Total _validation</v>
      </c>
      <c r="I376" s="98" t="s">
        <v>630</v>
      </c>
      <c r="J376" s="98" t="s">
        <v>42</v>
      </c>
      <c r="K376" s="98" t="s">
        <v>631</v>
      </c>
    </row>
    <row r="377" spans="2:11" x14ac:dyDescent="0.25">
      <c r="B377" s="98" t="s">
        <v>879</v>
      </c>
      <c r="C377" s="98" t="s">
        <v>259</v>
      </c>
      <c r="D377" s="98" t="s">
        <v>631</v>
      </c>
      <c r="E377" s="98" t="s">
        <v>786</v>
      </c>
      <c r="F377" s="98" t="s">
        <v>260</v>
      </c>
      <c r="G377" s="98">
        <v>8</v>
      </c>
      <c r="H377" s="98" t="str">
        <f t="shared" si="33"/>
        <v>BSS-TC-23227 TC_OBI_PM 1.4_002_Mid level report_Total _validation</v>
      </c>
      <c r="I377" s="98" t="s">
        <v>630</v>
      </c>
      <c r="J377" s="98" t="s">
        <v>787</v>
      </c>
      <c r="K377" s="98" t="s">
        <v>78</v>
      </c>
    </row>
    <row r="378" spans="2:11" x14ac:dyDescent="0.25">
      <c r="B378" s="98" t="s">
        <v>880</v>
      </c>
      <c r="C378" s="98" t="s">
        <v>167</v>
      </c>
      <c r="D378" s="98" t="s">
        <v>631</v>
      </c>
      <c r="E378" s="98" t="s">
        <v>788</v>
      </c>
      <c r="F378" s="98" t="s">
        <v>178</v>
      </c>
      <c r="G378" s="98">
        <v>1</v>
      </c>
      <c r="H378" s="98" t="str">
        <f t="shared" ref="H378:H392" si="34">HYPERLINK("http://rms/perspective.req?projectId=233&amp;docId=959417","BSS-TC-23188 TC_OBI_PM1.4_001_CH_Manual PM override_Missed to allowed exception")</f>
        <v>BSS-TC-23188 TC_OBI_PM1.4_001_CH_Manual PM override_Missed to allowed exception</v>
      </c>
      <c r="I378" s="98" t="s">
        <v>630</v>
      </c>
      <c r="J378" s="98" t="s">
        <v>631</v>
      </c>
      <c r="K378" s="98" t="s">
        <v>523</v>
      </c>
    </row>
    <row r="379" spans="2:11" x14ac:dyDescent="0.25">
      <c r="B379" s="98" t="s">
        <v>880</v>
      </c>
      <c r="C379" s="98" t="s">
        <v>167</v>
      </c>
      <c r="D379" s="98" t="s">
        <v>631</v>
      </c>
      <c r="E379" s="98" t="s">
        <v>18</v>
      </c>
      <c r="F379" s="98" t="s">
        <v>178</v>
      </c>
      <c r="G379" s="98">
        <v>2</v>
      </c>
      <c r="H379" s="98" t="str">
        <f t="shared" si="34"/>
        <v>BSS-TC-23188 TC_OBI_PM1.4_001_CH_Manual PM override_Missed to allowed exception</v>
      </c>
      <c r="I379" s="98" t="s">
        <v>630</v>
      </c>
      <c r="J379" s="98" t="s">
        <v>20</v>
      </c>
      <c r="K379" s="98" t="s">
        <v>631</v>
      </c>
    </row>
    <row r="380" spans="2:11" x14ac:dyDescent="0.25">
      <c r="B380" s="98" t="s">
        <v>880</v>
      </c>
      <c r="C380" s="98" t="s">
        <v>167</v>
      </c>
      <c r="D380" s="98" t="s">
        <v>631</v>
      </c>
      <c r="E380" s="98" t="s">
        <v>21</v>
      </c>
      <c r="F380" s="98" t="s">
        <v>178</v>
      </c>
      <c r="G380" s="98">
        <v>3</v>
      </c>
      <c r="H380" s="98" t="str">
        <f t="shared" si="34"/>
        <v>BSS-TC-23188 TC_OBI_PM1.4_001_CH_Manual PM override_Missed to allowed exception</v>
      </c>
      <c r="I380" s="98" t="s">
        <v>630</v>
      </c>
      <c r="J380" s="98" t="s">
        <v>22</v>
      </c>
      <c r="K380" s="98" t="s">
        <v>631</v>
      </c>
    </row>
    <row r="381" spans="2:11" x14ac:dyDescent="0.25">
      <c r="B381" s="98" t="s">
        <v>880</v>
      </c>
      <c r="C381" s="98" t="s">
        <v>167</v>
      </c>
      <c r="D381" s="98" t="s">
        <v>631</v>
      </c>
      <c r="E381" s="98" t="s">
        <v>155</v>
      </c>
      <c r="F381" s="98" t="s">
        <v>178</v>
      </c>
      <c r="G381" s="98">
        <v>4</v>
      </c>
      <c r="H381" s="98" t="str">
        <f t="shared" si="34"/>
        <v>BSS-TC-23188 TC_OBI_PM1.4_001_CH_Manual PM override_Missed to allowed exception</v>
      </c>
      <c r="I381" s="98" t="s">
        <v>630</v>
      </c>
      <c r="J381" s="98" t="s">
        <v>156</v>
      </c>
      <c r="K381" s="98" t="s">
        <v>631</v>
      </c>
    </row>
    <row r="382" spans="2:11" x14ac:dyDescent="0.25">
      <c r="B382" s="98" t="s">
        <v>880</v>
      </c>
      <c r="C382" s="98" t="s">
        <v>167</v>
      </c>
      <c r="D382" s="98" t="s">
        <v>631</v>
      </c>
      <c r="E382" s="98" t="s">
        <v>169</v>
      </c>
      <c r="F382" s="98" t="s">
        <v>178</v>
      </c>
      <c r="G382" s="98">
        <v>5</v>
      </c>
      <c r="H382" s="98" t="str">
        <f t="shared" si="34"/>
        <v>BSS-TC-23188 TC_OBI_PM1.4_001_CH_Manual PM override_Missed to allowed exception</v>
      </c>
      <c r="I382" s="98" t="s">
        <v>630</v>
      </c>
      <c r="J382" s="98" t="s">
        <v>170</v>
      </c>
      <c r="K382" s="98" t="s">
        <v>631</v>
      </c>
    </row>
    <row r="383" spans="2:11" x14ac:dyDescent="0.25">
      <c r="B383" s="98" t="s">
        <v>880</v>
      </c>
      <c r="C383" s="98" t="s">
        <v>167</v>
      </c>
      <c r="D383" s="98" t="s">
        <v>631</v>
      </c>
      <c r="E383" s="98" t="s">
        <v>171</v>
      </c>
      <c r="F383" s="98" t="s">
        <v>178</v>
      </c>
      <c r="G383" s="98">
        <v>6</v>
      </c>
      <c r="H383" s="98" t="str">
        <f t="shared" si="34"/>
        <v>BSS-TC-23188 TC_OBI_PM1.4_001_CH_Manual PM override_Missed to allowed exception</v>
      </c>
      <c r="I383" s="98" t="s">
        <v>630</v>
      </c>
      <c r="J383" s="98" t="s">
        <v>172</v>
      </c>
      <c r="K383" s="98" t="s">
        <v>631</v>
      </c>
    </row>
    <row r="384" spans="2:11" x14ac:dyDescent="0.25">
      <c r="B384" s="98" t="s">
        <v>880</v>
      </c>
      <c r="C384" s="98" t="s">
        <v>167</v>
      </c>
      <c r="D384" s="98" t="s">
        <v>631</v>
      </c>
      <c r="E384" s="98" t="s">
        <v>174</v>
      </c>
      <c r="F384" s="98" t="s">
        <v>178</v>
      </c>
      <c r="G384" s="98">
        <v>7</v>
      </c>
      <c r="H384" s="98" t="str">
        <f t="shared" si="34"/>
        <v>BSS-TC-23188 TC_OBI_PM1.4_001_CH_Manual PM override_Missed to allowed exception</v>
      </c>
      <c r="I384" s="98" t="s">
        <v>630</v>
      </c>
      <c r="J384" s="98" t="s">
        <v>175</v>
      </c>
      <c r="K384" s="98" t="s">
        <v>631</v>
      </c>
    </row>
    <row r="385" spans="2:11" x14ac:dyDescent="0.25">
      <c r="B385" s="98" t="s">
        <v>880</v>
      </c>
      <c r="C385" s="98" t="s">
        <v>167</v>
      </c>
      <c r="D385" s="98" t="s">
        <v>631</v>
      </c>
      <c r="E385" s="98" t="s">
        <v>50</v>
      </c>
      <c r="F385" s="98" t="s">
        <v>178</v>
      </c>
      <c r="G385" s="98">
        <v>8</v>
      </c>
      <c r="H385" s="98" t="str">
        <f t="shared" si="34"/>
        <v>BSS-TC-23188 TC_OBI_PM1.4_001_CH_Manual PM override_Missed to allowed exception</v>
      </c>
      <c r="I385" s="98" t="s">
        <v>630</v>
      </c>
      <c r="J385" s="98" t="s">
        <v>51</v>
      </c>
      <c r="K385" s="98" t="s">
        <v>631</v>
      </c>
    </row>
    <row r="386" spans="2:11" x14ac:dyDescent="0.25">
      <c r="B386" s="98" t="s">
        <v>880</v>
      </c>
      <c r="C386" s="98" t="s">
        <v>167</v>
      </c>
      <c r="D386" s="98" t="s">
        <v>631</v>
      </c>
      <c r="E386" s="98" t="s">
        <v>731</v>
      </c>
      <c r="F386" s="98" t="s">
        <v>178</v>
      </c>
      <c r="G386" s="98">
        <v>9</v>
      </c>
      <c r="H386" s="98" t="str">
        <f t="shared" si="34"/>
        <v>BSS-TC-23188 TC_OBI_PM1.4_001_CH_Manual PM override_Missed to allowed exception</v>
      </c>
      <c r="I386" s="98" t="s">
        <v>630</v>
      </c>
      <c r="J386" s="98" t="s">
        <v>732</v>
      </c>
      <c r="K386" s="98" t="s">
        <v>119</v>
      </c>
    </row>
    <row r="387" spans="2:11" x14ac:dyDescent="0.25">
      <c r="B387" s="98" t="s">
        <v>880</v>
      </c>
      <c r="C387" s="98" t="s">
        <v>167</v>
      </c>
      <c r="D387" s="98" t="s">
        <v>631</v>
      </c>
      <c r="E387" s="98" t="s">
        <v>549</v>
      </c>
      <c r="F387" s="98" t="s">
        <v>178</v>
      </c>
      <c r="G387" s="98">
        <v>10</v>
      </c>
      <c r="H387" s="98" t="str">
        <f t="shared" si="34"/>
        <v>BSS-TC-23188 TC_OBI_PM1.4_001_CH_Manual PM override_Missed to allowed exception</v>
      </c>
      <c r="I387" s="98" t="s">
        <v>630</v>
      </c>
      <c r="J387" s="98" t="s">
        <v>157</v>
      </c>
      <c r="K387" s="98" t="s">
        <v>631</v>
      </c>
    </row>
    <row r="388" spans="2:11" x14ac:dyDescent="0.25">
      <c r="B388" s="98" t="s">
        <v>880</v>
      </c>
      <c r="C388" s="98" t="s">
        <v>167</v>
      </c>
      <c r="D388" s="98" t="s">
        <v>631</v>
      </c>
      <c r="E388" s="98" t="s">
        <v>176</v>
      </c>
      <c r="F388" s="98" t="s">
        <v>178</v>
      </c>
      <c r="G388" s="98">
        <v>11</v>
      </c>
      <c r="H388" s="98" t="str">
        <f t="shared" si="34"/>
        <v>BSS-TC-23188 TC_OBI_PM1.4_001_CH_Manual PM override_Missed to allowed exception</v>
      </c>
      <c r="I388" s="98" t="s">
        <v>630</v>
      </c>
      <c r="J388" s="98" t="s">
        <v>631</v>
      </c>
      <c r="K388" s="98" t="s">
        <v>159</v>
      </c>
    </row>
    <row r="389" spans="2:11" x14ac:dyDescent="0.25">
      <c r="B389" s="98" t="s">
        <v>880</v>
      </c>
      <c r="C389" s="98" t="s">
        <v>167</v>
      </c>
      <c r="D389" s="98" t="s">
        <v>631</v>
      </c>
      <c r="E389" s="98" t="s">
        <v>160</v>
      </c>
      <c r="F389" s="98" t="s">
        <v>178</v>
      </c>
      <c r="G389" s="98">
        <v>12</v>
      </c>
      <c r="H389" s="98" t="str">
        <f t="shared" si="34"/>
        <v>BSS-TC-23188 TC_OBI_PM1.4_001_CH_Manual PM override_Missed to allowed exception</v>
      </c>
      <c r="I389" s="98" t="s">
        <v>630</v>
      </c>
      <c r="J389" s="98" t="s">
        <v>172</v>
      </c>
      <c r="K389" s="98" t="s">
        <v>161</v>
      </c>
    </row>
    <row r="390" spans="2:11" x14ac:dyDescent="0.25">
      <c r="B390" s="98" t="s">
        <v>880</v>
      </c>
      <c r="C390" s="98" t="s">
        <v>167</v>
      </c>
      <c r="D390" s="98" t="s">
        <v>631</v>
      </c>
      <c r="E390" s="98" t="s">
        <v>162</v>
      </c>
      <c r="F390" s="98" t="s">
        <v>178</v>
      </c>
      <c r="G390" s="98">
        <v>13</v>
      </c>
      <c r="H390" s="98" t="str">
        <f t="shared" si="34"/>
        <v>BSS-TC-23188 TC_OBI_PM1.4_001_CH_Manual PM override_Missed to allowed exception</v>
      </c>
      <c r="I390" s="98" t="s">
        <v>630</v>
      </c>
      <c r="J390" s="98" t="s">
        <v>163</v>
      </c>
      <c r="K390" s="98" t="s">
        <v>631</v>
      </c>
    </row>
    <row r="391" spans="2:11" x14ac:dyDescent="0.25">
      <c r="B391" s="98" t="s">
        <v>880</v>
      </c>
      <c r="C391" s="98" t="s">
        <v>167</v>
      </c>
      <c r="D391" s="98" t="s">
        <v>631</v>
      </c>
      <c r="E391" s="98" t="s">
        <v>180</v>
      </c>
      <c r="F391" s="98" t="s">
        <v>178</v>
      </c>
      <c r="G391" s="98">
        <v>14</v>
      </c>
      <c r="H391" s="98" t="str">
        <f t="shared" si="34"/>
        <v>BSS-TC-23188 TC_OBI_PM1.4_001_CH_Manual PM override_Missed to allowed exception</v>
      </c>
      <c r="I391" s="98" t="s">
        <v>630</v>
      </c>
      <c r="J391" s="98" t="s">
        <v>181</v>
      </c>
      <c r="K391" s="98" t="s">
        <v>631</v>
      </c>
    </row>
    <row r="392" spans="2:11" x14ac:dyDescent="0.25">
      <c r="B392" s="98" t="s">
        <v>880</v>
      </c>
      <c r="C392" s="98" t="s">
        <v>167</v>
      </c>
      <c r="D392" s="98" t="s">
        <v>631</v>
      </c>
      <c r="E392" s="98" t="s">
        <v>789</v>
      </c>
      <c r="F392" s="98" t="s">
        <v>178</v>
      </c>
      <c r="G392" s="98">
        <v>15</v>
      </c>
      <c r="H392" s="98" t="str">
        <f t="shared" si="34"/>
        <v>BSS-TC-23188 TC_OBI_PM1.4_001_CH_Manual PM override_Missed to allowed exception</v>
      </c>
      <c r="I392" s="98" t="s">
        <v>630</v>
      </c>
      <c r="J392" s="98" t="s">
        <v>182</v>
      </c>
      <c r="K392" s="98" t="s">
        <v>166</v>
      </c>
    </row>
    <row r="393" spans="2:11" x14ac:dyDescent="0.25">
      <c r="B393" s="98" t="s">
        <v>881</v>
      </c>
      <c r="C393" s="98" t="s">
        <v>537</v>
      </c>
      <c r="D393" s="98" t="s">
        <v>631</v>
      </c>
      <c r="E393" s="98" t="s">
        <v>325</v>
      </c>
      <c r="F393" s="98" t="s">
        <v>790</v>
      </c>
      <c r="G393" s="98">
        <v>1</v>
      </c>
      <c r="H393" s="98" t="str">
        <f>HYPERLINK("http://rms/perspective.req?projectId=233&amp;docId=959511","BSS-TC-23228 TC_OBI_003_CR109_PM1.4_MSL_Line_Validation")</f>
        <v>BSS-TC-23228 TC_OBI_003_CR109_PM1.4_MSL_Line_Validation</v>
      </c>
      <c r="I393" s="98" t="s">
        <v>630</v>
      </c>
      <c r="J393" s="98" t="s">
        <v>80</v>
      </c>
      <c r="K393" s="98" t="s">
        <v>326</v>
      </c>
    </row>
    <row r="394" spans="2:11" x14ac:dyDescent="0.25">
      <c r="B394" s="98" t="s">
        <v>881</v>
      </c>
      <c r="C394" s="98" t="s">
        <v>537</v>
      </c>
      <c r="D394" s="98" t="s">
        <v>631</v>
      </c>
      <c r="E394" s="98" t="s">
        <v>265</v>
      </c>
      <c r="F394" s="98" t="s">
        <v>790</v>
      </c>
      <c r="G394" s="98">
        <v>2</v>
      </c>
      <c r="H394" s="98" t="str">
        <f>HYPERLINK("http://rms/perspective.req?projectId=233&amp;docId=959511","BSS-TC-23228 TC_OBI_003_CR109_PM1.4_MSL_Line_Validation")</f>
        <v>BSS-TC-23228 TC_OBI_003_CR109_PM1.4_MSL_Line_Validation</v>
      </c>
      <c r="I394" s="98" t="s">
        <v>630</v>
      </c>
      <c r="J394" s="98" t="s">
        <v>266</v>
      </c>
      <c r="K394" s="98" t="s">
        <v>631</v>
      </c>
    </row>
    <row r="395" spans="2:11" x14ac:dyDescent="0.25">
      <c r="B395" s="98" t="s">
        <v>881</v>
      </c>
      <c r="C395" s="98" t="s">
        <v>537</v>
      </c>
      <c r="D395" s="98" t="s">
        <v>631</v>
      </c>
      <c r="E395" s="98" t="s">
        <v>267</v>
      </c>
      <c r="F395" s="98" t="s">
        <v>790</v>
      </c>
      <c r="G395" s="98">
        <v>3</v>
      </c>
      <c r="H395" s="98" t="str">
        <f>HYPERLINK("http://rms/perspective.req?projectId=233&amp;docId=959511","BSS-TC-23228 TC_OBI_003_CR109_PM1.4_MSL_Line_Validation")</f>
        <v>BSS-TC-23228 TC_OBI_003_CR109_PM1.4_MSL_Line_Validation</v>
      </c>
      <c r="I395" s="98" t="s">
        <v>630</v>
      </c>
      <c r="J395" s="98" t="s">
        <v>27</v>
      </c>
      <c r="K395" s="98" t="s">
        <v>631</v>
      </c>
    </row>
    <row r="396" spans="2:11" x14ac:dyDescent="0.25">
      <c r="B396" s="98" t="s">
        <v>881</v>
      </c>
      <c r="C396" s="98" t="s">
        <v>537</v>
      </c>
      <c r="D396" s="98" t="s">
        <v>631</v>
      </c>
      <c r="E396" s="98" t="s">
        <v>327</v>
      </c>
      <c r="F396" s="98" t="s">
        <v>790</v>
      </c>
      <c r="G396" s="98">
        <v>4</v>
      </c>
      <c r="H396" s="98" t="str">
        <f>HYPERLINK("http://rms/perspective.req?projectId=233&amp;docId=959511","BSS-TC-23228 TC_OBI_003_CR109_PM1.4_MSL_Line_Validation")</f>
        <v>BSS-TC-23228 TC_OBI_003_CR109_PM1.4_MSL_Line_Validation</v>
      </c>
      <c r="I396" s="98" t="s">
        <v>630</v>
      </c>
      <c r="J396" s="98" t="s">
        <v>329</v>
      </c>
      <c r="K396" s="98" t="s">
        <v>328</v>
      </c>
    </row>
    <row r="397" spans="2:11" x14ac:dyDescent="0.25">
      <c r="B397" s="98" t="s">
        <v>881</v>
      </c>
      <c r="C397" s="98" t="s">
        <v>537</v>
      </c>
      <c r="D397" s="98" t="s">
        <v>631</v>
      </c>
      <c r="E397" s="98" t="s">
        <v>791</v>
      </c>
      <c r="F397" s="98" t="s">
        <v>790</v>
      </c>
      <c r="G397" s="98">
        <v>5</v>
      </c>
      <c r="H397" s="98" t="str">
        <f>HYPERLINK("http://rms/perspective.req?projectId=233&amp;docId=959511","BSS-TC-23228 TC_OBI_003_CR109_PM1.4_MSL_Line_Validation")</f>
        <v>BSS-TC-23228 TC_OBI_003_CR109_PM1.4_MSL_Line_Validation</v>
      </c>
      <c r="I397" s="98" t="s">
        <v>630</v>
      </c>
      <c r="J397" s="98" t="s">
        <v>332</v>
      </c>
      <c r="K397" s="98" t="s">
        <v>331</v>
      </c>
    </row>
    <row r="398" spans="2:11" x14ac:dyDescent="0.25">
      <c r="B398" s="98" t="s">
        <v>882</v>
      </c>
      <c r="C398" s="98" t="s">
        <v>183</v>
      </c>
      <c r="D398" s="98" t="s">
        <v>631</v>
      </c>
      <c r="E398" s="98" t="s">
        <v>792</v>
      </c>
      <c r="F398" s="98" t="s">
        <v>184</v>
      </c>
      <c r="G398" s="98">
        <v>1</v>
      </c>
      <c r="H398" s="98" t="str">
        <f t="shared" ref="H398:H416" si="35">HYPERLINK("http://rms/perspective.req?projectId=233&amp;docId=959419","BSS-TC-23190 TC_OBI_PM1.4_003_CH_Manual PM override_ allowed exception to Missed")</f>
        <v>BSS-TC-23190 TC_OBI_PM1.4_003_CH_Manual PM override_ allowed exception to Missed</v>
      </c>
      <c r="I398" s="98" t="s">
        <v>630</v>
      </c>
      <c r="J398" s="98" t="s">
        <v>631</v>
      </c>
      <c r="K398" s="98" t="s">
        <v>523</v>
      </c>
    </row>
    <row r="399" spans="2:11" x14ac:dyDescent="0.25">
      <c r="B399" s="98" t="s">
        <v>882</v>
      </c>
      <c r="C399" s="98" t="s">
        <v>183</v>
      </c>
      <c r="D399" s="98" t="s">
        <v>631</v>
      </c>
      <c r="E399" s="98" t="s">
        <v>18</v>
      </c>
      <c r="F399" s="98" t="s">
        <v>184</v>
      </c>
      <c r="G399" s="98">
        <v>2</v>
      </c>
      <c r="H399" s="98" t="str">
        <f t="shared" si="35"/>
        <v>BSS-TC-23190 TC_OBI_PM1.4_003_CH_Manual PM override_ allowed exception to Missed</v>
      </c>
      <c r="I399" s="98" t="s">
        <v>630</v>
      </c>
      <c r="J399" s="98" t="s">
        <v>20</v>
      </c>
      <c r="K399" s="98" t="s">
        <v>631</v>
      </c>
    </row>
    <row r="400" spans="2:11" x14ac:dyDescent="0.25">
      <c r="B400" s="98" t="s">
        <v>882</v>
      </c>
      <c r="C400" s="98" t="s">
        <v>183</v>
      </c>
      <c r="D400" s="98" t="s">
        <v>631</v>
      </c>
      <c r="E400" s="98" t="s">
        <v>21</v>
      </c>
      <c r="F400" s="98" t="s">
        <v>184</v>
      </c>
      <c r="G400" s="98">
        <v>3</v>
      </c>
      <c r="H400" s="98" t="str">
        <f t="shared" si="35"/>
        <v>BSS-TC-23190 TC_OBI_PM1.4_003_CH_Manual PM override_ allowed exception to Missed</v>
      </c>
      <c r="I400" s="98" t="s">
        <v>630</v>
      </c>
      <c r="J400" s="98" t="s">
        <v>22</v>
      </c>
      <c r="K400" s="98" t="s">
        <v>631</v>
      </c>
    </row>
    <row r="401" spans="2:11" x14ac:dyDescent="0.25">
      <c r="B401" s="98" t="s">
        <v>882</v>
      </c>
      <c r="C401" s="98" t="s">
        <v>183</v>
      </c>
      <c r="D401" s="98" t="s">
        <v>631</v>
      </c>
      <c r="E401" s="98" t="s">
        <v>155</v>
      </c>
      <c r="F401" s="98" t="s">
        <v>184</v>
      </c>
      <c r="G401" s="98">
        <v>4</v>
      </c>
      <c r="H401" s="98" t="str">
        <f t="shared" si="35"/>
        <v>BSS-TC-23190 TC_OBI_PM1.4_003_CH_Manual PM override_ allowed exception to Missed</v>
      </c>
      <c r="I401" s="98" t="s">
        <v>630</v>
      </c>
      <c r="J401" s="98" t="s">
        <v>156</v>
      </c>
      <c r="K401" s="98" t="s">
        <v>631</v>
      </c>
    </row>
    <row r="402" spans="2:11" x14ac:dyDescent="0.25">
      <c r="B402" s="98" t="s">
        <v>882</v>
      </c>
      <c r="C402" s="98" t="s">
        <v>183</v>
      </c>
      <c r="D402" s="98" t="s">
        <v>631</v>
      </c>
      <c r="E402" s="98" t="s">
        <v>169</v>
      </c>
      <c r="F402" s="98" t="s">
        <v>184</v>
      </c>
      <c r="G402" s="98">
        <v>5</v>
      </c>
      <c r="H402" s="98" t="str">
        <f t="shared" si="35"/>
        <v>BSS-TC-23190 TC_OBI_PM1.4_003_CH_Manual PM override_ allowed exception to Missed</v>
      </c>
      <c r="I402" s="98" t="s">
        <v>630</v>
      </c>
      <c r="J402" s="98" t="s">
        <v>170</v>
      </c>
      <c r="K402" s="98" t="s">
        <v>631</v>
      </c>
    </row>
    <row r="403" spans="2:11" x14ac:dyDescent="0.25">
      <c r="B403" s="98" t="s">
        <v>882</v>
      </c>
      <c r="C403" s="98" t="s">
        <v>183</v>
      </c>
      <c r="D403" s="98" t="s">
        <v>631</v>
      </c>
      <c r="E403" s="98" t="s">
        <v>171</v>
      </c>
      <c r="F403" s="98" t="s">
        <v>184</v>
      </c>
      <c r="G403" s="98">
        <v>6</v>
      </c>
      <c r="H403" s="98" t="str">
        <f t="shared" si="35"/>
        <v>BSS-TC-23190 TC_OBI_PM1.4_003_CH_Manual PM override_ allowed exception to Missed</v>
      </c>
      <c r="I403" s="98" t="s">
        <v>630</v>
      </c>
      <c r="J403" s="98" t="s">
        <v>172</v>
      </c>
      <c r="K403" s="98" t="s">
        <v>631</v>
      </c>
    </row>
    <row r="404" spans="2:11" x14ac:dyDescent="0.25">
      <c r="B404" s="98" t="s">
        <v>882</v>
      </c>
      <c r="C404" s="98" t="s">
        <v>183</v>
      </c>
      <c r="D404" s="98" t="s">
        <v>631</v>
      </c>
      <c r="E404" s="98" t="s">
        <v>174</v>
      </c>
      <c r="F404" s="98" t="s">
        <v>184</v>
      </c>
      <c r="G404" s="98">
        <v>7</v>
      </c>
      <c r="H404" s="98" t="str">
        <f t="shared" si="35"/>
        <v>BSS-TC-23190 TC_OBI_PM1.4_003_CH_Manual PM override_ allowed exception to Missed</v>
      </c>
      <c r="I404" s="98" t="s">
        <v>630</v>
      </c>
      <c r="J404" s="98" t="s">
        <v>175</v>
      </c>
      <c r="K404" s="98" t="s">
        <v>631</v>
      </c>
    </row>
    <row r="405" spans="2:11" x14ac:dyDescent="0.25">
      <c r="B405" s="98" t="s">
        <v>882</v>
      </c>
      <c r="C405" s="98" t="s">
        <v>183</v>
      </c>
      <c r="D405" s="98" t="s">
        <v>631</v>
      </c>
      <c r="E405" s="98" t="s">
        <v>180</v>
      </c>
      <c r="F405" s="98" t="s">
        <v>184</v>
      </c>
      <c r="G405" s="98">
        <v>8</v>
      </c>
      <c r="H405" s="98" t="str">
        <f t="shared" si="35"/>
        <v>BSS-TC-23190 TC_OBI_PM1.4_003_CH_Manual PM override_ allowed exception to Missed</v>
      </c>
      <c r="I405" s="98" t="s">
        <v>630</v>
      </c>
      <c r="J405" s="98" t="s">
        <v>181</v>
      </c>
      <c r="K405" s="98" t="s">
        <v>631</v>
      </c>
    </row>
    <row r="406" spans="2:11" x14ac:dyDescent="0.25">
      <c r="B406" s="98" t="s">
        <v>882</v>
      </c>
      <c r="C406" s="98" t="s">
        <v>183</v>
      </c>
      <c r="D406" s="98" t="s">
        <v>631</v>
      </c>
      <c r="E406" s="98" t="s">
        <v>789</v>
      </c>
      <c r="F406" s="98" t="s">
        <v>184</v>
      </c>
      <c r="G406" s="98">
        <v>9</v>
      </c>
      <c r="H406" s="98" t="str">
        <f t="shared" si="35"/>
        <v>BSS-TC-23190 TC_OBI_PM1.4_003_CH_Manual PM override_ allowed exception to Missed</v>
      </c>
      <c r="I406" s="98" t="s">
        <v>630</v>
      </c>
      <c r="J406" s="98" t="s">
        <v>182</v>
      </c>
      <c r="K406" s="98" t="s">
        <v>166</v>
      </c>
    </row>
    <row r="407" spans="2:11" x14ac:dyDescent="0.25">
      <c r="B407" s="98" t="s">
        <v>882</v>
      </c>
      <c r="C407" s="98" t="s">
        <v>183</v>
      </c>
      <c r="D407" s="98" t="s">
        <v>631</v>
      </c>
      <c r="E407" s="98" t="s">
        <v>550</v>
      </c>
      <c r="F407" s="98" t="s">
        <v>184</v>
      </c>
      <c r="G407" s="98">
        <v>10</v>
      </c>
      <c r="H407" s="98" t="str">
        <f t="shared" si="35"/>
        <v>BSS-TC-23190 TC_OBI_PM1.4_003_CH_Manual PM override_ allowed exception to Missed</v>
      </c>
      <c r="I407" s="98" t="s">
        <v>630</v>
      </c>
      <c r="J407" s="98" t="s">
        <v>157</v>
      </c>
      <c r="K407" s="98" t="s">
        <v>631</v>
      </c>
    </row>
    <row r="408" spans="2:11" x14ac:dyDescent="0.25">
      <c r="B408" s="98" t="s">
        <v>882</v>
      </c>
      <c r="C408" s="98" t="s">
        <v>183</v>
      </c>
      <c r="D408" s="98" t="s">
        <v>631</v>
      </c>
      <c r="E408" s="98" t="s">
        <v>158</v>
      </c>
      <c r="F408" s="98" t="s">
        <v>184</v>
      </c>
      <c r="G408" s="98">
        <v>11</v>
      </c>
      <c r="H408" s="98" t="str">
        <f t="shared" si="35"/>
        <v>BSS-TC-23190 TC_OBI_PM1.4_003_CH_Manual PM override_ allowed exception to Missed</v>
      </c>
      <c r="I408" s="98" t="s">
        <v>630</v>
      </c>
      <c r="J408" s="98" t="s">
        <v>631</v>
      </c>
      <c r="K408" s="98" t="s">
        <v>159</v>
      </c>
    </row>
    <row r="409" spans="2:11" x14ac:dyDescent="0.25">
      <c r="B409" s="98" t="s">
        <v>882</v>
      </c>
      <c r="C409" s="98" t="s">
        <v>183</v>
      </c>
      <c r="D409" s="98" t="s">
        <v>631</v>
      </c>
      <c r="E409" s="98" t="s">
        <v>18</v>
      </c>
      <c r="F409" s="98" t="s">
        <v>184</v>
      </c>
      <c r="G409" s="98">
        <v>12</v>
      </c>
      <c r="H409" s="98" t="str">
        <f t="shared" si="35"/>
        <v>BSS-TC-23190 TC_OBI_PM1.4_003_CH_Manual PM override_ allowed exception to Missed</v>
      </c>
      <c r="I409" s="98" t="s">
        <v>630</v>
      </c>
      <c r="J409" s="98" t="s">
        <v>20</v>
      </c>
      <c r="K409" s="98" t="s">
        <v>631</v>
      </c>
    </row>
    <row r="410" spans="2:11" x14ac:dyDescent="0.25">
      <c r="B410" s="98" t="s">
        <v>882</v>
      </c>
      <c r="C410" s="98" t="s">
        <v>183</v>
      </c>
      <c r="D410" s="98" t="s">
        <v>631</v>
      </c>
      <c r="E410" s="98" t="s">
        <v>21</v>
      </c>
      <c r="F410" s="98" t="s">
        <v>184</v>
      </c>
      <c r="G410" s="98">
        <v>13</v>
      </c>
      <c r="H410" s="98" t="str">
        <f t="shared" si="35"/>
        <v>BSS-TC-23190 TC_OBI_PM1.4_003_CH_Manual PM override_ allowed exception to Missed</v>
      </c>
      <c r="I410" s="98" t="s">
        <v>630</v>
      </c>
      <c r="J410" s="98" t="s">
        <v>22</v>
      </c>
      <c r="K410" s="98" t="s">
        <v>631</v>
      </c>
    </row>
    <row r="411" spans="2:11" x14ac:dyDescent="0.25">
      <c r="B411" s="98" t="s">
        <v>882</v>
      </c>
      <c r="C411" s="98" t="s">
        <v>183</v>
      </c>
      <c r="D411" s="98" t="s">
        <v>631</v>
      </c>
      <c r="E411" s="98" t="s">
        <v>23</v>
      </c>
      <c r="F411" s="98" t="s">
        <v>184</v>
      </c>
      <c r="G411" s="98">
        <v>14</v>
      </c>
      <c r="H411" s="98" t="str">
        <f t="shared" si="35"/>
        <v>BSS-TC-23190 TC_OBI_PM1.4_003_CH_Manual PM override_ allowed exception to Missed</v>
      </c>
      <c r="I411" s="98" t="s">
        <v>630</v>
      </c>
      <c r="J411" s="98" t="s">
        <v>41</v>
      </c>
      <c r="K411" s="98" t="s">
        <v>631</v>
      </c>
    </row>
    <row r="412" spans="2:11" x14ac:dyDescent="0.25">
      <c r="B412" s="98" t="s">
        <v>882</v>
      </c>
      <c r="C412" s="98" t="s">
        <v>183</v>
      </c>
      <c r="D412" s="98" t="s">
        <v>631</v>
      </c>
      <c r="E412" s="98" t="s">
        <v>76</v>
      </c>
      <c r="F412" s="98" t="s">
        <v>184</v>
      </c>
      <c r="G412" s="98">
        <v>15</v>
      </c>
      <c r="H412" s="98" t="str">
        <f t="shared" si="35"/>
        <v>BSS-TC-23190 TC_OBI_PM1.4_003_CH_Manual PM override_ allowed exception to Missed</v>
      </c>
      <c r="I412" s="98" t="s">
        <v>630</v>
      </c>
      <c r="J412" s="98" t="s">
        <v>44</v>
      </c>
      <c r="K412" s="98" t="s">
        <v>631</v>
      </c>
    </row>
    <row r="413" spans="2:11" x14ac:dyDescent="0.25">
      <c r="B413" s="98" t="s">
        <v>882</v>
      </c>
      <c r="C413" s="98" t="s">
        <v>183</v>
      </c>
      <c r="D413" s="98" t="s">
        <v>631</v>
      </c>
      <c r="E413" s="98" t="s">
        <v>25</v>
      </c>
      <c r="F413" s="98" t="s">
        <v>184</v>
      </c>
      <c r="G413" s="98">
        <v>16</v>
      </c>
      <c r="H413" s="98" t="str">
        <f t="shared" si="35"/>
        <v>BSS-TC-23190 TC_OBI_PM1.4_003_CH_Manual PM override_ allowed exception to Missed</v>
      </c>
      <c r="I413" s="98" t="s">
        <v>630</v>
      </c>
      <c r="J413" s="98" t="s">
        <v>27</v>
      </c>
      <c r="K413" s="98" t="s">
        <v>631</v>
      </c>
    </row>
    <row r="414" spans="2:11" x14ac:dyDescent="0.25">
      <c r="B414" s="98" t="s">
        <v>882</v>
      </c>
      <c r="C414" s="98" t="s">
        <v>183</v>
      </c>
      <c r="D414" s="98" t="s">
        <v>631</v>
      </c>
      <c r="E414" s="98" t="s">
        <v>45</v>
      </c>
      <c r="F414" s="98" t="s">
        <v>184</v>
      </c>
      <c r="G414" s="98">
        <v>17</v>
      </c>
      <c r="H414" s="98" t="str">
        <f t="shared" si="35"/>
        <v>BSS-TC-23190 TC_OBI_PM1.4_003_CH_Manual PM override_ allowed exception to Missed</v>
      </c>
      <c r="I414" s="98" t="s">
        <v>630</v>
      </c>
      <c r="J414" s="98" t="s">
        <v>42</v>
      </c>
      <c r="K414" s="98" t="s">
        <v>631</v>
      </c>
    </row>
    <row r="415" spans="2:11" x14ac:dyDescent="0.25">
      <c r="B415" s="98" t="s">
        <v>882</v>
      </c>
      <c r="C415" s="98" t="s">
        <v>183</v>
      </c>
      <c r="D415" s="98" t="s">
        <v>631</v>
      </c>
      <c r="E415" s="98" t="s">
        <v>50</v>
      </c>
      <c r="F415" s="98" t="s">
        <v>184</v>
      </c>
      <c r="G415" s="98">
        <v>18</v>
      </c>
      <c r="H415" s="98" t="str">
        <f t="shared" si="35"/>
        <v>BSS-TC-23190 TC_OBI_PM1.4_003_CH_Manual PM override_ allowed exception to Missed</v>
      </c>
      <c r="I415" s="98" t="s">
        <v>630</v>
      </c>
      <c r="J415" s="98" t="s">
        <v>51</v>
      </c>
      <c r="K415" s="98" t="s">
        <v>631</v>
      </c>
    </row>
    <row r="416" spans="2:11" x14ac:dyDescent="0.25">
      <c r="B416" s="98" t="s">
        <v>882</v>
      </c>
      <c r="C416" s="98" t="s">
        <v>183</v>
      </c>
      <c r="D416" s="98" t="s">
        <v>631</v>
      </c>
      <c r="E416" s="98" t="s">
        <v>731</v>
      </c>
      <c r="F416" s="98" t="s">
        <v>184</v>
      </c>
      <c r="G416" s="98">
        <v>19</v>
      </c>
      <c r="H416" s="98" t="str">
        <f t="shared" si="35"/>
        <v>BSS-TC-23190 TC_OBI_PM1.4_003_CH_Manual PM override_ allowed exception to Missed</v>
      </c>
      <c r="I416" s="98" t="s">
        <v>630</v>
      </c>
      <c r="J416" s="98" t="s">
        <v>732</v>
      </c>
      <c r="K416" s="98" t="s">
        <v>119</v>
      </c>
    </row>
    <row r="417" spans="2:11" x14ac:dyDescent="0.25">
      <c r="B417" s="98" t="s">
        <v>883</v>
      </c>
      <c r="C417" s="98" t="s">
        <v>188</v>
      </c>
      <c r="D417" s="98" t="s">
        <v>631</v>
      </c>
      <c r="E417" s="98" t="s">
        <v>793</v>
      </c>
      <c r="F417" s="98" t="s">
        <v>794</v>
      </c>
      <c r="G417" s="98">
        <v>1</v>
      </c>
      <c r="H417" s="98" t="str">
        <f t="shared" ref="H417:H433" si="36">HYPERLINK("http://rms/perspective.req?projectId=233&amp;docId=959421","BSS-TC-23192 TC_OBI_PM1.4_005_CH_Manual PM override_ Total to allowed exception")</f>
        <v>BSS-TC-23192 TC_OBI_PM1.4_005_CH_Manual PM override_ Total to allowed exception</v>
      </c>
      <c r="I417" s="98" t="s">
        <v>630</v>
      </c>
      <c r="J417" s="98" t="s">
        <v>631</v>
      </c>
      <c r="K417" s="98" t="s">
        <v>523</v>
      </c>
    </row>
    <row r="418" spans="2:11" x14ac:dyDescent="0.25">
      <c r="B418" s="98" t="s">
        <v>883</v>
      </c>
      <c r="C418" s="98" t="s">
        <v>188</v>
      </c>
      <c r="D418" s="98" t="s">
        <v>631</v>
      </c>
      <c r="E418" s="98" t="s">
        <v>18</v>
      </c>
      <c r="F418" s="98" t="s">
        <v>794</v>
      </c>
      <c r="G418" s="98">
        <v>2</v>
      </c>
      <c r="H418" s="98" t="str">
        <f t="shared" si="36"/>
        <v>BSS-TC-23192 TC_OBI_PM1.4_005_CH_Manual PM override_ Total to allowed exception</v>
      </c>
      <c r="I418" s="98" t="s">
        <v>630</v>
      </c>
      <c r="J418" s="98" t="s">
        <v>20</v>
      </c>
      <c r="K418" s="98" t="s">
        <v>631</v>
      </c>
    </row>
    <row r="419" spans="2:11" x14ac:dyDescent="0.25">
      <c r="B419" s="98" t="s">
        <v>883</v>
      </c>
      <c r="C419" s="98" t="s">
        <v>188</v>
      </c>
      <c r="D419" s="98" t="s">
        <v>631</v>
      </c>
      <c r="E419" s="98" t="s">
        <v>21</v>
      </c>
      <c r="F419" s="98" t="s">
        <v>794</v>
      </c>
      <c r="G419" s="98">
        <v>3</v>
      </c>
      <c r="H419" s="98" t="str">
        <f t="shared" si="36"/>
        <v>BSS-TC-23192 TC_OBI_PM1.4_005_CH_Manual PM override_ Total to allowed exception</v>
      </c>
      <c r="I419" s="98" t="s">
        <v>630</v>
      </c>
      <c r="J419" s="98" t="s">
        <v>22</v>
      </c>
      <c r="K419" s="98" t="s">
        <v>631</v>
      </c>
    </row>
    <row r="420" spans="2:11" x14ac:dyDescent="0.25">
      <c r="B420" s="98" t="s">
        <v>883</v>
      </c>
      <c r="C420" s="98" t="s">
        <v>188</v>
      </c>
      <c r="D420" s="98" t="s">
        <v>631</v>
      </c>
      <c r="E420" s="98" t="s">
        <v>155</v>
      </c>
      <c r="F420" s="98" t="s">
        <v>794</v>
      </c>
      <c r="G420" s="98">
        <v>4</v>
      </c>
      <c r="H420" s="98" t="str">
        <f t="shared" si="36"/>
        <v>BSS-TC-23192 TC_OBI_PM1.4_005_CH_Manual PM override_ Total to allowed exception</v>
      </c>
      <c r="I420" s="98" t="s">
        <v>630</v>
      </c>
      <c r="J420" s="98" t="s">
        <v>156</v>
      </c>
      <c r="K420" s="98" t="s">
        <v>631</v>
      </c>
    </row>
    <row r="421" spans="2:11" x14ac:dyDescent="0.25">
      <c r="B421" s="98" t="s">
        <v>883</v>
      </c>
      <c r="C421" s="98" t="s">
        <v>188</v>
      </c>
      <c r="D421" s="98" t="s">
        <v>631</v>
      </c>
      <c r="E421" s="98" t="s">
        <v>169</v>
      </c>
      <c r="F421" s="98" t="s">
        <v>794</v>
      </c>
      <c r="G421" s="98">
        <v>5</v>
      </c>
      <c r="H421" s="98" t="str">
        <f t="shared" si="36"/>
        <v>BSS-TC-23192 TC_OBI_PM1.4_005_CH_Manual PM override_ Total to allowed exception</v>
      </c>
      <c r="I421" s="98" t="s">
        <v>630</v>
      </c>
      <c r="J421" s="98" t="s">
        <v>170</v>
      </c>
      <c r="K421" s="98" t="s">
        <v>631</v>
      </c>
    </row>
    <row r="422" spans="2:11" x14ac:dyDescent="0.25">
      <c r="B422" s="98" t="s">
        <v>883</v>
      </c>
      <c r="C422" s="98" t="s">
        <v>188</v>
      </c>
      <c r="D422" s="98" t="s">
        <v>631</v>
      </c>
      <c r="E422" s="98" t="s">
        <v>171</v>
      </c>
      <c r="F422" s="98" t="s">
        <v>794</v>
      </c>
      <c r="G422" s="98">
        <v>6</v>
      </c>
      <c r="H422" s="98" t="str">
        <f t="shared" si="36"/>
        <v>BSS-TC-23192 TC_OBI_PM1.4_005_CH_Manual PM override_ Total to allowed exception</v>
      </c>
      <c r="I422" s="98" t="s">
        <v>630</v>
      </c>
      <c r="J422" s="98" t="s">
        <v>172</v>
      </c>
      <c r="K422" s="98" t="s">
        <v>631</v>
      </c>
    </row>
    <row r="423" spans="2:11" x14ac:dyDescent="0.25">
      <c r="B423" s="98" t="s">
        <v>883</v>
      </c>
      <c r="C423" s="98" t="s">
        <v>188</v>
      </c>
      <c r="D423" s="98" t="s">
        <v>631</v>
      </c>
      <c r="E423" s="98" t="s">
        <v>45</v>
      </c>
      <c r="F423" s="98" t="s">
        <v>794</v>
      </c>
      <c r="G423" s="98">
        <v>7</v>
      </c>
      <c r="H423" s="98" t="str">
        <f t="shared" si="36"/>
        <v>BSS-TC-23192 TC_OBI_PM1.4_005_CH_Manual PM override_ Total to allowed exception</v>
      </c>
      <c r="I423" s="98" t="s">
        <v>630</v>
      </c>
      <c r="J423" s="98" t="s">
        <v>42</v>
      </c>
      <c r="K423" s="98" t="s">
        <v>631</v>
      </c>
    </row>
    <row r="424" spans="2:11" x14ac:dyDescent="0.25">
      <c r="B424" s="98" t="s">
        <v>883</v>
      </c>
      <c r="C424" s="98" t="s">
        <v>188</v>
      </c>
      <c r="D424" s="98" t="s">
        <v>631</v>
      </c>
      <c r="E424" s="98" t="s">
        <v>568</v>
      </c>
      <c r="F424" s="98" t="s">
        <v>794</v>
      </c>
      <c r="G424" s="98">
        <v>8</v>
      </c>
      <c r="H424" s="98" t="str">
        <f t="shared" si="36"/>
        <v>BSS-TC-23192 TC_OBI_PM1.4_005_CH_Manual PM override_ Total to allowed exception</v>
      </c>
      <c r="I424" s="98" t="s">
        <v>630</v>
      </c>
      <c r="J424" s="98" t="s">
        <v>795</v>
      </c>
      <c r="K424" s="98" t="s">
        <v>78</v>
      </c>
    </row>
    <row r="425" spans="2:11" x14ac:dyDescent="0.25">
      <c r="B425" s="98" t="s">
        <v>883</v>
      </c>
      <c r="C425" s="98" t="s">
        <v>188</v>
      </c>
      <c r="D425" s="98" t="s">
        <v>631</v>
      </c>
      <c r="E425" s="98" t="s">
        <v>551</v>
      </c>
      <c r="F425" s="98" t="s">
        <v>794</v>
      </c>
      <c r="G425" s="98">
        <v>9</v>
      </c>
      <c r="H425" s="98" t="str">
        <f t="shared" si="36"/>
        <v>BSS-TC-23192 TC_OBI_PM1.4_005_CH_Manual PM override_ Total to allowed exception</v>
      </c>
      <c r="I425" s="98" t="s">
        <v>630</v>
      </c>
      <c r="J425" s="98" t="s">
        <v>157</v>
      </c>
      <c r="K425" s="98" t="s">
        <v>631</v>
      </c>
    </row>
    <row r="426" spans="2:11" x14ac:dyDescent="0.25">
      <c r="B426" s="98" t="s">
        <v>883</v>
      </c>
      <c r="C426" s="98" t="s">
        <v>188</v>
      </c>
      <c r="D426" s="98" t="s">
        <v>631</v>
      </c>
      <c r="E426" s="98" t="s">
        <v>190</v>
      </c>
      <c r="F426" s="98" t="s">
        <v>794</v>
      </c>
      <c r="G426" s="98">
        <v>10</v>
      </c>
      <c r="H426" s="98" t="str">
        <f t="shared" si="36"/>
        <v>BSS-TC-23192 TC_OBI_PM1.4_005_CH_Manual PM override_ Total to allowed exception</v>
      </c>
      <c r="I426" s="98" t="s">
        <v>630</v>
      </c>
      <c r="J426" s="98" t="s">
        <v>631</v>
      </c>
      <c r="K426" s="98" t="s">
        <v>159</v>
      </c>
    </row>
    <row r="427" spans="2:11" x14ac:dyDescent="0.25">
      <c r="B427" s="98" t="s">
        <v>883</v>
      </c>
      <c r="C427" s="98" t="s">
        <v>188</v>
      </c>
      <c r="D427" s="98" t="s">
        <v>631</v>
      </c>
      <c r="E427" s="98" t="s">
        <v>18</v>
      </c>
      <c r="F427" s="98" t="s">
        <v>794</v>
      </c>
      <c r="G427" s="98">
        <v>11</v>
      </c>
      <c r="H427" s="98" t="str">
        <f t="shared" si="36"/>
        <v>BSS-TC-23192 TC_OBI_PM1.4_005_CH_Manual PM override_ Total to allowed exception</v>
      </c>
      <c r="I427" s="98" t="s">
        <v>630</v>
      </c>
      <c r="J427" s="98" t="s">
        <v>20</v>
      </c>
      <c r="K427" s="98" t="s">
        <v>631</v>
      </c>
    </row>
    <row r="428" spans="2:11" x14ac:dyDescent="0.25">
      <c r="B428" s="98" t="s">
        <v>883</v>
      </c>
      <c r="C428" s="98" t="s">
        <v>188</v>
      </c>
      <c r="D428" s="98" t="s">
        <v>631</v>
      </c>
      <c r="E428" s="98" t="s">
        <v>21</v>
      </c>
      <c r="F428" s="98" t="s">
        <v>794</v>
      </c>
      <c r="G428" s="98">
        <v>12</v>
      </c>
      <c r="H428" s="98" t="str">
        <f t="shared" si="36"/>
        <v>BSS-TC-23192 TC_OBI_PM1.4_005_CH_Manual PM override_ Total to allowed exception</v>
      </c>
      <c r="I428" s="98" t="s">
        <v>630</v>
      </c>
      <c r="J428" s="98" t="s">
        <v>22</v>
      </c>
      <c r="K428" s="98" t="s">
        <v>631</v>
      </c>
    </row>
    <row r="429" spans="2:11" x14ac:dyDescent="0.25">
      <c r="B429" s="98" t="s">
        <v>883</v>
      </c>
      <c r="C429" s="98" t="s">
        <v>188</v>
      </c>
      <c r="D429" s="98" t="s">
        <v>631</v>
      </c>
      <c r="E429" s="98" t="s">
        <v>23</v>
      </c>
      <c r="F429" s="98" t="s">
        <v>794</v>
      </c>
      <c r="G429" s="98">
        <v>13</v>
      </c>
      <c r="H429" s="98" t="str">
        <f t="shared" si="36"/>
        <v>BSS-TC-23192 TC_OBI_PM1.4_005_CH_Manual PM override_ Total to allowed exception</v>
      </c>
      <c r="I429" s="98" t="s">
        <v>630</v>
      </c>
      <c r="J429" s="98" t="s">
        <v>41</v>
      </c>
      <c r="K429" s="98" t="s">
        <v>631</v>
      </c>
    </row>
    <row r="430" spans="2:11" x14ac:dyDescent="0.25">
      <c r="B430" s="98" t="s">
        <v>883</v>
      </c>
      <c r="C430" s="98" t="s">
        <v>188</v>
      </c>
      <c r="D430" s="98" t="s">
        <v>631</v>
      </c>
      <c r="E430" s="98" t="s">
        <v>76</v>
      </c>
      <c r="F430" s="98" t="s">
        <v>794</v>
      </c>
      <c r="G430" s="98">
        <v>14</v>
      </c>
      <c r="H430" s="98" t="str">
        <f t="shared" si="36"/>
        <v>BSS-TC-23192 TC_OBI_PM1.4_005_CH_Manual PM override_ Total to allowed exception</v>
      </c>
      <c r="I430" s="98" t="s">
        <v>630</v>
      </c>
      <c r="J430" s="98" t="s">
        <v>44</v>
      </c>
      <c r="K430" s="98" t="s">
        <v>631</v>
      </c>
    </row>
    <row r="431" spans="2:11" x14ac:dyDescent="0.25">
      <c r="B431" s="98" t="s">
        <v>883</v>
      </c>
      <c r="C431" s="98" t="s">
        <v>188</v>
      </c>
      <c r="D431" s="98" t="s">
        <v>631</v>
      </c>
      <c r="E431" s="98" t="s">
        <v>25</v>
      </c>
      <c r="F431" s="98" t="s">
        <v>794</v>
      </c>
      <c r="G431" s="98">
        <v>15</v>
      </c>
      <c r="H431" s="98" t="str">
        <f t="shared" si="36"/>
        <v>BSS-TC-23192 TC_OBI_PM1.4_005_CH_Manual PM override_ Total to allowed exception</v>
      </c>
      <c r="I431" s="98" t="s">
        <v>630</v>
      </c>
      <c r="J431" s="98" t="s">
        <v>27</v>
      </c>
      <c r="K431" s="98" t="s">
        <v>631</v>
      </c>
    </row>
    <row r="432" spans="2:11" x14ac:dyDescent="0.25">
      <c r="B432" s="98" t="s">
        <v>883</v>
      </c>
      <c r="C432" s="98" t="s">
        <v>188</v>
      </c>
      <c r="D432" s="98" t="s">
        <v>631</v>
      </c>
      <c r="E432" s="98" t="s">
        <v>45</v>
      </c>
      <c r="F432" s="98" t="s">
        <v>794</v>
      </c>
      <c r="G432" s="98">
        <v>16</v>
      </c>
      <c r="H432" s="98" t="str">
        <f t="shared" si="36"/>
        <v>BSS-TC-23192 TC_OBI_PM1.4_005_CH_Manual PM override_ Total to allowed exception</v>
      </c>
      <c r="I432" s="98" t="s">
        <v>630</v>
      </c>
      <c r="J432" s="98" t="s">
        <v>42</v>
      </c>
      <c r="K432" s="98" t="s">
        <v>631</v>
      </c>
    </row>
    <row r="433" spans="2:11" x14ac:dyDescent="0.25">
      <c r="B433" s="98" t="s">
        <v>883</v>
      </c>
      <c r="C433" s="98" t="s">
        <v>188</v>
      </c>
      <c r="D433" s="98" t="s">
        <v>631</v>
      </c>
      <c r="E433" s="98" t="s">
        <v>568</v>
      </c>
      <c r="F433" s="98" t="s">
        <v>794</v>
      </c>
      <c r="G433" s="98">
        <v>17</v>
      </c>
      <c r="H433" s="98" t="str">
        <f t="shared" si="36"/>
        <v>BSS-TC-23192 TC_OBI_PM1.4_005_CH_Manual PM override_ Total to allowed exception</v>
      </c>
      <c r="I433" s="98" t="s">
        <v>630</v>
      </c>
      <c r="J433" s="98" t="s">
        <v>796</v>
      </c>
      <c r="K433" s="98" t="s">
        <v>631</v>
      </c>
    </row>
    <row r="434" spans="2:11" x14ac:dyDescent="0.25">
      <c r="B434" s="98" t="s">
        <v>884</v>
      </c>
      <c r="C434" s="98" t="s">
        <v>198</v>
      </c>
      <c r="D434" s="98" t="s">
        <v>631</v>
      </c>
      <c r="E434" s="98" t="s">
        <v>797</v>
      </c>
      <c r="F434" s="98" t="s">
        <v>798</v>
      </c>
      <c r="G434" s="98">
        <v>1</v>
      </c>
      <c r="H434" s="98" t="str">
        <f t="shared" ref="H434:H453" si="37">HYPERLINK("http://rms/perspective.req?projectId=233&amp;docId=959423","BSS-TC-23194 TC_OBI_PM1.4_006_CH_Manual PM override_ Same CH Override _current month")</f>
        <v>BSS-TC-23194 TC_OBI_PM1.4_006_CH_Manual PM override_ Same CH Override _current month</v>
      </c>
      <c r="I434" s="98" t="s">
        <v>630</v>
      </c>
      <c r="J434" s="98" t="s">
        <v>631</v>
      </c>
      <c r="K434" s="98" t="s">
        <v>523</v>
      </c>
    </row>
    <row r="435" spans="2:11" x14ac:dyDescent="0.25">
      <c r="B435" s="98" t="s">
        <v>884</v>
      </c>
      <c r="C435" s="98" t="s">
        <v>198</v>
      </c>
      <c r="D435" s="98" t="s">
        <v>631</v>
      </c>
      <c r="E435" s="98" t="s">
        <v>18</v>
      </c>
      <c r="F435" s="98" t="s">
        <v>798</v>
      </c>
      <c r="G435" s="98">
        <v>2</v>
      </c>
      <c r="H435" s="98" t="str">
        <f t="shared" si="37"/>
        <v>BSS-TC-23194 TC_OBI_PM1.4_006_CH_Manual PM override_ Same CH Override _current month</v>
      </c>
      <c r="I435" s="98" t="s">
        <v>630</v>
      </c>
      <c r="J435" s="98" t="s">
        <v>20</v>
      </c>
      <c r="K435" s="98" t="s">
        <v>631</v>
      </c>
    </row>
    <row r="436" spans="2:11" x14ac:dyDescent="0.25">
      <c r="B436" s="98" t="s">
        <v>884</v>
      </c>
      <c r="C436" s="98" t="s">
        <v>198</v>
      </c>
      <c r="D436" s="98" t="s">
        <v>631</v>
      </c>
      <c r="E436" s="98" t="s">
        <v>21</v>
      </c>
      <c r="F436" s="98" t="s">
        <v>798</v>
      </c>
      <c r="G436" s="98">
        <v>3</v>
      </c>
      <c r="H436" s="98" t="str">
        <f t="shared" si="37"/>
        <v>BSS-TC-23194 TC_OBI_PM1.4_006_CH_Manual PM override_ Same CH Override _current month</v>
      </c>
      <c r="I436" s="98" t="s">
        <v>630</v>
      </c>
      <c r="J436" s="98" t="s">
        <v>22</v>
      </c>
      <c r="K436" s="98" t="s">
        <v>631</v>
      </c>
    </row>
    <row r="437" spans="2:11" x14ac:dyDescent="0.25">
      <c r="B437" s="98" t="s">
        <v>884</v>
      </c>
      <c r="C437" s="98" t="s">
        <v>198</v>
      </c>
      <c r="D437" s="98" t="s">
        <v>631</v>
      </c>
      <c r="E437" s="98" t="s">
        <v>155</v>
      </c>
      <c r="F437" s="98" t="s">
        <v>798</v>
      </c>
      <c r="G437" s="98">
        <v>4</v>
      </c>
      <c r="H437" s="98" t="str">
        <f t="shared" si="37"/>
        <v>BSS-TC-23194 TC_OBI_PM1.4_006_CH_Manual PM override_ Same CH Override _current month</v>
      </c>
      <c r="I437" s="98" t="s">
        <v>630</v>
      </c>
      <c r="J437" s="98" t="s">
        <v>156</v>
      </c>
      <c r="K437" s="98" t="s">
        <v>631</v>
      </c>
    </row>
    <row r="438" spans="2:11" x14ac:dyDescent="0.25">
      <c r="B438" s="98" t="s">
        <v>884</v>
      </c>
      <c r="C438" s="98" t="s">
        <v>198</v>
      </c>
      <c r="D438" s="98" t="s">
        <v>631</v>
      </c>
      <c r="E438" s="98" t="s">
        <v>169</v>
      </c>
      <c r="F438" s="98" t="s">
        <v>798</v>
      </c>
      <c r="G438" s="98">
        <v>5</v>
      </c>
      <c r="H438" s="98" t="str">
        <f t="shared" si="37"/>
        <v>BSS-TC-23194 TC_OBI_PM1.4_006_CH_Manual PM override_ Same CH Override _current month</v>
      </c>
      <c r="I438" s="98" t="s">
        <v>630</v>
      </c>
      <c r="J438" s="98" t="s">
        <v>170</v>
      </c>
      <c r="K438" s="98" t="s">
        <v>631</v>
      </c>
    </row>
    <row r="439" spans="2:11" x14ac:dyDescent="0.25">
      <c r="B439" s="98" t="s">
        <v>884</v>
      </c>
      <c r="C439" s="98" t="s">
        <v>198</v>
      </c>
      <c r="D439" s="98" t="s">
        <v>631</v>
      </c>
      <c r="E439" s="98" t="s">
        <v>171</v>
      </c>
      <c r="F439" s="98" t="s">
        <v>798</v>
      </c>
      <c r="G439" s="98">
        <v>6</v>
      </c>
      <c r="H439" s="98" t="str">
        <f t="shared" si="37"/>
        <v>BSS-TC-23194 TC_OBI_PM1.4_006_CH_Manual PM override_ Same CH Override _current month</v>
      </c>
      <c r="I439" s="98" t="s">
        <v>630</v>
      </c>
      <c r="J439" s="98" t="s">
        <v>172</v>
      </c>
      <c r="K439" s="98" t="s">
        <v>631</v>
      </c>
    </row>
    <row r="440" spans="2:11" x14ac:dyDescent="0.25">
      <c r="B440" s="98" t="s">
        <v>884</v>
      </c>
      <c r="C440" s="98" t="s">
        <v>198</v>
      </c>
      <c r="D440" s="98" t="s">
        <v>631</v>
      </c>
      <c r="E440" s="98" t="s">
        <v>174</v>
      </c>
      <c r="F440" s="98" t="s">
        <v>798</v>
      </c>
      <c r="G440" s="98">
        <v>7</v>
      </c>
      <c r="H440" s="98" t="str">
        <f t="shared" si="37"/>
        <v>BSS-TC-23194 TC_OBI_PM1.4_006_CH_Manual PM override_ Same CH Override _current month</v>
      </c>
      <c r="I440" s="98" t="s">
        <v>630</v>
      </c>
      <c r="J440" s="98" t="s">
        <v>175</v>
      </c>
      <c r="K440" s="98" t="s">
        <v>631</v>
      </c>
    </row>
    <row r="441" spans="2:11" x14ac:dyDescent="0.25">
      <c r="B441" s="98" t="s">
        <v>884</v>
      </c>
      <c r="C441" s="98" t="s">
        <v>198</v>
      </c>
      <c r="D441" s="98" t="s">
        <v>631</v>
      </c>
      <c r="E441" s="98" t="s">
        <v>750</v>
      </c>
      <c r="F441" s="98" t="s">
        <v>798</v>
      </c>
      <c r="G441" s="98">
        <v>8</v>
      </c>
      <c r="H441" s="98" t="str">
        <f t="shared" si="37"/>
        <v>BSS-TC-23194 TC_OBI_PM1.4_006_CH_Manual PM override_ Same CH Override _current month</v>
      </c>
      <c r="I441" s="98" t="s">
        <v>630</v>
      </c>
      <c r="J441" s="98" t="s">
        <v>751</v>
      </c>
      <c r="K441" s="98" t="s">
        <v>78</v>
      </c>
    </row>
    <row r="442" spans="2:11" x14ac:dyDescent="0.25">
      <c r="B442" s="98" t="s">
        <v>884</v>
      </c>
      <c r="C442" s="98" t="s">
        <v>198</v>
      </c>
      <c r="D442" s="98" t="s">
        <v>631</v>
      </c>
      <c r="E442" s="98" t="s">
        <v>50</v>
      </c>
      <c r="F442" s="98" t="s">
        <v>798</v>
      </c>
      <c r="G442" s="98">
        <v>9</v>
      </c>
      <c r="H442" s="98" t="str">
        <f t="shared" si="37"/>
        <v>BSS-TC-23194 TC_OBI_PM1.4_006_CH_Manual PM override_ Same CH Override _current month</v>
      </c>
      <c r="I442" s="98" t="s">
        <v>630</v>
      </c>
      <c r="J442" s="98" t="s">
        <v>51</v>
      </c>
      <c r="K442" s="98" t="s">
        <v>631</v>
      </c>
    </row>
    <row r="443" spans="2:11" x14ac:dyDescent="0.25">
      <c r="B443" s="98" t="s">
        <v>884</v>
      </c>
      <c r="C443" s="98" t="s">
        <v>198</v>
      </c>
      <c r="D443" s="98" t="s">
        <v>631</v>
      </c>
      <c r="E443" s="98" t="s">
        <v>731</v>
      </c>
      <c r="F443" s="98" t="s">
        <v>798</v>
      </c>
      <c r="G443" s="98">
        <v>10</v>
      </c>
      <c r="H443" s="98" t="str">
        <f t="shared" si="37"/>
        <v>BSS-TC-23194 TC_OBI_PM1.4_006_CH_Manual PM override_ Same CH Override _current month</v>
      </c>
      <c r="I443" s="98" t="s">
        <v>630</v>
      </c>
      <c r="J443" s="98" t="s">
        <v>732</v>
      </c>
      <c r="K443" s="98" t="s">
        <v>119</v>
      </c>
    </row>
    <row r="444" spans="2:11" x14ac:dyDescent="0.25">
      <c r="B444" s="98" t="s">
        <v>884</v>
      </c>
      <c r="C444" s="98" t="s">
        <v>198</v>
      </c>
      <c r="D444" s="98" t="s">
        <v>631</v>
      </c>
      <c r="E444" s="98" t="s">
        <v>799</v>
      </c>
      <c r="F444" s="98" t="s">
        <v>798</v>
      </c>
      <c r="G444" s="98">
        <v>11</v>
      </c>
      <c r="H444" s="98" t="str">
        <f t="shared" si="37"/>
        <v>BSS-TC-23194 TC_OBI_PM1.4_006_CH_Manual PM override_ Same CH Override _current month</v>
      </c>
      <c r="I444" s="98" t="s">
        <v>630</v>
      </c>
      <c r="J444" s="98" t="s">
        <v>157</v>
      </c>
      <c r="K444" s="98" t="s">
        <v>631</v>
      </c>
    </row>
    <row r="445" spans="2:11" x14ac:dyDescent="0.25">
      <c r="B445" s="98" t="s">
        <v>884</v>
      </c>
      <c r="C445" s="98" t="s">
        <v>198</v>
      </c>
      <c r="D445" s="98" t="s">
        <v>631</v>
      </c>
      <c r="E445" s="98" t="s">
        <v>800</v>
      </c>
      <c r="F445" s="98" t="s">
        <v>798</v>
      </c>
      <c r="G445" s="98">
        <v>12</v>
      </c>
      <c r="H445" s="98" t="str">
        <f t="shared" si="37"/>
        <v>BSS-TC-23194 TC_OBI_PM1.4_006_CH_Manual PM override_ Same CH Override _current month</v>
      </c>
      <c r="I445" s="98" t="s">
        <v>630</v>
      </c>
      <c r="J445" s="98" t="s">
        <v>631</v>
      </c>
      <c r="K445" s="98" t="s">
        <v>159</v>
      </c>
    </row>
    <row r="446" spans="2:11" x14ac:dyDescent="0.25">
      <c r="B446" s="98" t="s">
        <v>884</v>
      </c>
      <c r="C446" s="98" t="s">
        <v>198</v>
      </c>
      <c r="D446" s="98" t="s">
        <v>631</v>
      </c>
      <c r="E446" s="98" t="s">
        <v>18</v>
      </c>
      <c r="F446" s="98" t="s">
        <v>798</v>
      </c>
      <c r="G446" s="98">
        <v>13</v>
      </c>
      <c r="H446" s="98" t="str">
        <f t="shared" si="37"/>
        <v>BSS-TC-23194 TC_OBI_PM1.4_006_CH_Manual PM override_ Same CH Override _current month</v>
      </c>
      <c r="I446" s="98" t="s">
        <v>630</v>
      </c>
      <c r="J446" s="98" t="s">
        <v>20</v>
      </c>
      <c r="K446" s="98" t="s">
        <v>631</v>
      </c>
    </row>
    <row r="447" spans="2:11" x14ac:dyDescent="0.25">
      <c r="B447" s="98" t="s">
        <v>884</v>
      </c>
      <c r="C447" s="98" t="s">
        <v>198</v>
      </c>
      <c r="D447" s="98" t="s">
        <v>631</v>
      </c>
      <c r="E447" s="98" t="s">
        <v>21</v>
      </c>
      <c r="F447" s="98" t="s">
        <v>798</v>
      </c>
      <c r="G447" s="98">
        <v>14</v>
      </c>
      <c r="H447" s="98" t="str">
        <f t="shared" si="37"/>
        <v>BSS-TC-23194 TC_OBI_PM1.4_006_CH_Manual PM override_ Same CH Override _current month</v>
      </c>
      <c r="I447" s="98" t="s">
        <v>630</v>
      </c>
      <c r="J447" s="98" t="s">
        <v>22</v>
      </c>
      <c r="K447" s="98" t="s">
        <v>631</v>
      </c>
    </row>
    <row r="448" spans="2:11" x14ac:dyDescent="0.25">
      <c r="B448" s="98" t="s">
        <v>884</v>
      </c>
      <c r="C448" s="98" t="s">
        <v>198</v>
      </c>
      <c r="D448" s="98" t="s">
        <v>631</v>
      </c>
      <c r="E448" s="98" t="s">
        <v>23</v>
      </c>
      <c r="F448" s="98" t="s">
        <v>798</v>
      </c>
      <c r="G448" s="98">
        <v>15</v>
      </c>
      <c r="H448" s="98" t="str">
        <f t="shared" si="37"/>
        <v>BSS-TC-23194 TC_OBI_PM1.4_006_CH_Manual PM override_ Same CH Override _current month</v>
      </c>
      <c r="I448" s="98" t="s">
        <v>630</v>
      </c>
      <c r="J448" s="98" t="s">
        <v>41</v>
      </c>
      <c r="K448" s="98" t="s">
        <v>631</v>
      </c>
    </row>
    <row r="449" spans="2:11" x14ac:dyDescent="0.25">
      <c r="B449" s="98" t="s">
        <v>884</v>
      </c>
      <c r="C449" s="98" t="s">
        <v>198</v>
      </c>
      <c r="D449" s="98" t="s">
        <v>631</v>
      </c>
      <c r="E449" s="98" t="s">
        <v>76</v>
      </c>
      <c r="F449" s="98" t="s">
        <v>798</v>
      </c>
      <c r="G449" s="98">
        <v>16</v>
      </c>
      <c r="H449" s="98" t="str">
        <f t="shared" si="37"/>
        <v>BSS-TC-23194 TC_OBI_PM1.4_006_CH_Manual PM override_ Same CH Override _current month</v>
      </c>
      <c r="I449" s="98" t="s">
        <v>630</v>
      </c>
      <c r="J449" s="98" t="s">
        <v>44</v>
      </c>
      <c r="K449" s="98" t="s">
        <v>631</v>
      </c>
    </row>
    <row r="450" spans="2:11" x14ac:dyDescent="0.25">
      <c r="B450" s="98" t="s">
        <v>884</v>
      </c>
      <c r="C450" s="98" t="s">
        <v>198</v>
      </c>
      <c r="D450" s="98" t="s">
        <v>631</v>
      </c>
      <c r="E450" s="98" t="s">
        <v>25</v>
      </c>
      <c r="F450" s="98" t="s">
        <v>798</v>
      </c>
      <c r="G450" s="98">
        <v>17</v>
      </c>
      <c r="H450" s="98" t="str">
        <f t="shared" si="37"/>
        <v>BSS-TC-23194 TC_OBI_PM1.4_006_CH_Manual PM override_ Same CH Override _current month</v>
      </c>
      <c r="I450" s="98" t="s">
        <v>630</v>
      </c>
      <c r="J450" s="98" t="s">
        <v>27</v>
      </c>
      <c r="K450" s="98" t="s">
        <v>631</v>
      </c>
    </row>
    <row r="451" spans="2:11" x14ac:dyDescent="0.25">
      <c r="B451" s="98" t="s">
        <v>884</v>
      </c>
      <c r="C451" s="98" t="s">
        <v>198</v>
      </c>
      <c r="D451" s="98" t="s">
        <v>631</v>
      </c>
      <c r="E451" s="98" t="s">
        <v>45</v>
      </c>
      <c r="F451" s="98" t="s">
        <v>798</v>
      </c>
      <c r="G451" s="98">
        <v>18</v>
      </c>
      <c r="H451" s="98" t="str">
        <f t="shared" si="37"/>
        <v>BSS-TC-23194 TC_OBI_PM1.4_006_CH_Manual PM override_ Same CH Override _current month</v>
      </c>
      <c r="I451" s="98" t="s">
        <v>630</v>
      </c>
      <c r="J451" s="98" t="s">
        <v>42</v>
      </c>
      <c r="K451" s="98" t="s">
        <v>631</v>
      </c>
    </row>
    <row r="452" spans="2:11" x14ac:dyDescent="0.25">
      <c r="B452" s="98" t="s">
        <v>884</v>
      </c>
      <c r="C452" s="98" t="s">
        <v>198</v>
      </c>
      <c r="D452" s="98" t="s">
        <v>631</v>
      </c>
      <c r="E452" s="98" t="s">
        <v>164</v>
      </c>
      <c r="F452" s="98" t="s">
        <v>798</v>
      </c>
      <c r="G452" s="98">
        <v>19</v>
      </c>
      <c r="H452" s="98" t="str">
        <f t="shared" si="37"/>
        <v>BSS-TC-23194 TC_OBI_PM1.4_006_CH_Manual PM override_ Same CH Override _current month</v>
      </c>
      <c r="I452" s="98" t="s">
        <v>630</v>
      </c>
      <c r="J452" s="98" t="s">
        <v>195</v>
      </c>
      <c r="K452" s="98" t="s">
        <v>631</v>
      </c>
    </row>
    <row r="453" spans="2:11" x14ac:dyDescent="0.25">
      <c r="B453" s="98" t="s">
        <v>884</v>
      </c>
      <c r="C453" s="98" t="s">
        <v>198</v>
      </c>
      <c r="D453" s="98" t="s">
        <v>631</v>
      </c>
      <c r="E453" s="98" t="s">
        <v>789</v>
      </c>
      <c r="F453" s="98" t="s">
        <v>798</v>
      </c>
      <c r="G453" s="98">
        <v>20</v>
      </c>
      <c r="H453" s="98" t="str">
        <f t="shared" si="37"/>
        <v>BSS-TC-23194 TC_OBI_PM1.4_006_CH_Manual PM override_ Same CH Override _current month</v>
      </c>
      <c r="I453" s="98" t="s">
        <v>630</v>
      </c>
      <c r="J453" s="98" t="s">
        <v>173</v>
      </c>
      <c r="K453" s="98" t="s">
        <v>166</v>
      </c>
    </row>
    <row r="454" spans="2:11" x14ac:dyDescent="0.25">
      <c r="B454" s="98" t="s">
        <v>885</v>
      </c>
      <c r="C454" s="98" t="s">
        <v>204</v>
      </c>
      <c r="D454" s="98" t="s">
        <v>631</v>
      </c>
      <c r="E454" s="98" t="s">
        <v>801</v>
      </c>
      <c r="F454" s="98" t="s">
        <v>524</v>
      </c>
      <c r="G454" s="98">
        <v>1</v>
      </c>
      <c r="H454" s="98" t="str">
        <f t="shared" ref="H454:H463" si="38">HYPERLINK("http://rms/perspective.req?projectId=233&amp;docId=959424","BSS-TC-23195 TC_OBI_PM1.4_007_CH_Manual override_flag 2 ")</f>
        <v xml:space="preserve">BSS-TC-23195 TC_OBI_PM1.4_007_CH_Manual override_flag 2 </v>
      </c>
      <c r="I454" s="98" t="s">
        <v>630</v>
      </c>
      <c r="J454" s="98" t="s">
        <v>631</v>
      </c>
      <c r="K454" s="98" t="s">
        <v>523</v>
      </c>
    </row>
    <row r="455" spans="2:11" x14ac:dyDescent="0.25">
      <c r="B455" s="98" t="s">
        <v>885</v>
      </c>
      <c r="C455" s="98" t="s">
        <v>204</v>
      </c>
      <c r="D455" s="98" t="s">
        <v>631</v>
      </c>
      <c r="E455" s="98" t="s">
        <v>18</v>
      </c>
      <c r="F455" s="98" t="s">
        <v>524</v>
      </c>
      <c r="G455" s="98">
        <v>2</v>
      </c>
      <c r="H455" s="98" t="str">
        <f t="shared" si="38"/>
        <v xml:space="preserve">BSS-TC-23195 TC_OBI_PM1.4_007_CH_Manual override_flag 2 </v>
      </c>
      <c r="I455" s="98" t="s">
        <v>630</v>
      </c>
      <c r="J455" s="98" t="s">
        <v>20</v>
      </c>
      <c r="K455" s="98" t="s">
        <v>631</v>
      </c>
    </row>
    <row r="456" spans="2:11" x14ac:dyDescent="0.25">
      <c r="B456" s="98" t="s">
        <v>885</v>
      </c>
      <c r="C456" s="98" t="s">
        <v>204</v>
      </c>
      <c r="D456" s="98" t="s">
        <v>631</v>
      </c>
      <c r="E456" s="98" t="s">
        <v>21</v>
      </c>
      <c r="F456" s="98" t="s">
        <v>524</v>
      </c>
      <c r="G456" s="98">
        <v>3</v>
      </c>
      <c r="H456" s="98" t="str">
        <f t="shared" si="38"/>
        <v xml:space="preserve">BSS-TC-23195 TC_OBI_PM1.4_007_CH_Manual override_flag 2 </v>
      </c>
      <c r="I456" s="98" t="s">
        <v>630</v>
      </c>
      <c r="J456" s="98" t="s">
        <v>22</v>
      </c>
      <c r="K456" s="98" t="s">
        <v>631</v>
      </c>
    </row>
    <row r="457" spans="2:11" x14ac:dyDescent="0.25">
      <c r="B457" s="98" t="s">
        <v>885</v>
      </c>
      <c r="C457" s="98" t="s">
        <v>204</v>
      </c>
      <c r="D457" s="98" t="s">
        <v>631</v>
      </c>
      <c r="E457" s="98" t="s">
        <v>155</v>
      </c>
      <c r="F457" s="98" t="s">
        <v>524</v>
      </c>
      <c r="G457" s="98">
        <v>4</v>
      </c>
      <c r="H457" s="98" t="str">
        <f t="shared" si="38"/>
        <v xml:space="preserve">BSS-TC-23195 TC_OBI_PM1.4_007_CH_Manual override_flag 2 </v>
      </c>
      <c r="I457" s="98" t="s">
        <v>630</v>
      </c>
      <c r="J457" s="98" t="s">
        <v>156</v>
      </c>
      <c r="K457" s="98" t="s">
        <v>631</v>
      </c>
    </row>
    <row r="458" spans="2:11" x14ac:dyDescent="0.25">
      <c r="B458" s="98" t="s">
        <v>885</v>
      </c>
      <c r="C458" s="98" t="s">
        <v>204</v>
      </c>
      <c r="D458" s="98" t="s">
        <v>631</v>
      </c>
      <c r="E458" s="98" t="s">
        <v>169</v>
      </c>
      <c r="F458" s="98" t="s">
        <v>524</v>
      </c>
      <c r="G458" s="98">
        <v>5</v>
      </c>
      <c r="H458" s="98" t="str">
        <f t="shared" si="38"/>
        <v xml:space="preserve">BSS-TC-23195 TC_OBI_PM1.4_007_CH_Manual override_flag 2 </v>
      </c>
      <c r="I458" s="98" t="s">
        <v>630</v>
      </c>
      <c r="J458" s="98" t="s">
        <v>170</v>
      </c>
      <c r="K458" s="98" t="s">
        <v>631</v>
      </c>
    </row>
    <row r="459" spans="2:11" x14ac:dyDescent="0.25">
      <c r="B459" s="98" t="s">
        <v>885</v>
      </c>
      <c r="C459" s="98" t="s">
        <v>204</v>
      </c>
      <c r="D459" s="98" t="s">
        <v>631</v>
      </c>
      <c r="E459" s="98" t="s">
        <v>171</v>
      </c>
      <c r="F459" s="98" t="s">
        <v>524</v>
      </c>
      <c r="G459" s="98">
        <v>6</v>
      </c>
      <c r="H459" s="98" t="str">
        <f t="shared" si="38"/>
        <v xml:space="preserve">BSS-TC-23195 TC_OBI_PM1.4_007_CH_Manual override_flag 2 </v>
      </c>
      <c r="I459" s="98" t="s">
        <v>630</v>
      </c>
      <c r="J459" s="98" t="s">
        <v>172</v>
      </c>
      <c r="K459" s="98" t="s">
        <v>631</v>
      </c>
    </row>
    <row r="460" spans="2:11" x14ac:dyDescent="0.25">
      <c r="B460" s="98" t="s">
        <v>885</v>
      </c>
      <c r="C460" s="98" t="s">
        <v>204</v>
      </c>
      <c r="D460" s="98" t="s">
        <v>631</v>
      </c>
      <c r="E460" s="98" t="s">
        <v>201</v>
      </c>
      <c r="F460" s="98" t="s">
        <v>524</v>
      </c>
      <c r="G460" s="98">
        <v>7</v>
      </c>
      <c r="H460" s="98" t="str">
        <f t="shared" si="38"/>
        <v xml:space="preserve">BSS-TC-23195 TC_OBI_PM1.4_007_CH_Manual override_flag 2 </v>
      </c>
      <c r="I460" s="98" t="s">
        <v>630</v>
      </c>
      <c r="J460" s="98" t="s">
        <v>163</v>
      </c>
      <c r="K460" s="98" t="s">
        <v>631</v>
      </c>
    </row>
    <row r="461" spans="2:11" x14ac:dyDescent="0.25">
      <c r="B461" s="98" t="s">
        <v>885</v>
      </c>
      <c r="C461" s="98" t="s">
        <v>204</v>
      </c>
      <c r="D461" s="98" t="s">
        <v>631</v>
      </c>
      <c r="E461" s="98" t="s">
        <v>208</v>
      </c>
      <c r="F461" s="98" t="s">
        <v>524</v>
      </c>
      <c r="G461" s="98">
        <v>8</v>
      </c>
      <c r="H461" s="98" t="str">
        <f t="shared" si="38"/>
        <v xml:space="preserve">BSS-TC-23195 TC_OBI_PM1.4_007_CH_Manual override_flag 2 </v>
      </c>
      <c r="I461" s="98" t="s">
        <v>630</v>
      </c>
      <c r="J461" s="98" t="s">
        <v>528</v>
      </c>
      <c r="K461" s="98" t="s">
        <v>209</v>
      </c>
    </row>
    <row r="462" spans="2:11" x14ac:dyDescent="0.25">
      <c r="B462" s="98" t="s">
        <v>885</v>
      </c>
      <c r="C462" s="98" t="s">
        <v>204</v>
      </c>
      <c r="D462" s="98" t="s">
        <v>631</v>
      </c>
      <c r="E462" s="98" t="s">
        <v>211</v>
      </c>
      <c r="F462" s="98" t="s">
        <v>524</v>
      </c>
      <c r="G462" s="98">
        <v>9</v>
      </c>
      <c r="H462" s="98" t="str">
        <f t="shared" si="38"/>
        <v xml:space="preserve">BSS-TC-23195 TC_OBI_PM1.4_007_CH_Manual override_flag 2 </v>
      </c>
      <c r="I462" s="98" t="s">
        <v>630</v>
      </c>
      <c r="J462" s="98" t="s">
        <v>526</v>
      </c>
      <c r="K462" s="98" t="s">
        <v>212</v>
      </c>
    </row>
    <row r="463" spans="2:11" x14ac:dyDescent="0.25">
      <c r="B463" s="98" t="s">
        <v>885</v>
      </c>
      <c r="C463" s="98" t="s">
        <v>204</v>
      </c>
      <c r="D463" s="98" t="s">
        <v>631</v>
      </c>
      <c r="E463" s="98" t="s">
        <v>202</v>
      </c>
      <c r="F463" s="98" t="s">
        <v>524</v>
      </c>
      <c r="G463" s="98">
        <v>10</v>
      </c>
      <c r="H463" s="98" t="str">
        <f t="shared" si="38"/>
        <v xml:space="preserve">BSS-TC-23195 TC_OBI_PM1.4_007_CH_Manual override_flag 2 </v>
      </c>
      <c r="I463" s="98" t="s">
        <v>630</v>
      </c>
      <c r="J463" s="98" t="s">
        <v>802</v>
      </c>
      <c r="K463" s="98" t="s">
        <v>203</v>
      </c>
    </row>
    <row r="464" spans="2:11" x14ac:dyDescent="0.25">
      <c r="B464" s="98" t="s">
        <v>886</v>
      </c>
      <c r="C464" s="98" t="s">
        <v>206</v>
      </c>
      <c r="D464" s="98" t="s">
        <v>631</v>
      </c>
      <c r="E464" s="98" t="s">
        <v>803</v>
      </c>
      <c r="F464" s="98" t="s">
        <v>525</v>
      </c>
      <c r="G464" s="98">
        <v>1</v>
      </c>
      <c r="H464" s="98" t="str">
        <f t="shared" ref="H464:H473" si="39">HYPERLINK("http://rms/perspective.req?projectId=233&amp;docId=959425","BSS-TC-23196 TC_OBI_PM1.4_008_CH_Manual override_flag 3")</f>
        <v>BSS-TC-23196 TC_OBI_PM1.4_008_CH_Manual override_flag 3</v>
      </c>
      <c r="I464" s="98" t="s">
        <v>630</v>
      </c>
      <c r="J464" s="98" t="s">
        <v>631</v>
      </c>
      <c r="K464" s="98" t="s">
        <v>200</v>
      </c>
    </row>
    <row r="465" spans="2:11" x14ac:dyDescent="0.25">
      <c r="B465" s="98" t="s">
        <v>886</v>
      </c>
      <c r="C465" s="98" t="s">
        <v>206</v>
      </c>
      <c r="D465" s="98" t="s">
        <v>631</v>
      </c>
      <c r="E465" s="98" t="s">
        <v>18</v>
      </c>
      <c r="F465" s="98" t="s">
        <v>525</v>
      </c>
      <c r="G465" s="98">
        <v>2</v>
      </c>
      <c r="H465" s="98" t="str">
        <f t="shared" si="39"/>
        <v>BSS-TC-23196 TC_OBI_PM1.4_008_CH_Manual override_flag 3</v>
      </c>
      <c r="I465" s="98" t="s">
        <v>630</v>
      </c>
      <c r="J465" s="98" t="s">
        <v>20</v>
      </c>
      <c r="K465" s="98" t="s">
        <v>631</v>
      </c>
    </row>
    <row r="466" spans="2:11" x14ac:dyDescent="0.25">
      <c r="B466" s="98" t="s">
        <v>886</v>
      </c>
      <c r="C466" s="98" t="s">
        <v>206</v>
      </c>
      <c r="D466" s="98" t="s">
        <v>631</v>
      </c>
      <c r="E466" s="98" t="s">
        <v>21</v>
      </c>
      <c r="F466" s="98" t="s">
        <v>525</v>
      </c>
      <c r="G466" s="98">
        <v>3</v>
      </c>
      <c r="H466" s="98" t="str">
        <f t="shared" si="39"/>
        <v>BSS-TC-23196 TC_OBI_PM1.4_008_CH_Manual override_flag 3</v>
      </c>
      <c r="I466" s="98" t="s">
        <v>630</v>
      </c>
      <c r="J466" s="98" t="s">
        <v>22</v>
      </c>
      <c r="K466" s="98" t="s">
        <v>631</v>
      </c>
    </row>
    <row r="467" spans="2:11" x14ac:dyDescent="0.25">
      <c r="B467" s="98" t="s">
        <v>886</v>
      </c>
      <c r="C467" s="98" t="s">
        <v>206</v>
      </c>
      <c r="D467" s="98" t="s">
        <v>631</v>
      </c>
      <c r="E467" s="98" t="s">
        <v>155</v>
      </c>
      <c r="F467" s="98" t="s">
        <v>525</v>
      </c>
      <c r="G467" s="98">
        <v>4</v>
      </c>
      <c r="H467" s="98" t="str">
        <f t="shared" si="39"/>
        <v>BSS-TC-23196 TC_OBI_PM1.4_008_CH_Manual override_flag 3</v>
      </c>
      <c r="I467" s="98" t="s">
        <v>630</v>
      </c>
      <c r="J467" s="98" t="s">
        <v>156</v>
      </c>
      <c r="K467" s="98" t="s">
        <v>631</v>
      </c>
    </row>
    <row r="468" spans="2:11" x14ac:dyDescent="0.25">
      <c r="B468" s="98" t="s">
        <v>886</v>
      </c>
      <c r="C468" s="98" t="s">
        <v>206</v>
      </c>
      <c r="D468" s="98" t="s">
        <v>631</v>
      </c>
      <c r="E468" s="98" t="s">
        <v>169</v>
      </c>
      <c r="F468" s="98" t="s">
        <v>525</v>
      </c>
      <c r="G468" s="98">
        <v>5</v>
      </c>
      <c r="H468" s="98" t="str">
        <f t="shared" si="39"/>
        <v>BSS-TC-23196 TC_OBI_PM1.4_008_CH_Manual override_flag 3</v>
      </c>
      <c r="I468" s="98" t="s">
        <v>630</v>
      </c>
      <c r="J468" s="98" t="s">
        <v>170</v>
      </c>
      <c r="K468" s="98" t="s">
        <v>631</v>
      </c>
    </row>
    <row r="469" spans="2:11" x14ac:dyDescent="0.25">
      <c r="B469" s="98" t="s">
        <v>886</v>
      </c>
      <c r="C469" s="98" t="s">
        <v>206</v>
      </c>
      <c r="D469" s="98" t="s">
        <v>631</v>
      </c>
      <c r="E469" s="98" t="s">
        <v>171</v>
      </c>
      <c r="F469" s="98" t="s">
        <v>525</v>
      </c>
      <c r="G469" s="98">
        <v>6</v>
      </c>
      <c r="H469" s="98" t="str">
        <f t="shared" si="39"/>
        <v>BSS-TC-23196 TC_OBI_PM1.4_008_CH_Manual override_flag 3</v>
      </c>
      <c r="I469" s="98" t="s">
        <v>630</v>
      </c>
      <c r="J469" s="98" t="s">
        <v>172</v>
      </c>
      <c r="K469" s="98" t="s">
        <v>631</v>
      </c>
    </row>
    <row r="470" spans="2:11" x14ac:dyDescent="0.25">
      <c r="B470" s="98" t="s">
        <v>886</v>
      </c>
      <c r="C470" s="98" t="s">
        <v>206</v>
      </c>
      <c r="D470" s="98" t="s">
        <v>631</v>
      </c>
      <c r="E470" s="98" t="s">
        <v>201</v>
      </c>
      <c r="F470" s="98" t="s">
        <v>525</v>
      </c>
      <c r="G470" s="98">
        <v>7</v>
      </c>
      <c r="H470" s="98" t="str">
        <f t="shared" si="39"/>
        <v>BSS-TC-23196 TC_OBI_PM1.4_008_CH_Manual override_flag 3</v>
      </c>
      <c r="I470" s="98" t="s">
        <v>630</v>
      </c>
      <c r="J470" s="98" t="s">
        <v>163</v>
      </c>
      <c r="K470" s="98" t="s">
        <v>631</v>
      </c>
    </row>
    <row r="471" spans="2:11" x14ac:dyDescent="0.25">
      <c r="B471" s="98" t="s">
        <v>886</v>
      </c>
      <c r="C471" s="98" t="s">
        <v>206</v>
      </c>
      <c r="D471" s="98" t="s">
        <v>631</v>
      </c>
      <c r="E471" s="98" t="s">
        <v>208</v>
      </c>
      <c r="F471" s="98" t="s">
        <v>525</v>
      </c>
      <c r="G471" s="98">
        <v>8</v>
      </c>
      <c r="H471" s="98" t="str">
        <f t="shared" si="39"/>
        <v>BSS-TC-23196 TC_OBI_PM1.4_008_CH_Manual override_flag 3</v>
      </c>
      <c r="I471" s="98" t="s">
        <v>630</v>
      </c>
      <c r="J471" s="98" t="s">
        <v>210</v>
      </c>
      <c r="K471" s="98" t="s">
        <v>209</v>
      </c>
    </row>
    <row r="472" spans="2:11" x14ac:dyDescent="0.25">
      <c r="B472" s="98" t="s">
        <v>886</v>
      </c>
      <c r="C472" s="98" t="s">
        <v>206</v>
      </c>
      <c r="D472" s="98" t="s">
        <v>631</v>
      </c>
      <c r="E472" s="98" t="s">
        <v>211</v>
      </c>
      <c r="F472" s="98" t="s">
        <v>525</v>
      </c>
      <c r="G472" s="98">
        <v>9</v>
      </c>
      <c r="H472" s="98" t="str">
        <f t="shared" si="39"/>
        <v>BSS-TC-23196 TC_OBI_PM1.4_008_CH_Manual override_flag 3</v>
      </c>
      <c r="I472" s="98" t="s">
        <v>630</v>
      </c>
      <c r="J472" s="98" t="s">
        <v>526</v>
      </c>
      <c r="K472" s="98" t="s">
        <v>212</v>
      </c>
    </row>
    <row r="473" spans="2:11" x14ac:dyDescent="0.25">
      <c r="B473" s="98" t="s">
        <v>886</v>
      </c>
      <c r="C473" s="98" t="s">
        <v>206</v>
      </c>
      <c r="D473" s="98" t="s">
        <v>631</v>
      </c>
      <c r="E473" s="98" t="s">
        <v>202</v>
      </c>
      <c r="F473" s="98" t="s">
        <v>525</v>
      </c>
      <c r="G473" s="98">
        <v>10</v>
      </c>
      <c r="H473" s="98" t="str">
        <f t="shared" si="39"/>
        <v>BSS-TC-23196 TC_OBI_PM1.4_008_CH_Manual override_flag 3</v>
      </c>
      <c r="I473" s="98" t="s">
        <v>630</v>
      </c>
      <c r="J473" s="98" t="s">
        <v>804</v>
      </c>
      <c r="K473" s="98" t="s">
        <v>203</v>
      </c>
    </row>
    <row r="474" spans="2:11" x14ac:dyDescent="0.25">
      <c r="B474" s="98" t="s">
        <v>887</v>
      </c>
      <c r="C474" s="98" t="s">
        <v>398</v>
      </c>
      <c r="D474" s="98" t="s">
        <v>631</v>
      </c>
      <c r="E474" s="98" t="s">
        <v>805</v>
      </c>
      <c r="F474" s="98" t="s">
        <v>399</v>
      </c>
      <c r="G474" s="98">
        <v>1</v>
      </c>
      <c r="H474" s="98" t="str">
        <f t="shared" ref="H474:H483" si="40">HYPERLINK("http://rms/perspective.req?projectId=233&amp;docId=959406","BSS-TC-23178 TC_OBI_003_CR_109_PM1.4_Exclusion_Condition_3")</f>
        <v>BSS-TC-23178 TC_OBI_003_CR_109_PM1.4_Exclusion_Condition_3</v>
      </c>
      <c r="I474" s="98" t="s">
        <v>630</v>
      </c>
      <c r="J474" s="98" t="s">
        <v>80</v>
      </c>
      <c r="K474" s="98" t="s">
        <v>369</v>
      </c>
    </row>
    <row r="475" spans="2:11" x14ac:dyDescent="0.25">
      <c r="B475" s="98" t="s">
        <v>887</v>
      </c>
      <c r="C475" s="98" t="s">
        <v>398</v>
      </c>
      <c r="D475" s="98" t="s">
        <v>631</v>
      </c>
      <c r="E475" s="98" t="s">
        <v>370</v>
      </c>
      <c r="F475" s="98" t="s">
        <v>399</v>
      </c>
      <c r="G475" s="98">
        <v>2</v>
      </c>
      <c r="H475" s="98" t="str">
        <f t="shared" si="40"/>
        <v>BSS-TC-23178 TC_OBI_003_CR_109_PM1.4_Exclusion_Condition_3</v>
      </c>
      <c r="I475" s="98" t="s">
        <v>630</v>
      </c>
      <c r="J475" s="98" t="s">
        <v>156</v>
      </c>
      <c r="K475" s="98" t="s">
        <v>631</v>
      </c>
    </row>
    <row r="476" spans="2:11" x14ac:dyDescent="0.25">
      <c r="B476" s="98" t="s">
        <v>887</v>
      </c>
      <c r="C476" s="98" t="s">
        <v>398</v>
      </c>
      <c r="D476" s="98" t="s">
        <v>631</v>
      </c>
      <c r="E476" s="98" t="s">
        <v>388</v>
      </c>
      <c r="F476" s="98" t="s">
        <v>399</v>
      </c>
      <c r="G476" s="98">
        <v>3</v>
      </c>
      <c r="H476" s="98" t="str">
        <f t="shared" si="40"/>
        <v>BSS-TC-23178 TC_OBI_003_CR_109_PM1.4_Exclusion_Condition_3</v>
      </c>
      <c r="I476" s="98" t="s">
        <v>630</v>
      </c>
      <c r="J476" s="98" t="s">
        <v>389</v>
      </c>
      <c r="K476" s="98" t="s">
        <v>631</v>
      </c>
    </row>
    <row r="477" spans="2:11" x14ac:dyDescent="0.25">
      <c r="B477" s="98" t="s">
        <v>887</v>
      </c>
      <c r="C477" s="98" t="s">
        <v>398</v>
      </c>
      <c r="D477" s="98" t="s">
        <v>631</v>
      </c>
      <c r="E477" s="98" t="s">
        <v>390</v>
      </c>
      <c r="F477" s="98" t="s">
        <v>399</v>
      </c>
      <c r="G477" s="98">
        <v>4</v>
      </c>
      <c r="H477" s="98" t="str">
        <f t="shared" si="40"/>
        <v>BSS-TC-23178 TC_OBI_003_CR_109_PM1.4_Exclusion_Condition_3</v>
      </c>
      <c r="I477" s="98" t="s">
        <v>630</v>
      </c>
      <c r="J477" s="98" t="s">
        <v>391</v>
      </c>
      <c r="K477" s="98" t="s">
        <v>631</v>
      </c>
    </row>
    <row r="478" spans="2:11" x14ac:dyDescent="0.25">
      <c r="B478" s="98" t="s">
        <v>887</v>
      </c>
      <c r="C478" s="98" t="s">
        <v>398</v>
      </c>
      <c r="D478" s="98" t="s">
        <v>631</v>
      </c>
      <c r="E478" s="98" t="s">
        <v>392</v>
      </c>
      <c r="F478" s="98" t="s">
        <v>399</v>
      </c>
      <c r="G478" s="98">
        <v>5</v>
      </c>
      <c r="H478" s="98" t="str">
        <f t="shared" si="40"/>
        <v>BSS-TC-23178 TC_OBI_003_CR_109_PM1.4_Exclusion_Condition_3</v>
      </c>
      <c r="I478" s="98" t="s">
        <v>630</v>
      </c>
      <c r="J478" s="98" t="s">
        <v>394</v>
      </c>
      <c r="K478" s="98" t="s">
        <v>393</v>
      </c>
    </row>
    <row r="479" spans="2:11" x14ac:dyDescent="0.25">
      <c r="B479" s="98" t="s">
        <v>887</v>
      </c>
      <c r="C479" s="98" t="s">
        <v>398</v>
      </c>
      <c r="D479" s="98" t="s">
        <v>631</v>
      </c>
      <c r="E479" s="98" t="s">
        <v>377</v>
      </c>
      <c r="F479" s="98" t="s">
        <v>399</v>
      </c>
      <c r="G479" s="98">
        <v>6</v>
      </c>
      <c r="H479" s="98" t="str">
        <f t="shared" si="40"/>
        <v>BSS-TC-23178 TC_OBI_003_CR_109_PM1.4_Exclusion_Condition_3</v>
      </c>
      <c r="I479" s="98" t="s">
        <v>630</v>
      </c>
      <c r="J479" s="98" t="s">
        <v>396</v>
      </c>
      <c r="K479" s="98" t="s">
        <v>395</v>
      </c>
    </row>
    <row r="480" spans="2:11" x14ac:dyDescent="0.25">
      <c r="B480" s="98" t="s">
        <v>887</v>
      </c>
      <c r="C480" s="98" t="s">
        <v>398</v>
      </c>
      <c r="D480" s="98" t="s">
        <v>631</v>
      </c>
      <c r="E480" s="98" t="s">
        <v>742</v>
      </c>
      <c r="F480" s="98" t="s">
        <v>399</v>
      </c>
      <c r="G480" s="98">
        <v>7</v>
      </c>
      <c r="H480" s="98" t="str">
        <f t="shared" si="40"/>
        <v>BSS-TC-23178 TC_OBI_003_CR_109_PM1.4_Exclusion_Condition_3</v>
      </c>
      <c r="I480" s="98" t="s">
        <v>630</v>
      </c>
      <c r="J480" s="98" t="s">
        <v>381</v>
      </c>
      <c r="K480" s="98" t="s">
        <v>380</v>
      </c>
    </row>
    <row r="481" spans="2:11" x14ac:dyDescent="0.25">
      <c r="B481" s="98" t="s">
        <v>887</v>
      </c>
      <c r="C481" s="98" t="s">
        <v>398</v>
      </c>
      <c r="D481" s="98" t="s">
        <v>631</v>
      </c>
      <c r="E481" s="98" t="s">
        <v>382</v>
      </c>
      <c r="F481" s="98" t="s">
        <v>399</v>
      </c>
      <c r="G481" s="98">
        <v>8</v>
      </c>
      <c r="H481" s="98" t="str">
        <f t="shared" si="40"/>
        <v>BSS-TC-23178 TC_OBI_003_CR_109_PM1.4_Exclusion_Condition_3</v>
      </c>
      <c r="I481" s="98" t="s">
        <v>630</v>
      </c>
      <c r="J481" s="98" t="s">
        <v>383</v>
      </c>
      <c r="K481" s="98" t="s">
        <v>631</v>
      </c>
    </row>
    <row r="482" spans="2:11" x14ac:dyDescent="0.25">
      <c r="B482" s="98" t="s">
        <v>887</v>
      </c>
      <c r="C482" s="98" t="s">
        <v>398</v>
      </c>
      <c r="D482" s="98" t="s">
        <v>631</v>
      </c>
      <c r="E482" s="98" t="s">
        <v>384</v>
      </c>
      <c r="F482" s="98" t="s">
        <v>399</v>
      </c>
      <c r="G482" s="98">
        <v>9</v>
      </c>
      <c r="H482" s="98" t="str">
        <f t="shared" si="40"/>
        <v>BSS-TC-23178 TC_OBI_003_CR_109_PM1.4_Exclusion_Condition_3</v>
      </c>
      <c r="I482" s="98" t="s">
        <v>630</v>
      </c>
      <c r="J482" s="98" t="s">
        <v>397</v>
      </c>
      <c r="K482" s="98" t="s">
        <v>631</v>
      </c>
    </row>
    <row r="483" spans="2:11" x14ac:dyDescent="0.25">
      <c r="B483" s="98" t="s">
        <v>887</v>
      </c>
      <c r="C483" s="98" t="s">
        <v>398</v>
      </c>
      <c r="D483" s="98" t="s">
        <v>631</v>
      </c>
      <c r="E483" s="98" t="s">
        <v>806</v>
      </c>
      <c r="F483" s="98" t="s">
        <v>399</v>
      </c>
      <c r="G483" s="98">
        <v>10</v>
      </c>
      <c r="H483" s="98" t="str">
        <f t="shared" si="40"/>
        <v>BSS-TC-23178 TC_OBI_003_CR_109_PM1.4_Exclusion_Condition_3</v>
      </c>
      <c r="I483" s="98" t="s">
        <v>630</v>
      </c>
      <c r="J483" s="98" t="s">
        <v>381</v>
      </c>
      <c r="K483" s="98" t="s">
        <v>380</v>
      </c>
    </row>
    <row r="484" spans="2:11" x14ac:dyDescent="0.25">
      <c r="B484" s="98" t="s">
        <v>888</v>
      </c>
      <c r="C484" s="98" t="s">
        <v>401</v>
      </c>
      <c r="D484" s="98" t="s">
        <v>631</v>
      </c>
      <c r="E484" s="98" t="s">
        <v>403</v>
      </c>
      <c r="F484" s="98" t="s">
        <v>807</v>
      </c>
      <c r="G484" s="98">
        <v>1</v>
      </c>
      <c r="H484" s="98" t="str">
        <f t="shared" ref="H484:H494" si="41">HYPERLINK("http://rms/perspective.req?projectId=233&amp;docId=959407","BSS-TC-23179 TC_OBI_004_CR109_PM1.4_Exclusion_Condition_4")</f>
        <v>BSS-TC-23179 TC_OBI_004_CR109_PM1.4_Exclusion_Condition_4</v>
      </c>
      <c r="I484" s="98" t="s">
        <v>630</v>
      </c>
      <c r="J484" s="98" t="s">
        <v>80</v>
      </c>
      <c r="K484" s="98" t="s">
        <v>326</v>
      </c>
    </row>
    <row r="485" spans="2:11" x14ac:dyDescent="0.25">
      <c r="B485" s="98" t="s">
        <v>888</v>
      </c>
      <c r="C485" s="98" t="s">
        <v>401</v>
      </c>
      <c r="D485" s="98" t="s">
        <v>631</v>
      </c>
      <c r="E485" s="98" t="s">
        <v>404</v>
      </c>
      <c r="F485" s="98" t="s">
        <v>807</v>
      </c>
      <c r="G485" s="98">
        <v>2</v>
      </c>
      <c r="H485" s="98" t="str">
        <f t="shared" si="41"/>
        <v>BSS-TC-23179 TC_OBI_004_CR109_PM1.4_Exclusion_Condition_4</v>
      </c>
      <c r="I485" s="98" t="s">
        <v>630</v>
      </c>
      <c r="J485" s="98" t="s">
        <v>80</v>
      </c>
      <c r="K485" s="98" t="s">
        <v>326</v>
      </c>
    </row>
    <row r="486" spans="2:11" x14ac:dyDescent="0.25">
      <c r="B486" s="98" t="s">
        <v>888</v>
      </c>
      <c r="C486" s="98" t="s">
        <v>401</v>
      </c>
      <c r="D486" s="98" t="s">
        <v>631</v>
      </c>
      <c r="E486" s="98" t="s">
        <v>370</v>
      </c>
      <c r="F486" s="98" t="s">
        <v>807</v>
      </c>
      <c r="G486" s="98">
        <v>3</v>
      </c>
      <c r="H486" s="98" t="str">
        <f t="shared" si="41"/>
        <v>BSS-TC-23179 TC_OBI_004_CR109_PM1.4_Exclusion_Condition_4</v>
      </c>
      <c r="I486" s="98" t="s">
        <v>630</v>
      </c>
      <c r="J486" s="98" t="s">
        <v>156</v>
      </c>
      <c r="K486" s="98" t="s">
        <v>631</v>
      </c>
    </row>
    <row r="487" spans="2:11" x14ac:dyDescent="0.25">
      <c r="B487" s="98" t="s">
        <v>888</v>
      </c>
      <c r="C487" s="98" t="s">
        <v>401</v>
      </c>
      <c r="D487" s="98" t="s">
        <v>631</v>
      </c>
      <c r="E487" s="98" t="s">
        <v>405</v>
      </c>
      <c r="F487" s="98" t="s">
        <v>807</v>
      </c>
      <c r="G487" s="98">
        <v>4</v>
      </c>
      <c r="H487" s="98" t="str">
        <f t="shared" si="41"/>
        <v>BSS-TC-23179 TC_OBI_004_CR109_PM1.4_Exclusion_Condition_4</v>
      </c>
      <c r="I487" s="98" t="s">
        <v>630</v>
      </c>
      <c r="J487" s="98" t="s">
        <v>389</v>
      </c>
      <c r="K487" s="98" t="s">
        <v>631</v>
      </c>
    </row>
    <row r="488" spans="2:11" x14ac:dyDescent="0.25">
      <c r="B488" s="98" t="s">
        <v>888</v>
      </c>
      <c r="C488" s="98" t="s">
        <v>401</v>
      </c>
      <c r="D488" s="98" t="s">
        <v>631</v>
      </c>
      <c r="E488" s="98" t="s">
        <v>373</v>
      </c>
      <c r="F488" s="98" t="s">
        <v>807</v>
      </c>
      <c r="G488" s="98">
        <v>5</v>
      </c>
      <c r="H488" s="98" t="str">
        <f t="shared" si="41"/>
        <v>BSS-TC-23179 TC_OBI_004_CR109_PM1.4_Exclusion_Condition_4</v>
      </c>
      <c r="I488" s="98" t="s">
        <v>630</v>
      </c>
      <c r="J488" s="98" t="s">
        <v>374</v>
      </c>
      <c r="K488" s="98" t="s">
        <v>631</v>
      </c>
    </row>
    <row r="489" spans="2:11" x14ac:dyDescent="0.25">
      <c r="B489" s="98" t="s">
        <v>888</v>
      </c>
      <c r="C489" s="98" t="s">
        <v>401</v>
      </c>
      <c r="D489" s="98" t="s">
        <v>631</v>
      </c>
      <c r="E489" s="98" t="s">
        <v>406</v>
      </c>
      <c r="F489" s="98" t="s">
        <v>807</v>
      </c>
      <c r="G489" s="98">
        <v>6</v>
      </c>
      <c r="H489" s="98" t="str">
        <f t="shared" si="41"/>
        <v>BSS-TC-23179 TC_OBI_004_CR109_PM1.4_Exclusion_Condition_4</v>
      </c>
      <c r="I489" s="98" t="s">
        <v>630</v>
      </c>
      <c r="J489" s="98" t="s">
        <v>284</v>
      </c>
      <c r="K489" s="98" t="s">
        <v>376</v>
      </c>
    </row>
    <row r="490" spans="2:11" x14ac:dyDescent="0.25">
      <c r="B490" s="98" t="s">
        <v>888</v>
      </c>
      <c r="C490" s="98" t="s">
        <v>401</v>
      </c>
      <c r="D490" s="98" t="s">
        <v>631</v>
      </c>
      <c r="E490" s="98" t="s">
        <v>377</v>
      </c>
      <c r="F490" s="98" t="s">
        <v>807</v>
      </c>
      <c r="G490" s="98">
        <v>7</v>
      </c>
      <c r="H490" s="98" t="str">
        <f t="shared" si="41"/>
        <v>BSS-TC-23179 TC_OBI_004_CR109_PM1.4_Exclusion_Condition_4</v>
      </c>
      <c r="I490" s="98" t="s">
        <v>630</v>
      </c>
      <c r="J490" s="98" t="s">
        <v>379</v>
      </c>
      <c r="K490" s="98" t="s">
        <v>378</v>
      </c>
    </row>
    <row r="491" spans="2:11" x14ac:dyDescent="0.25">
      <c r="B491" s="98" t="s">
        <v>888</v>
      </c>
      <c r="C491" s="98" t="s">
        <v>401</v>
      </c>
      <c r="D491" s="98" t="s">
        <v>631</v>
      </c>
      <c r="E491" s="98" t="s">
        <v>742</v>
      </c>
      <c r="F491" s="98" t="s">
        <v>807</v>
      </c>
      <c r="G491" s="98">
        <v>8</v>
      </c>
      <c r="H491" s="98" t="str">
        <f t="shared" si="41"/>
        <v>BSS-TC-23179 TC_OBI_004_CR109_PM1.4_Exclusion_Condition_4</v>
      </c>
      <c r="I491" s="98" t="s">
        <v>630</v>
      </c>
      <c r="J491" s="98" t="s">
        <v>381</v>
      </c>
      <c r="K491" s="98" t="s">
        <v>380</v>
      </c>
    </row>
    <row r="492" spans="2:11" x14ac:dyDescent="0.25">
      <c r="B492" s="98" t="s">
        <v>888</v>
      </c>
      <c r="C492" s="98" t="s">
        <v>401</v>
      </c>
      <c r="D492" s="98" t="s">
        <v>631</v>
      </c>
      <c r="E492" s="98" t="s">
        <v>407</v>
      </c>
      <c r="F492" s="98" t="s">
        <v>807</v>
      </c>
      <c r="G492" s="98">
        <v>9</v>
      </c>
      <c r="H492" s="98" t="str">
        <f t="shared" si="41"/>
        <v>BSS-TC-23179 TC_OBI_004_CR109_PM1.4_Exclusion_Condition_4</v>
      </c>
      <c r="I492" s="98" t="s">
        <v>630</v>
      </c>
      <c r="J492" s="98" t="s">
        <v>383</v>
      </c>
      <c r="K492" s="98" t="s">
        <v>631</v>
      </c>
    </row>
    <row r="493" spans="2:11" x14ac:dyDescent="0.25">
      <c r="B493" s="98" t="s">
        <v>888</v>
      </c>
      <c r="C493" s="98" t="s">
        <v>401</v>
      </c>
      <c r="D493" s="98" t="s">
        <v>631</v>
      </c>
      <c r="E493" s="98" t="s">
        <v>408</v>
      </c>
      <c r="F493" s="98" t="s">
        <v>807</v>
      </c>
      <c r="G493" s="98">
        <v>10</v>
      </c>
      <c r="H493" s="98" t="str">
        <f t="shared" si="41"/>
        <v>BSS-TC-23179 TC_OBI_004_CR109_PM1.4_Exclusion_Condition_4</v>
      </c>
      <c r="I493" s="98" t="s">
        <v>630</v>
      </c>
      <c r="J493" s="98" t="s">
        <v>409</v>
      </c>
      <c r="K493" s="98" t="s">
        <v>631</v>
      </c>
    </row>
    <row r="494" spans="2:11" x14ac:dyDescent="0.25">
      <c r="B494" s="98" t="s">
        <v>888</v>
      </c>
      <c r="C494" s="98" t="s">
        <v>401</v>
      </c>
      <c r="D494" s="98" t="s">
        <v>631</v>
      </c>
      <c r="E494" s="98" t="s">
        <v>808</v>
      </c>
      <c r="F494" s="98" t="s">
        <v>807</v>
      </c>
      <c r="G494" s="98">
        <v>11</v>
      </c>
      <c r="H494" s="98" t="str">
        <f t="shared" si="41"/>
        <v>BSS-TC-23179 TC_OBI_004_CR109_PM1.4_Exclusion_Condition_4</v>
      </c>
      <c r="I494" s="98" t="s">
        <v>630</v>
      </c>
      <c r="J494" s="98" t="s">
        <v>381</v>
      </c>
      <c r="K494" s="98" t="s">
        <v>380</v>
      </c>
    </row>
    <row r="495" spans="2:11" x14ac:dyDescent="0.25">
      <c r="B495" s="98" t="s">
        <v>889</v>
      </c>
      <c r="C495" s="98" t="s">
        <v>365</v>
      </c>
      <c r="D495" s="98" t="s">
        <v>631</v>
      </c>
      <c r="E495" s="98" t="s">
        <v>368</v>
      </c>
      <c r="F495" s="98" t="s">
        <v>367</v>
      </c>
      <c r="G495" s="98">
        <v>1</v>
      </c>
      <c r="H495" s="98" t="str">
        <f t="shared" ref="H495:H504" si="42">HYPERLINK("http://rms/perspective.req?projectId=233&amp;docId=959404","BSS-TC-23176 TC_OBI_001_CR109_PM1.4_Exclusion_Condition_1")</f>
        <v>BSS-TC-23176 TC_OBI_001_CR109_PM1.4_Exclusion_Condition_1</v>
      </c>
      <c r="I495" s="98" t="s">
        <v>630</v>
      </c>
      <c r="J495" s="98" t="s">
        <v>80</v>
      </c>
      <c r="K495" s="98" t="s">
        <v>369</v>
      </c>
    </row>
    <row r="496" spans="2:11" x14ac:dyDescent="0.25">
      <c r="B496" s="98" t="s">
        <v>889</v>
      </c>
      <c r="C496" s="98" t="s">
        <v>365</v>
      </c>
      <c r="D496" s="98" t="s">
        <v>631</v>
      </c>
      <c r="E496" s="98" t="s">
        <v>370</v>
      </c>
      <c r="F496" s="98" t="s">
        <v>367</v>
      </c>
      <c r="G496" s="98">
        <v>2</v>
      </c>
      <c r="H496" s="98" t="str">
        <f t="shared" si="42"/>
        <v>BSS-TC-23176 TC_OBI_001_CR109_PM1.4_Exclusion_Condition_1</v>
      </c>
      <c r="I496" s="98" t="s">
        <v>630</v>
      </c>
      <c r="J496" s="98" t="s">
        <v>156</v>
      </c>
      <c r="K496" s="98" t="s">
        <v>631</v>
      </c>
    </row>
    <row r="497" spans="2:11" x14ac:dyDescent="0.25">
      <c r="B497" s="98" t="s">
        <v>889</v>
      </c>
      <c r="C497" s="98" t="s">
        <v>365</v>
      </c>
      <c r="D497" s="98" t="s">
        <v>631</v>
      </c>
      <c r="E497" s="98" t="s">
        <v>371</v>
      </c>
      <c r="F497" s="98" t="s">
        <v>367</v>
      </c>
      <c r="G497" s="98">
        <v>3</v>
      </c>
      <c r="H497" s="98" t="str">
        <f t="shared" si="42"/>
        <v>BSS-TC-23176 TC_OBI_001_CR109_PM1.4_Exclusion_Condition_1</v>
      </c>
      <c r="I497" s="98" t="s">
        <v>630</v>
      </c>
      <c r="J497" s="98" t="s">
        <v>372</v>
      </c>
      <c r="K497" s="98" t="s">
        <v>631</v>
      </c>
    </row>
    <row r="498" spans="2:11" x14ac:dyDescent="0.25">
      <c r="B498" s="98" t="s">
        <v>889</v>
      </c>
      <c r="C498" s="98" t="s">
        <v>365</v>
      </c>
      <c r="D498" s="98" t="s">
        <v>631</v>
      </c>
      <c r="E498" s="98" t="s">
        <v>373</v>
      </c>
      <c r="F498" s="98" t="s">
        <v>367</v>
      </c>
      <c r="G498" s="98">
        <v>4</v>
      </c>
      <c r="H498" s="98" t="str">
        <f t="shared" si="42"/>
        <v>BSS-TC-23176 TC_OBI_001_CR109_PM1.4_Exclusion_Condition_1</v>
      </c>
      <c r="I498" s="98" t="s">
        <v>630</v>
      </c>
      <c r="J498" s="98" t="s">
        <v>374</v>
      </c>
      <c r="K498" s="98" t="s">
        <v>631</v>
      </c>
    </row>
    <row r="499" spans="2:11" x14ac:dyDescent="0.25">
      <c r="B499" s="98" t="s">
        <v>889</v>
      </c>
      <c r="C499" s="98" t="s">
        <v>365</v>
      </c>
      <c r="D499" s="98" t="s">
        <v>631</v>
      </c>
      <c r="E499" s="98" t="s">
        <v>375</v>
      </c>
      <c r="F499" s="98" t="s">
        <v>367</v>
      </c>
      <c r="G499" s="98">
        <v>5</v>
      </c>
      <c r="H499" s="98" t="str">
        <f t="shared" si="42"/>
        <v>BSS-TC-23176 TC_OBI_001_CR109_PM1.4_Exclusion_Condition_1</v>
      </c>
      <c r="I499" s="98" t="s">
        <v>630</v>
      </c>
      <c r="J499" s="98" t="s">
        <v>284</v>
      </c>
      <c r="K499" s="98" t="s">
        <v>376</v>
      </c>
    </row>
    <row r="500" spans="2:11" x14ac:dyDescent="0.25">
      <c r="B500" s="98" t="s">
        <v>889</v>
      </c>
      <c r="C500" s="98" t="s">
        <v>365</v>
      </c>
      <c r="D500" s="98" t="s">
        <v>631</v>
      </c>
      <c r="E500" s="98" t="s">
        <v>377</v>
      </c>
      <c r="F500" s="98" t="s">
        <v>367</v>
      </c>
      <c r="G500" s="98">
        <v>6</v>
      </c>
      <c r="H500" s="98" t="str">
        <f t="shared" si="42"/>
        <v>BSS-TC-23176 TC_OBI_001_CR109_PM1.4_Exclusion_Condition_1</v>
      </c>
      <c r="I500" s="98" t="s">
        <v>630</v>
      </c>
      <c r="J500" s="98" t="s">
        <v>379</v>
      </c>
      <c r="K500" s="98" t="s">
        <v>378</v>
      </c>
    </row>
    <row r="501" spans="2:11" x14ac:dyDescent="0.25">
      <c r="B501" s="98" t="s">
        <v>889</v>
      </c>
      <c r="C501" s="98" t="s">
        <v>365</v>
      </c>
      <c r="D501" s="98" t="s">
        <v>631</v>
      </c>
      <c r="E501" s="98" t="s">
        <v>742</v>
      </c>
      <c r="F501" s="98" t="s">
        <v>367</v>
      </c>
      <c r="G501" s="98">
        <v>7</v>
      </c>
      <c r="H501" s="98" t="str">
        <f t="shared" si="42"/>
        <v>BSS-TC-23176 TC_OBI_001_CR109_PM1.4_Exclusion_Condition_1</v>
      </c>
      <c r="I501" s="98" t="s">
        <v>630</v>
      </c>
      <c r="J501" s="98" t="s">
        <v>381</v>
      </c>
      <c r="K501" s="98" t="s">
        <v>380</v>
      </c>
    </row>
    <row r="502" spans="2:11" x14ac:dyDescent="0.25">
      <c r="B502" s="98" t="s">
        <v>889</v>
      </c>
      <c r="C502" s="98" t="s">
        <v>365</v>
      </c>
      <c r="D502" s="98" t="s">
        <v>631</v>
      </c>
      <c r="E502" s="98" t="s">
        <v>382</v>
      </c>
      <c r="F502" s="98" t="s">
        <v>367</v>
      </c>
      <c r="G502" s="98">
        <v>8</v>
      </c>
      <c r="H502" s="98" t="str">
        <f t="shared" si="42"/>
        <v>BSS-TC-23176 TC_OBI_001_CR109_PM1.4_Exclusion_Condition_1</v>
      </c>
      <c r="I502" s="98" t="s">
        <v>630</v>
      </c>
      <c r="J502" s="98" t="s">
        <v>383</v>
      </c>
      <c r="K502" s="98" t="s">
        <v>631</v>
      </c>
    </row>
    <row r="503" spans="2:11" x14ac:dyDescent="0.25">
      <c r="B503" s="98" t="s">
        <v>889</v>
      </c>
      <c r="C503" s="98" t="s">
        <v>365</v>
      </c>
      <c r="D503" s="98" t="s">
        <v>631</v>
      </c>
      <c r="E503" s="98" t="s">
        <v>384</v>
      </c>
      <c r="F503" s="98" t="s">
        <v>367</v>
      </c>
      <c r="G503" s="98">
        <v>9</v>
      </c>
      <c r="H503" s="98" t="str">
        <f t="shared" si="42"/>
        <v>BSS-TC-23176 TC_OBI_001_CR109_PM1.4_Exclusion_Condition_1</v>
      </c>
      <c r="I503" s="98" t="s">
        <v>630</v>
      </c>
      <c r="J503" s="98" t="s">
        <v>385</v>
      </c>
      <c r="K503" s="98" t="s">
        <v>631</v>
      </c>
    </row>
    <row r="504" spans="2:11" x14ac:dyDescent="0.25">
      <c r="B504" s="98" t="s">
        <v>889</v>
      </c>
      <c r="C504" s="98" t="s">
        <v>365</v>
      </c>
      <c r="D504" s="98" t="s">
        <v>631</v>
      </c>
      <c r="E504" s="98" t="s">
        <v>809</v>
      </c>
      <c r="F504" s="98" t="s">
        <v>367</v>
      </c>
      <c r="G504" s="98">
        <v>10</v>
      </c>
      <c r="H504" s="98" t="str">
        <f t="shared" si="42"/>
        <v>BSS-TC-23176 TC_OBI_001_CR109_PM1.4_Exclusion_Condition_1</v>
      </c>
      <c r="I504" s="98" t="s">
        <v>630</v>
      </c>
      <c r="J504" s="98" t="s">
        <v>381</v>
      </c>
      <c r="K504" s="98" t="s">
        <v>380</v>
      </c>
    </row>
    <row r="505" spans="2:11" x14ac:dyDescent="0.25">
      <c r="B505" s="98" t="s">
        <v>890</v>
      </c>
      <c r="C505" s="98" t="s">
        <v>538</v>
      </c>
      <c r="D505" s="98" t="s">
        <v>631</v>
      </c>
      <c r="E505" s="98" t="s">
        <v>334</v>
      </c>
      <c r="F505" s="98" t="s">
        <v>810</v>
      </c>
      <c r="G505" s="98">
        <v>1</v>
      </c>
      <c r="H505" s="98" t="str">
        <f>HYPERLINK("http://rms/perspective.req?projectId=233&amp;docId=959512","BSS-TC-23229 TC_OBI_004_CR109_PM1.4_TSL_Line_Validation")</f>
        <v>BSS-TC-23229 TC_OBI_004_CR109_PM1.4_TSL_Line_Validation</v>
      </c>
      <c r="I505" s="98" t="s">
        <v>630</v>
      </c>
      <c r="J505" s="98" t="s">
        <v>80</v>
      </c>
      <c r="K505" s="98" t="s">
        <v>326</v>
      </c>
    </row>
    <row r="506" spans="2:11" x14ac:dyDescent="0.25">
      <c r="B506" s="98" t="s">
        <v>890</v>
      </c>
      <c r="C506" s="98" t="s">
        <v>538</v>
      </c>
      <c r="D506" s="98" t="s">
        <v>631</v>
      </c>
      <c r="E506" s="98" t="s">
        <v>265</v>
      </c>
      <c r="F506" s="98" t="s">
        <v>810</v>
      </c>
      <c r="G506" s="98">
        <v>2</v>
      </c>
      <c r="H506" s="98" t="str">
        <f>HYPERLINK("http://rms/perspective.req?projectId=233&amp;docId=959512","BSS-TC-23229 TC_OBI_004_CR109_PM1.4_TSL_Line_Validation")</f>
        <v>BSS-TC-23229 TC_OBI_004_CR109_PM1.4_TSL_Line_Validation</v>
      </c>
      <c r="I506" s="98" t="s">
        <v>630</v>
      </c>
      <c r="J506" s="98" t="s">
        <v>266</v>
      </c>
      <c r="K506" s="98" t="s">
        <v>631</v>
      </c>
    </row>
    <row r="507" spans="2:11" x14ac:dyDescent="0.25">
      <c r="B507" s="98" t="s">
        <v>890</v>
      </c>
      <c r="C507" s="98" t="s">
        <v>538</v>
      </c>
      <c r="D507" s="98" t="s">
        <v>631</v>
      </c>
      <c r="E507" s="98" t="s">
        <v>267</v>
      </c>
      <c r="F507" s="98" t="s">
        <v>810</v>
      </c>
      <c r="G507" s="98">
        <v>3</v>
      </c>
      <c r="H507" s="98" t="str">
        <f>HYPERLINK("http://rms/perspective.req?projectId=233&amp;docId=959512","BSS-TC-23229 TC_OBI_004_CR109_PM1.4_TSL_Line_Validation")</f>
        <v>BSS-TC-23229 TC_OBI_004_CR109_PM1.4_TSL_Line_Validation</v>
      </c>
      <c r="I507" s="98" t="s">
        <v>630</v>
      </c>
      <c r="J507" s="98" t="s">
        <v>27</v>
      </c>
      <c r="K507" s="98" t="s">
        <v>631</v>
      </c>
    </row>
    <row r="508" spans="2:11" x14ac:dyDescent="0.25">
      <c r="B508" s="98" t="s">
        <v>890</v>
      </c>
      <c r="C508" s="98" t="s">
        <v>538</v>
      </c>
      <c r="D508" s="98" t="s">
        <v>631</v>
      </c>
      <c r="E508" s="98" t="s">
        <v>335</v>
      </c>
      <c r="F508" s="98" t="s">
        <v>810</v>
      </c>
      <c r="G508" s="98">
        <v>4</v>
      </c>
      <c r="H508" s="98" t="str">
        <f>HYPERLINK("http://rms/perspective.req?projectId=233&amp;docId=959512","BSS-TC-23229 TC_OBI_004_CR109_PM1.4_TSL_Line_Validation")</f>
        <v>BSS-TC-23229 TC_OBI_004_CR109_PM1.4_TSL_Line_Validation</v>
      </c>
      <c r="I508" s="98" t="s">
        <v>630</v>
      </c>
      <c r="J508" s="98" t="s">
        <v>329</v>
      </c>
      <c r="K508" s="98" t="s">
        <v>328</v>
      </c>
    </row>
    <row r="509" spans="2:11" x14ac:dyDescent="0.25">
      <c r="B509" s="98" t="s">
        <v>890</v>
      </c>
      <c r="C509" s="98" t="s">
        <v>538</v>
      </c>
      <c r="D509" s="98" t="s">
        <v>631</v>
      </c>
      <c r="E509" s="98" t="s">
        <v>811</v>
      </c>
      <c r="F509" s="98" t="s">
        <v>810</v>
      </c>
      <c r="G509" s="98">
        <v>5</v>
      </c>
      <c r="H509" s="98" t="str">
        <f>HYPERLINK("http://rms/perspective.req?projectId=233&amp;docId=959512","BSS-TC-23229 TC_OBI_004_CR109_PM1.4_TSL_Line_Validation")</f>
        <v>BSS-TC-23229 TC_OBI_004_CR109_PM1.4_TSL_Line_Validation</v>
      </c>
      <c r="I509" s="98" t="s">
        <v>630</v>
      </c>
      <c r="J509" s="98" t="s">
        <v>332</v>
      </c>
      <c r="K509" s="98" t="s">
        <v>331</v>
      </c>
    </row>
    <row r="510" spans="2:11" x14ac:dyDescent="0.25">
      <c r="B510" s="98" t="s">
        <v>891</v>
      </c>
      <c r="C510" s="98" t="s">
        <v>619</v>
      </c>
      <c r="D510" s="98" t="s">
        <v>631</v>
      </c>
      <c r="E510" s="98" t="s">
        <v>812</v>
      </c>
      <c r="F510" s="98" t="s">
        <v>813</v>
      </c>
      <c r="G510" s="98">
        <v>1</v>
      </c>
      <c r="H510" s="98" t="str">
        <f t="shared" ref="H510:H519" si="43">HYPERLINK("http://rms/perspective.req?projectId=233&amp;docId=959408","BSS-TC-23180 TC_OBI_005_CR109_PM1.4_Exclusion_Condition_5")</f>
        <v>BSS-TC-23180 TC_OBI_005_CR109_PM1.4_Exclusion_Condition_5</v>
      </c>
      <c r="I510" s="98" t="s">
        <v>630</v>
      </c>
      <c r="J510" s="98" t="s">
        <v>80</v>
      </c>
      <c r="K510" s="98" t="s">
        <v>326</v>
      </c>
    </row>
    <row r="511" spans="2:11" x14ac:dyDescent="0.25">
      <c r="B511" s="98" t="s">
        <v>891</v>
      </c>
      <c r="C511" s="98" t="s">
        <v>619</v>
      </c>
      <c r="D511" s="98" t="s">
        <v>631</v>
      </c>
      <c r="E511" s="98" t="s">
        <v>370</v>
      </c>
      <c r="F511" s="98" t="s">
        <v>813</v>
      </c>
      <c r="G511" s="98">
        <v>2</v>
      </c>
      <c r="H511" s="98" t="str">
        <f t="shared" si="43"/>
        <v>BSS-TC-23180 TC_OBI_005_CR109_PM1.4_Exclusion_Condition_5</v>
      </c>
      <c r="I511" s="98" t="s">
        <v>630</v>
      </c>
      <c r="J511" s="98" t="s">
        <v>156</v>
      </c>
      <c r="K511" s="98" t="s">
        <v>631</v>
      </c>
    </row>
    <row r="512" spans="2:11" x14ac:dyDescent="0.25">
      <c r="B512" s="98" t="s">
        <v>891</v>
      </c>
      <c r="C512" s="98" t="s">
        <v>619</v>
      </c>
      <c r="D512" s="98" t="s">
        <v>631</v>
      </c>
      <c r="E512" s="98" t="s">
        <v>405</v>
      </c>
      <c r="F512" s="98" t="s">
        <v>813</v>
      </c>
      <c r="G512" s="98">
        <v>3</v>
      </c>
      <c r="H512" s="98" t="str">
        <f t="shared" si="43"/>
        <v>BSS-TC-23180 TC_OBI_005_CR109_PM1.4_Exclusion_Condition_5</v>
      </c>
      <c r="I512" s="98" t="s">
        <v>630</v>
      </c>
      <c r="J512" s="98" t="s">
        <v>389</v>
      </c>
      <c r="K512" s="98" t="s">
        <v>631</v>
      </c>
    </row>
    <row r="513" spans="2:11" x14ac:dyDescent="0.25">
      <c r="B513" s="98" t="s">
        <v>891</v>
      </c>
      <c r="C513" s="98" t="s">
        <v>619</v>
      </c>
      <c r="D513" s="98" t="s">
        <v>631</v>
      </c>
      <c r="E513" s="98" t="s">
        <v>373</v>
      </c>
      <c r="F513" s="98" t="s">
        <v>813</v>
      </c>
      <c r="G513" s="98">
        <v>4</v>
      </c>
      <c r="H513" s="98" t="str">
        <f t="shared" si="43"/>
        <v>BSS-TC-23180 TC_OBI_005_CR109_PM1.4_Exclusion_Condition_5</v>
      </c>
      <c r="I513" s="98" t="s">
        <v>630</v>
      </c>
      <c r="J513" s="98" t="s">
        <v>374</v>
      </c>
      <c r="K513" s="98" t="s">
        <v>631</v>
      </c>
    </row>
    <row r="514" spans="2:11" x14ac:dyDescent="0.25">
      <c r="B514" s="98" t="s">
        <v>891</v>
      </c>
      <c r="C514" s="98" t="s">
        <v>619</v>
      </c>
      <c r="D514" s="98" t="s">
        <v>631</v>
      </c>
      <c r="E514" s="98" t="s">
        <v>406</v>
      </c>
      <c r="F514" s="98" t="s">
        <v>813</v>
      </c>
      <c r="G514" s="98">
        <v>5</v>
      </c>
      <c r="H514" s="98" t="str">
        <f t="shared" si="43"/>
        <v>BSS-TC-23180 TC_OBI_005_CR109_PM1.4_Exclusion_Condition_5</v>
      </c>
      <c r="I514" s="98" t="s">
        <v>630</v>
      </c>
      <c r="J514" s="98" t="s">
        <v>284</v>
      </c>
      <c r="K514" s="98" t="s">
        <v>376</v>
      </c>
    </row>
    <row r="515" spans="2:11" x14ac:dyDescent="0.25">
      <c r="B515" s="98" t="s">
        <v>891</v>
      </c>
      <c r="C515" s="98" t="s">
        <v>619</v>
      </c>
      <c r="D515" s="98" t="s">
        <v>631</v>
      </c>
      <c r="E515" s="98" t="s">
        <v>377</v>
      </c>
      <c r="F515" s="98" t="s">
        <v>813</v>
      </c>
      <c r="G515" s="98">
        <v>6</v>
      </c>
      <c r="H515" s="98" t="str">
        <f t="shared" si="43"/>
        <v>BSS-TC-23180 TC_OBI_005_CR109_PM1.4_Exclusion_Condition_5</v>
      </c>
      <c r="I515" s="98" t="s">
        <v>630</v>
      </c>
      <c r="J515" s="98" t="s">
        <v>379</v>
      </c>
      <c r="K515" s="98" t="s">
        <v>378</v>
      </c>
    </row>
    <row r="516" spans="2:11" x14ac:dyDescent="0.25">
      <c r="B516" s="98" t="s">
        <v>891</v>
      </c>
      <c r="C516" s="98" t="s">
        <v>619</v>
      </c>
      <c r="D516" s="98" t="s">
        <v>631</v>
      </c>
      <c r="E516" s="98" t="s">
        <v>814</v>
      </c>
      <c r="F516" s="98" t="s">
        <v>813</v>
      </c>
      <c r="G516" s="98">
        <v>7</v>
      </c>
      <c r="H516" s="98" t="str">
        <f t="shared" si="43"/>
        <v>BSS-TC-23180 TC_OBI_005_CR109_PM1.4_Exclusion_Condition_5</v>
      </c>
      <c r="I516" s="98" t="s">
        <v>630</v>
      </c>
      <c r="J516" s="98" t="s">
        <v>381</v>
      </c>
      <c r="K516" s="98" t="s">
        <v>380</v>
      </c>
    </row>
    <row r="517" spans="2:11" x14ac:dyDescent="0.25">
      <c r="B517" s="98" t="s">
        <v>891</v>
      </c>
      <c r="C517" s="98" t="s">
        <v>619</v>
      </c>
      <c r="D517" s="98" t="s">
        <v>631</v>
      </c>
      <c r="E517" s="98" t="s">
        <v>407</v>
      </c>
      <c r="F517" s="98" t="s">
        <v>813</v>
      </c>
      <c r="G517" s="98">
        <v>8</v>
      </c>
      <c r="H517" s="98" t="str">
        <f t="shared" si="43"/>
        <v>BSS-TC-23180 TC_OBI_005_CR109_PM1.4_Exclusion_Condition_5</v>
      </c>
      <c r="I517" s="98" t="s">
        <v>630</v>
      </c>
      <c r="J517" s="98" t="s">
        <v>383</v>
      </c>
      <c r="K517" s="98" t="s">
        <v>631</v>
      </c>
    </row>
    <row r="518" spans="2:11" x14ac:dyDescent="0.25">
      <c r="B518" s="98" t="s">
        <v>891</v>
      </c>
      <c r="C518" s="98" t="s">
        <v>619</v>
      </c>
      <c r="D518" s="98" t="s">
        <v>631</v>
      </c>
      <c r="E518" s="98" t="s">
        <v>408</v>
      </c>
      <c r="F518" s="98" t="s">
        <v>813</v>
      </c>
      <c r="G518" s="98">
        <v>9</v>
      </c>
      <c r="H518" s="98" t="str">
        <f t="shared" si="43"/>
        <v>BSS-TC-23180 TC_OBI_005_CR109_PM1.4_Exclusion_Condition_5</v>
      </c>
      <c r="I518" s="98" t="s">
        <v>630</v>
      </c>
      <c r="J518" s="98" t="s">
        <v>409</v>
      </c>
      <c r="K518" s="98" t="s">
        <v>631</v>
      </c>
    </row>
    <row r="519" spans="2:11" x14ac:dyDescent="0.25">
      <c r="B519" s="98" t="s">
        <v>891</v>
      </c>
      <c r="C519" s="98" t="s">
        <v>619</v>
      </c>
      <c r="D519" s="98" t="s">
        <v>631</v>
      </c>
      <c r="E519" s="98" t="s">
        <v>815</v>
      </c>
      <c r="F519" s="98" t="s">
        <v>813</v>
      </c>
      <c r="G519" s="98">
        <v>10</v>
      </c>
      <c r="H519" s="98" t="str">
        <f t="shared" si="43"/>
        <v>BSS-TC-23180 TC_OBI_005_CR109_PM1.4_Exclusion_Condition_5</v>
      </c>
      <c r="I519" s="98" t="s">
        <v>630</v>
      </c>
      <c r="J519" s="98" t="s">
        <v>381</v>
      </c>
      <c r="K519" s="98" t="s">
        <v>380</v>
      </c>
    </row>
    <row r="520" spans="2:11" x14ac:dyDescent="0.25">
      <c r="B520" s="98" t="s">
        <v>892</v>
      </c>
      <c r="C520" s="98" t="s">
        <v>539</v>
      </c>
      <c r="D520" s="98" t="s">
        <v>631</v>
      </c>
      <c r="E520" s="98" t="s">
        <v>265</v>
      </c>
      <c r="F520" s="98" t="s">
        <v>338</v>
      </c>
      <c r="G520" s="98">
        <v>1</v>
      </c>
      <c r="H520" s="98" t="str">
        <f>HYPERLINK("http://rms/perspective.req?projectId=233&amp;docId=959513","BSS-TC-23230 TC_OBI_005_CR109_PM1.4_Legend_Validation")</f>
        <v>BSS-TC-23230 TC_OBI_005_CR109_PM1.4_Legend_Validation</v>
      </c>
      <c r="I520" s="98" t="s">
        <v>630</v>
      </c>
      <c r="J520" s="98" t="s">
        <v>266</v>
      </c>
      <c r="K520" s="98" t="s">
        <v>631</v>
      </c>
    </row>
    <row r="521" spans="2:11" x14ac:dyDescent="0.25">
      <c r="B521" s="98" t="s">
        <v>892</v>
      </c>
      <c r="C521" s="98" t="s">
        <v>539</v>
      </c>
      <c r="D521" s="98" t="s">
        <v>631</v>
      </c>
      <c r="E521" s="98" t="s">
        <v>267</v>
      </c>
      <c r="F521" s="98" t="s">
        <v>338</v>
      </c>
      <c r="G521" s="98">
        <v>2</v>
      </c>
      <c r="H521" s="98" t="str">
        <f>HYPERLINK("http://rms/perspective.req?projectId=233&amp;docId=959513","BSS-TC-23230 TC_OBI_005_CR109_PM1.4_Legend_Validation")</f>
        <v>BSS-TC-23230 TC_OBI_005_CR109_PM1.4_Legend_Validation</v>
      </c>
      <c r="I521" s="98" t="s">
        <v>630</v>
      </c>
      <c r="J521" s="98" t="s">
        <v>27</v>
      </c>
      <c r="K521" s="98" t="s">
        <v>631</v>
      </c>
    </row>
    <row r="522" spans="2:11" x14ac:dyDescent="0.25">
      <c r="B522" s="98" t="s">
        <v>892</v>
      </c>
      <c r="C522" s="98" t="s">
        <v>539</v>
      </c>
      <c r="D522" s="98" t="s">
        <v>631</v>
      </c>
      <c r="E522" s="98" t="s">
        <v>339</v>
      </c>
      <c r="F522" s="98" t="s">
        <v>338</v>
      </c>
      <c r="G522" s="98">
        <v>3</v>
      </c>
      <c r="H522" s="98" t="str">
        <f>HYPERLINK("http://rms/perspective.req?projectId=233&amp;docId=959513","BSS-TC-23230 TC_OBI_005_CR109_PM1.4_Legend_Validation")</f>
        <v>BSS-TC-23230 TC_OBI_005_CR109_PM1.4_Legend_Validation</v>
      </c>
      <c r="I522" s="98" t="s">
        <v>630</v>
      </c>
      <c r="J522" s="98" t="s">
        <v>737</v>
      </c>
      <c r="K522" s="98" t="s">
        <v>340</v>
      </c>
    </row>
    <row r="523" spans="2:11" x14ac:dyDescent="0.25">
      <c r="B523" s="98" t="s">
        <v>893</v>
      </c>
      <c r="C523" s="98" t="s">
        <v>132</v>
      </c>
      <c r="D523" s="98" t="s">
        <v>631</v>
      </c>
      <c r="E523" s="98" t="s">
        <v>816</v>
      </c>
      <c r="F523" s="98" t="s">
        <v>131</v>
      </c>
      <c r="G523" s="98">
        <v>1</v>
      </c>
      <c r="H523" s="98" t="str">
        <f t="shared" ref="H523:H531" si="44">HYPERLINK("http://rms/perspective.req?projectId=233&amp;docId=959363","BSS-TC-23147 TC_OBI_PM 1.4_004_CH Qualification against PM_Missed _Incident raised&lt;=10 days  from outage notication and not an allowed exception")</f>
        <v>BSS-TC-23147 TC_OBI_PM 1.4_004_CH Qualification against PM_Missed _Incident raised&lt;=10 days  from outage notication and not an allowed exception</v>
      </c>
      <c r="I523" s="98" t="s">
        <v>630</v>
      </c>
      <c r="J523" s="98" t="s">
        <v>80</v>
      </c>
      <c r="K523" s="98" t="s">
        <v>517</v>
      </c>
    </row>
    <row r="524" spans="2:11" x14ac:dyDescent="0.25">
      <c r="B524" s="98" t="s">
        <v>893</v>
      </c>
      <c r="C524" s="98" t="s">
        <v>132</v>
      </c>
      <c r="D524" s="98" t="s">
        <v>631</v>
      </c>
      <c r="E524" s="98" t="s">
        <v>18</v>
      </c>
      <c r="F524" s="98" t="s">
        <v>131</v>
      </c>
      <c r="G524" s="98">
        <v>2</v>
      </c>
      <c r="H524" s="98" t="str">
        <f t="shared" si="44"/>
        <v>BSS-TC-23147 TC_OBI_PM 1.4_004_CH Qualification against PM_Missed _Incident raised&lt;=10 days  from outage notication and not an allowed exception</v>
      </c>
      <c r="I524" s="98" t="s">
        <v>630</v>
      </c>
      <c r="J524" s="98" t="s">
        <v>20</v>
      </c>
      <c r="K524" s="98" t="s">
        <v>631</v>
      </c>
    </row>
    <row r="525" spans="2:11" x14ac:dyDescent="0.25">
      <c r="B525" s="98" t="s">
        <v>893</v>
      </c>
      <c r="C525" s="98" t="s">
        <v>132</v>
      </c>
      <c r="D525" s="98" t="s">
        <v>631</v>
      </c>
      <c r="E525" s="98" t="s">
        <v>21</v>
      </c>
      <c r="F525" s="98" t="s">
        <v>131</v>
      </c>
      <c r="G525" s="98">
        <v>3</v>
      </c>
      <c r="H525" s="98" t="str">
        <f t="shared" si="44"/>
        <v>BSS-TC-23147 TC_OBI_PM 1.4_004_CH Qualification against PM_Missed _Incident raised&lt;=10 days  from outage notication and not an allowed exception</v>
      </c>
      <c r="I525" s="98" t="s">
        <v>630</v>
      </c>
      <c r="J525" s="98" t="s">
        <v>22</v>
      </c>
      <c r="K525" s="98" t="s">
        <v>631</v>
      </c>
    </row>
    <row r="526" spans="2:11" x14ac:dyDescent="0.25">
      <c r="B526" s="98" t="s">
        <v>893</v>
      </c>
      <c r="C526" s="98" t="s">
        <v>132</v>
      </c>
      <c r="D526" s="98" t="s">
        <v>631</v>
      </c>
      <c r="E526" s="98" t="s">
        <v>23</v>
      </c>
      <c r="F526" s="98" t="s">
        <v>131</v>
      </c>
      <c r="G526" s="98">
        <v>4</v>
      </c>
      <c r="H526" s="98" t="str">
        <f t="shared" si="44"/>
        <v>BSS-TC-23147 TC_OBI_PM 1.4_004_CH Qualification against PM_Missed _Incident raised&lt;=10 days  from outage notication and not an allowed exception</v>
      </c>
      <c r="I526" s="98" t="s">
        <v>630</v>
      </c>
      <c r="J526" s="98" t="s">
        <v>41</v>
      </c>
      <c r="K526" s="98" t="s">
        <v>631</v>
      </c>
    </row>
    <row r="527" spans="2:11" x14ac:dyDescent="0.25">
      <c r="B527" s="98" t="s">
        <v>893</v>
      </c>
      <c r="C527" s="98" t="s">
        <v>132</v>
      </c>
      <c r="D527" s="98" t="s">
        <v>631</v>
      </c>
      <c r="E527" s="98" t="s">
        <v>43</v>
      </c>
      <c r="F527" s="98" t="s">
        <v>131</v>
      </c>
      <c r="G527" s="98">
        <v>5</v>
      </c>
      <c r="H527" s="98" t="str">
        <f t="shared" si="44"/>
        <v>BSS-TC-23147 TC_OBI_PM 1.4_004_CH Qualification against PM_Missed _Incident raised&lt;=10 days  from outage notication and not an allowed exception</v>
      </c>
      <c r="I527" s="98" t="s">
        <v>630</v>
      </c>
      <c r="J527" s="98" t="s">
        <v>44</v>
      </c>
      <c r="K527" s="98" t="s">
        <v>631</v>
      </c>
    </row>
    <row r="528" spans="2:11" x14ac:dyDescent="0.25">
      <c r="B528" s="98" t="s">
        <v>893</v>
      </c>
      <c r="C528" s="98" t="s">
        <v>132</v>
      </c>
      <c r="D528" s="98" t="s">
        <v>631</v>
      </c>
      <c r="E528" s="98" t="s">
        <v>25</v>
      </c>
      <c r="F528" s="98" t="s">
        <v>131</v>
      </c>
      <c r="G528" s="98">
        <v>6</v>
      </c>
      <c r="H528" s="98" t="str">
        <f t="shared" si="44"/>
        <v>BSS-TC-23147 TC_OBI_PM 1.4_004_CH Qualification against PM_Missed _Incident raised&lt;=10 days  from outage notication and not an allowed exception</v>
      </c>
      <c r="I528" s="98" t="s">
        <v>630</v>
      </c>
      <c r="J528" s="98" t="s">
        <v>27</v>
      </c>
      <c r="K528" s="98" t="s">
        <v>631</v>
      </c>
    </row>
    <row r="529" spans="2:11" x14ac:dyDescent="0.25">
      <c r="B529" s="98" t="s">
        <v>893</v>
      </c>
      <c r="C529" s="98" t="s">
        <v>132</v>
      </c>
      <c r="D529" s="98" t="s">
        <v>631</v>
      </c>
      <c r="E529" s="98" t="s">
        <v>521</v>
      </c>
      <c r="F529" s="98" t="s">
        <v>131</v>
      </c>
      <c r="G529" s="98">
        <v>7</v>
      </c>
      <c r="H529" s="98" t="str">
        <f t="shared" si="44"/>
        <v>BSS-TC-23147 TC_OBI_PM 1.4_004_CH Qualification against PM_Missed _Incident raised&lt;=10 days  from outage notication and not an allowed exception</v>
      </c>
      <c r="I529" s="98" t="s">
        <v>630</v>
      </c>
      <c r="J529" s="98" t="s">
        <v>522</v>
      </c>
      <c r="K529" s="98" t="s">
        <v>631</v>
      </c>
    </row>
    <row r="530" spans="2:11" x14ac:dyDescent="0.25">
      <c r="B530" s="98" t="s">
        <v>893</v>
      </c>
      <c r="C530" s="98" t="s">
        <v>132</v>
      </c>
      <c r="D530" s="98" t="s">
        <v>631</v>
      </c>
      <c r="E530" s="98" t="s">
        <v>50</v>
      </c>
      <c r="F530" s="98" t="s">
        <v>131</v>
      </c>
      <c r="G530" s="98">
        <v>8</v>
      </c>
      <c r="H530" s="98" t="str">
        <f t="shared" si="44"/>
        <v>BSS-TC-23147 TC_OBI_PM 1.4_004_CH Qualification against PM_Missed _Incident raised&lt;=10 days  from outage notication and not an allowed exception</v>
      </c>
      <c r="I530" s="98" t="s">
        <v>630</v>
      </c>
      <c r="J530" s="98" t="s">
        <v>51</v>
      </c>
      <c r="K530" s="98" t="s">
        <v>631</v>
      </c>
    </row>
    <row r="531" spans="2:11" x14ac:dyDescent="0.25">
      <c r="B531" s="98" t="s">
        <v>893</v>
      </c>
      <c r="C531" s="98" t="s">
        <v>132</v>
      </c>
      <c r="D531" s="98" t="s">
        <v>631</v>
      </c>
      <c r="E531" s="98" t="s">
        <v>731</v>
      </c>
      <c r="F531" s="98" t="s">
        <v>131</v>
      </c>
      <c r="G531" s="98">
        <v>9</v>
      </c>
      <c r="H531" s="98" t="str">
        <f t="shared" si="44"/>
        <v>BSS-TC-23147 TC_OBI_PM 1.4_004_CH Qualification against PM_Missed _Incident raised&lt;=10 days  from outage notication and not an allowed exception</v>
      </c>
      <c r="I531" s="98" t="s">
        <v>630</v>
      </c>
      <c r="J531" s="98" t="s">
        <v>732</v>
      </c>
      <c r="K531" s="98" t="s">
        <v>119</v>
      </c>
    </row>
    <row r="532" spans="2:11" x14ac:dyDescent="0.25">
      <c r="B532" s="98" t="s">
        <v>894</v>
      </c>
      <c r="C532" s="98" t="s">
        <v>540</v>
      </c>
      <c r="D532" s="98" t="s">
        <v>631</v>
      </c>
      <c r="E532" s="98" t="s">
        <v>265</v>
      </c>
      <c r="F532" s="98" t="s">
        <v>343</v>
      </c>
      <c r="G532" s="98">
        <v>1</v>
      </c>
      <c r="H532" s="98" t="str">
        <f>HYPERLINK("http://rms/perspective.req?projectId=233&amp;docId=959514","BSS-TC-23231 TC_OBI_006_CR109_PM1.4_""Click here for report values table"" _Link_Under_Monthly_Bar_chart")</f>
        <v>BSS-TC-23231 TC_OBI_006_CR109_PM1.4_"Click here for report values table" _Link_Under_Monthly_Bar_chart</v>
      </c>
      <c r="I532" s="98" t="s">
        <v>630</v>
      </c>
      <c r="J532" s="98" t="s">
        <v>266</v>
      </c>
      <c r="K532" s="98" t="s">
        <v>631</v>
      </c>
    </row>
    <row r="533" spans="2:11" x14ac:dyDescent="0.25">
      <c r="B533" s="98" t="s">
        <v>894</v>
      </c>
      <c r="C533" s="98" t="s">
        <v>540</v>
      </c>
      <c r="D533" s="98" t="s">
        <v>631</v>
      </c>
      <c r="E533" s="98" t="s">
        <v>267</v>
      </c>
      <c r="F533" s="98" t="s">
        <v>343</v>
      </c>
      <c r="G533" s="98">
        <v>2</v>
      </c>
      <c r="H533" s="98" t="str">
        <f>HYPERLINK("http://rms/perspective.req?projectId=233&amp;docId=959514","BSS-TC-23231 TC_OBI_006_CR109_PM1.4_""Click here for report values table"" _Link_Under_Monthly_Bar_chart")</f>
        <v>BSS-TC-23231 TC_OBI_006_CR109_PM1.4_"Click here for report values table" _Link_Under_Monthly_Bar_chart</v>
      </c>
      <c r="I533" s="98" t="s">
        <v>630</v>
      </c>
      <c r="J533" s="98" t="s">
        <v>27</v>
      </c>
      <c r="K533" s="98" t="s">
        <v>631</v>
      </c>
    </row>
    <row r="534" spans="2:11" x14ac:dyDescent="0.25">
      <c r="B534" s="98" t="s">
        <v>894</v>
      </c>
      <c r="C534" s="98" t="s">
        <v>540</v>
      </c>
      <c r="D534" s="98" t="s">
        <v>631</v>
      </c>
      <c r="E534" s="98" t="s">
        <v>344</v>
      </c>
      <c r="F534" s="98" t="s">
        <v>343</v>
      </c>
      <c r="G534" s="98">
        <v>3</v>
      </c>
      <c r="H534" s="98" t="str">
        <f>HYPERLINK("http://rms/perspective.req?projectId=233&amp;docId=959514","BSS-TC-23231 TC_OBI_006_CR109_PM1.4_""Click here for report values table"" _Link_Under_Monthly_Bar_chart")</f>
        <v>BSS-TC-23231 TC_OBI_006_CR109_PM1.4_"Click here for report values table" _Link_Under_Monthly_Bar_chart</v>
      </c>
      <c r="I534" s="98" t="s">
        <v>630</v>
      </c>
      <c r="J534" s="98" t="s">
        <v>346</v>
      </c>
      <c r="K534" s="98" t="s">
        <v>345</v>
      </c>
    </row>
    <row r="535" spans="2:11" x14ac:dyDescent="0.25">
      <c r="B535" s="98" t="s">
        <v>894</v>
      </c>
      <c r="C535" s="98" t="s">
        <v>540</v>
      </c>
      <c r="D535" s="98" t="s">
        <v>631</v>
      </c>
      <c r="E535" s="98" t="s">
        <v>738</v>
      </c>
      <c r="F535" s="98" t="s">
        <v>343</v>
      </c>
      <c r="G535" s="98">
        <v>4</v>
      </c>
      <c r="H535" s="98" t="str">
        <f>HYPERLINK("http://rms/perspective.req?projectId=233&amp;docId=959514","BSS-TC-23231 TC_OBI_006_CR109_PM1.4_""Click here for report values table"" _Link_Under_Monthly_Bar_chart")</f>
        <v>BSS-TC-23231 TC_OBI_006_CR109_PM1.4_"Click here for report values table" _Link_Under_Monthly_Bar_chart</v>
      </c>
      <c r="I535" s="98" t="s">
        <v>630</v>
      </c>
      <c r="J535" s="98" t="s">
        <v>739</v>
      </c>
      <c r="K535" s="98" t="s">
        <v>348</v>
      </c>
    </row>
    <row r="536" spans="2:11" x14ac:dyDescent="0.25">
      <c r="B536" s="98" t="s">
        <v>895</v>
      </c>
      <c r="C536" s="98" t="s">
        <v>133</v>
      </c>
      <c r="D536" s="98" t="s">
        <v>631</v>
      </c>
      <c r="E536" s="98" t="s">
        <v>817</v>
      </c>
      <c r="F536" s="98" t="s">
        <v>134</v>
      </c>
      <c r="G536" s="98">
        <v>1</v>
      </c>
      <c r="H536" s="98" t="str">
        <f t="shared" ref="H536:H544" si="45">HYPERLINK("http://rms/perspective.req?projectId=233&amp;docId=959364","BSS-TC-23148 TC_OBI_PM 1.4_005_CH Qualification against PM_Missed _CH Gets unconnected more than once ina month.")</f>
        <v>BSS-TC-23148 TC_OBI_PM 1.4_005_CH Qualification against PM_Missed _CH Gets unconnected more than once ina month.</v>
      </c>
      <c r="I536" s="98" t="s">
        <v>630</v>
      </c>
      <c r="J536" s="98" t="s">
        <v>80</v>
      </c>
      <c r="K536" s="98" t="s">
        <v>517</v>
      </c>
    </row>
    <row r="537" spans="2:11" x14ac:dyDescent="0.25">
      <c r="B537" s="98" t="s">
        <v>895</v>
      </c>
      <c r="C537" s="98" t="s">
        <v>133</v>
      </c>
      <c r="D537" s="98" t="s">
        <v>631</v>
      </c>
      <c r="E537" s="98" t="s">
        <v>18</v>
      </c>
      <c r="F537" s="98" t="s">
        <v>134</v>
      </c>
      <c r="G537" s="98">
        <v>2</v>
      </c>
      <c r="H537" s="98" t="str">
        <f t="shared" si="45"/>
        <v>BSS-TC-23148 TC_OBI_PM 1.4_005_CH Qualification against PM_Missed _CH Gets unconnected more than once ina month.</v>
      </c>
      <c r="I537" s="98" t="s">
        <v>630</v>
      </c>
      <c r="J537" s="98" t="s">
        <v>20</v>
      </c>
      <c r="K537" s="98" t="s">
        <v>631</v>
      </c>
    </row>
    <row r="538" spans="2:11" x14ac:dyDescent="0.25">
      <c r="B538" s="98" t="s">
        <v>895</v>
      </c>
      <c r="C538" s="98" t="s">
        <v>133</v>
      </c>
      <c r="D538" s="98" t="s">
        <v>631</v>
      </c>
      <c r="E538" s="98" t="s">
        <v>21</v>
      </c>
      <c r="F538" s="98" t="s">
        <v>134</v>
      </c>
      <c r="G538" s="98">
        <v>3</v>
      </c>
      <c r="H538" s="98" t="str">
        <f t="shared" si="45"/>
        <v>BSS-TC-23148 TC_OBI_PM 1.4_005_CH Qualification against PM_Missed _CH Gets unconnected more than once ina month.</v>
      </c>
      <c r="I538" s="98" t="s">
        <v>630</v>
      </c>
      <c r="J538" s="98" t="s">
        <v>22</v>
      </c>
      <c r="K538" s="98" t="s">
        <v>631</v>
      </c>
    </row>
    <row r="539" spans="2:11" x14ac:dyDescent="0.25">
      <c r="B539" s="98" t="s">
        <v>895</v>
      </c>
      <c r="C539" s="98" t="s">
        <v>133</v>
      </c>
      <c r="D539" s="98" t="s">
        <v>631</v>
      </c>
      <c r="E539" s="98" t="s">
        <v>23</v>
      </c>
      <c r="F539" s="98" t="s">
        <v>134</v>
      </c>
      <c r="G539" s="98">
        <v>4</v>
      </c>
      <c r="H539" s="98" t="str">
        <f t="shared" si="45"/>
        <v>BSS-TC-23148 TC_OBI_PM 1.4_005_CH Qualification against PM_Missed _CH Gets unconnected more than once ina month.</v>
      </c>
      <c r="I539" s="98" t="s">
        <v>630</v>
      </c>
      <c r="J539" s="98" t="s">
        <v>41</v>
      </c>
      <c r="K539" s="98" t="s">
        <v>631</v>
      </c>
    </row>
    <row r="540" spans="2:11" x14ac:dyDescent="0.25">
      <c r="B540" s="98" t="s">
        <v>895</v>
      </c>
      <c r="C540" s="98" t="s">
        <v>133</v>
      </c>
      <c r="D540" s="98" t="s">
        <v>631</v>
      </c>
      <c r="E540" s="98" t="s">
        <v>43</v>
      </c>
      <c r="F540" s="98" t="s">
        <v>134</v>
      </c>
      <c r="G540" s="98">
        <v>5</v>
      </c>
      <c r="H540" s="98" t="str">
        <f t="shared" si="45"/>
        <v>BSS-TC-23148 TC_OBI_PM 1.4_005_CH Qualification against PM_Missed _CH Gets unconnected more than once ina month.</v>
      </c>
      <c r="I540" s="98" t="s">
        <v>630</v>
      </c>
      <c r="J540" s="98" t="s">
        <v>44</v>
      </c>
      <c r="K540" s="98" t="s">
        <v>631</v>
      </c>
    </row>
    <row r="541" spans="2:11" x14ac:dyDescent="0.25">
      <c r="B541" s="98" t="s">
        <v>895</v>
      </c>
      <c r="C541" s="98" t="s">
        <v>133</v>
      </c>
      <c r="D541" s="98" t="s">
        <v>631</v>
      </c>
      <c r="E541" s="98" t="s">
        <v>25</v>
      </c>
      <c r="F541" s="98" t="s">
        <v>134</v>
      </c>
      <c r="G541" s="98">
        <v>6</v>
      </c>
      <c r="H541" s="98" t="str">
        <f t="shared" si="45"/>
        <v>BSS-TC-23148 TC_OBI_PM 1.4_005_CH Qualification against PM_Missed _CH Gets unconnected more than once ina month.</v>
      </c>
      <c r="I541" s="98" t="s">
        <v>630</v>
      </c>
      <c r="J541" s="98" t="s">
        <v>27</v>
      </c>
      <c r="K541" s="98" t="s">
        <v>631</v>
      </c>
    </row>
    <row r="542" spans="2:11" x14ac:dyDescent="0.25">
      <c r="B542" s="98" t="s">
        <v>895</v>
      </c>
      <c r="C542" s="98" t="s">
        <v>133</v>
      </c>
      <c r="D542" s="98" t="s">
        <v>631</v>
      </c>
      <c r="E542" s="98" t="s">
        <v>521</v>
      </c>
      <c r="F542" s="98" t="s">
        <v>134</v>
      </c>
      <c r="G542" s="98">
        <v>7</v>
      </c>
      <c r="H542" s="98" t="str">
        <f t="shared" si="45"/>
        <v>BSS-TC-23148 TC_OBI_PM 1.4_005_CH Qualification against PM_Missed _CH Gets unconnected more than once ina month.</v>
      </c>
      <c r="I542" s="98" t="s">
        <v>630</v>
      </c>
      <c r="J542" s="98" t="s">
        <v>522</v>
      </c>
      <c r="K542" s="98" t="s">
        <v>631</v>
      </c>
    </row>
    <row r="543" spans="2:11" x14ac:dyDescent="0.25">
      <c r="B543" s="98" t="s">
        <v>895</v>
      </c>
      <c r="C543" s="98" t="s">
        <v>133</v>
      </c>
      <c r="D543" s="98" t="s">
        <v>631</v>
      </c>
      <c r="E543" s="98" t="s">
        <v>50</v>
      </c>
      <c r="F543" s="98" t="s">
        <v>134</v>
      </c>
      <c r="G543" s="98">
        <v>8</v>
      </c>
      <c r="H543" s="98" t="str">
        <f t="shared" si="45"/>
        <v>BSS-TC-23148 TC_OBI_PM 1.4_005_CH Qualification against PM_Missed _CH Gets unconnected more than once ina month.</v>
      </c>
      <c r="I543" s="98" t="s">
        <v>630</v>
      </c>
      <c r="J543" s="98" t="s">
        <v>51</v>
      </c>
      <c r="K543" s="98" t="s">
        <v>631</v>
      </c>
    </row>
    <row r="544" spans="2:11" x14ac:dyDescent="0.25">
      <c r="B544" s="98" t="s">
        <v>895</v>
      </c>
      <c r="C544" s="98" t="s">
        <v>133</v>
      </c>
      <c r="D544" s="98" t="s">
        <v>631</v>
      </c>
      <c r="E544" s="98" t="s">
        <v>731</v>
      </c>
      <c r="F544" s="98" t="s">
        <v>134</v>
      </c>
      <c r="G544" s="98">
        <v>9</v>
      </c>
      <c r="H544" s="98" t="str">
        <f t="shared" si="45"/>
        <v>BSS-TC-23148 TC_OBI_PM 1.4_005_CH Qualification against PM_Missed _CH Gets unconnected more than once ina month.</v>
      </c>
      <c r="I544" s="98" t="s">
        <v>630</v>
      </c>
      <c r="J544" s="98" t="s">
        <v>732</v>
      </c>
      <c r="K544" s="98" t="s">
        <v>119</v>
      </c>
    </row>
    <row r="545" spans="2:11" x14ac:dyDescent="0.25">
      <c r="B545" s="98" t="s">
        <v>896</v>
      </c>
      <c r="C545" s="98" t="s">
        <v>541</v>
      </c>
      <c r="D545" s="98" t="s">
        <v>631</v>
      </c>
      <c r="E545" s="98" t="s">
        <v>265</v>
      </c>
      <c r="F545" s="98" t="s">
        <v>318</v>
      </c>
      <c r="G545" s="98">
        <v>1</v>
      </c>
      <c r="H545" s="98" t="str">
        <f t="shared" ref="H545:H550" si="46">HYPERLINK("http://rms/perspective.req?projectId=233&amp;docId=959515","BSS-TC-23232 TC_OBI_007_CR109_PM1.4_Mid_Level_Report_Barchart_and_Tabular_View_Validation")</f>
        <v>BSS-TC-23232 TC_OBI_007_CR109_PM1.4_Mid_Level_Report_Barchart_and_Tabular_View_Validation</v>
      </c>
      <c r="I545" s="98" t="s">
        <v>630</v>
      </c>
      <c r="J545" s="98" t="s">
        <v>266</v>
      </c>
      <c r="K545" s="98" t="s">
        <v>631</v>
      </c>
    </row>
    <row r="546" spans="2:11" x14ac:dyDescent="0.25">
      <c r="B546" s="98" t="s">
        <v>896</v>
      </c>
      <c r="C546" s="98" t="s">
        <v>541</v>
      </c>
      <c r="D546" s="98" t="s">
        <v>631</v>
      </c>
      <c r="E546" s="98" t="s">
        <v>267</v>
      </c>
      <c r="F546" s="98" t="s">
        <v>318</v>
      </c>
      <c r="G546" s="98">
        <v>2</v>
      </c>
      <c r="H546" s="98" t="str">
        <f t="shared" si="46"/>
        <v>BSS-TC-23232 TC_OBI_007_CR109_PM1.4_Mid_Level_Report_Barchart_and_Tabular_View_Validation</v>
      </c>
      <c r="I546" s="98" t="s">
        <v>630</v>
      </c>
      <c r="J546" s="98" t="s">
        <v>27</v>
      </c>
      <c r="K546" s="98" t="s">
        <v>631</v>
      </c>
    </row>
    <row r="547" spans="2:11" x14ac:dyDescent="0.25">
      <c r="B547" s="98" t="s">
        <v>896</v>
      </c>
      <c r="C547" s="98" t="s">
        <v>541</v>
      </c>
      <c r="D547" s="98" t="s">
        <v>631</v>
      </c>
      <c r="E547" s="98" t="s">
        <v>268</v>
      </c>
      <c r="F547" s="98" t="s">
        <v>318</v>
      </c>
      <c r="G547" s="98">
        <v>3</v>
      </c>
      <c r="H547" s="98" t="str">
        <f t="shared" si="46"/>
        <v>BSS-TC-23232 TC_OBI_007_CR109_PM1.4_Mid_Level_Report_Barchart_and_Tabular_View_Validation</v>
      </c>
      <c r="I547" s="98" t="s">
        <v>630</v>
      </c>
      <c r="J547" s="98" t="s">
        <v>270</v>
      </c>
      <c r="K547" s="98" t="s">
        <v>269</v>
      </c>
    </row>
    <row r="548" spans="2:11" x14ac:dyDescent="0.25">
      <c r="B548" s="98" t="s">
        <v>896</v>
      </c>
      <c r="C548" s="98" t="s">
        <v>541</v>
      </c>
      <c r="D548" s="98" t="s">
        <v>631</v>
      </c>
      <c r="E548" s="98" t="s">
        <v>319</v>
      </c>
      <c r="F548" s="98" t="s">
        <v>318</v>
      </c>
      <c r="G548" s="98">
        <v>4</v>
      </c>
      <c r="H548" s="98" t="str">
        <f t="shared" si="46"/>
        <v>BSS-TC-23232 TC_OBI_007_CR109_PM1.4_Mid_Level_Report_Barchart_and_Tabular_View_Validation</v>
      </c>
      <c r="I548" s="98" t="s">
        <v>630</v>
      </c>
      <c r="J548" s="98" t="s">
        <v>818</v>
      </c>
      <c r="K548" s="98" t="s">
        <v>320</v>
      </c>
    </row>
    <row r="549" spans="2:11" x14ac:dyDescent="0.25">
      <c r="B549" s="98" t="s">
        <v>896</v>
      </c>
      <c r="C549" s="98" t="s">
        <v>541</v>
      </c>
      <c r="D549" s="98" t="s">
        <v>631</v>
      </c>
      <c r="E549" s="98" t="s">
        <v>322</v>
      </c>
      <c r="F549" s="98" t="s">
        <v>318</v>
      </c>
      <c r="G549" s="98">
        <v>5</v>
      </c>
      <c r="H549" s="98" t="str">
        <f t="shared" si="46"/>
        <v>BSS-TC-23232 TC_OBI_007_CR109_PM1.4_Mid_Level_Report_Barchart_and_Tabular_View_Validation</v>
      </c>
      <c r="I549" s="98" t="s">
        <v>630</v>
      </c>
      <c r="J549" s="98" t="s">
        <v>46</v>
      </c>
      <c r="K549" s="98" t="s">
        <v>631</v>
      </c>
    </row>
    <row r="550" spans="2:11" x14ac:dyDescent="0.25">
      <c r="B550" s="98" t="s">
        <v>896</v>
      </c>
      <c r="C550" s="98" t="s">
        <v>541</v>
      </c>
      <c r="D550" s="98" t="s">
        <v>631</v>
      </c>
      <c r="E550" s="98" t="s">
        <v>47</v>
      </c>
      <c r="F550" s="98" t="s">
        <v>318</v>
      </c>
      <c r="G550" s="98">
        <v>6</v>
      </c>
      <c r="H550" s="98" t="str">
        <f t="shared" si="46"/>
        <v>BSS-TC-23232 TC_OBI_007_CR109_PM1.4_Mid_Level_Report_Barchart_and_Tabular_View_Validation</v>
      </c>
      <c r="I550" s="98" t="s">
        <v>630</v>
      </c>
      <c r="J550" s="98" t="s">
        <v>48</v>
      </c>
      <c r="K550" s="98" t="s">
        <v>79</v>
      </c>
    </row>
    <row r="551" spans="2:11" x14ac:dyDescent="0.25">
      <c r="B551" s="98" t="s">
        <v>897</v>
      </c>
      <c r="C551" s="98" t="s">
        <v>135</v>
      </c>
      <c r="D551" s="98" t="s">
        <v>631</v>
      </c>
      <c r="E551" s="98" t="s">
        <v>819</v>
      </c>
      <c r="F551" s="98" t="s">
        <v>547</v>
      </c>
      <c r="G551" s="98">
        <v>1</v>
      </c>
      <c r="H551" s="98" t="str">
        <f t="shared" ref="H551:H559" si="47">HYPERLINK("http://rms/perspective.req?projectId=233&amp;docId=959365","BSS-TC-23149 TC_OBI_PM 1.4_006_CH Qualification against PM_Missed _Outage Duration_calculation")</f>
        <v>BSS-TC-23149 TC_OBI_PM 1.4_006_CH Qualification against PM_Missed _Outage Duration_calculation</v>
      </c>
      <c r="I551" s="98" t="s">
        <v>630</v>
      </c>
      <c r="J551" s="98" t="s">
        <v>80</v>
      </c>
      <c r="K551" s="98" t="s">
        <v>517</v>
      </c>
    </row>
    <row r="552" spans="2:11" x14ac:dyDescent="0.25">
      <c r="B552" s="98" t="s">
        <v>897</v>
      </c>
      <c r="C552" s="98" t="s">
        <v>135</v>
      </c>
      <c r="D552" s="98" t="s">
        <v>631</v>
      </c>
      <c r="E552" s="98" t="s">
        <v>18</v>
      </c>
      <c r="F552" s="98" t="s">
        <v>547</v>
      </c>
      <c r="G552" s="98">
        <v>2</v>
      </c>
      <c r="H552" s="98" t="str">
        <f t="shared" si="47"/>
        <v>BSS-TC-23149 TC_OBI_PM 1.4_006_CH Qualification against PM_Missed _Outage Duration_calculation</v>
      </c>
      <c r="I552" s="98" t="s">
        <v>630</v>
      </c>
      <c r="J552" s="98" t="s">
        <v>20</v>
      </c>
      <c r="K552" s="98" t="s">
        <v>631</v>
      </c>
    </row>
    <row r="553" spans="2:11" x14ac:dyDescent="0.25">
      <c r="B553" s="98" t="s">
        <v>897</v>
      </c>
      <c r="C553" s="98" t="s">
        <v>135</v>
      </c>
      <c r="D553" s="98" t="s">
        <v>631</v>
      </c>
      <c r="E553" s="98" t="s">
        <v>21</v>
      </c>
      <c r="F553" s="98" t="s">
        <v>547</v>
      </c>
      <c r="G553" s="98">
        <v>3</v>
      </c>
      <c r="H553" s="98" t="str">
        <f t="shared" si="47"/>
        <v>BSS-TC-23149 TC_OBI_PM 1.4_006_CH Qualification against PM_Missed _Outage Duration_calculation</v>
      </c>
      <c r="I553" s="98" t="s">
        <v>630</v>
      </c>
      <c r="J553" s="98" t="s">
        <v>22</v>
      </c>
      <c r="K553" s="98" t="s">
        <v>631</v>
      </c>
    </row>
    <row r="554" spans="2:11" x14ac:dyDescent="0.25">
      <c r="B554" s="98" t="s">
        <v>897</v>
      </c>
      <c r="C554" s="98" t="s">
        <v>135</v>
      </c>
      <c r="D554" s="98" t="s">
        <v>631</v>
      </c>
      <c r="E554" s="98" t="s">
        <v>23</v>
      </c>
      <c r="F554" s="98" t="s">
        <v>547</v>
      </c>
      <c r="G554" s="98">
        <v>4</v>
      </c>
      <c r="H554" s="98" t="str">
        <f t="shared" si="47"/>
        <v>BSS-TC-23149 TC_OBI_PM 1.4_006_CH Qualification against PM_Missed _Outage Duration_calculation</v>
      </c>
      <c r="I554" s="98" t="s">
        <v>630</v>
      </c>
      <c r="J554" s="98" t="s">
        <v>41</v>
      </c>
      <c r="K554" s="98" t="s">
        <v>631</v>
      </c>
    </row>
    <row r="555" spans="2:11" x14ac:dyDescent="0.25">
      <c r="B555" s="98" t="s">
        <v>897</v>
      </c>
      <c r="C555" s="98" t="s">
        <v>135</v>
      </c>
      <c r="D555" s="98" t="s">
        <v>631</v>
      </c>
      <c r="E555" s="98" t="s">
        <v>43</v>
      </c>
      <c r="F555" s="98" t="s">
        <v>547</v>
      </c>
      <c r="G555" s="98">
        <v>5</v>
      </c>
      <c r="H555" s="98" t="str">
        <f t="shared" si="47"/>
        <v>BSS-TC-23149 TC_OBI_PM 1.4_006_CH Qualification against PM_Missed _Outage Duration_calculation</v>
      </c>
      <c r="I555" s="98" t="s">
        <v>630</v>
      </c>
      <c r="J555" s="98" t="s">
        <v>44</v>
      </c>
      <c r="K555" s="98" t="s">
        <v>631</v>
      </c>
    </row>
    <row r="556" spans="2:11" x14ac:dyDescent="0.25">
      <c r="B556" s="98" t="s">
        <v>897</v>
      </c>
      <c r="C556" s="98" t="s">
        <v>135</v>
      </c>
      <c r="D556" s="98" t="s">
        <v>631</v>
      </c>
      <c r="E556" s="98" t="s">
        <v>25</v>
      </c>
      <c r="F556" s="98" t="s">
        <v>547</v>
      </c>
      <c r="G556" s="98">
        <v>6</v>
      </c>
      <c r="H556" s="98" t="str">
        <f t="shared" si="47"/>
        <v>BSS-TC-23149 TC_OBI_PM 1.4_006_CH Qualification against PM_Missed _Outage Duration_calculation</v>
      </c>
      <c r="I556" s="98" t="s">
        <v>630</v>
      </c>
      <c r="J556" s="98" t="s">
        <v>27</v>
      </c>
      <c r="K556" s="98" t="s">
        <v>631</v>
      </c>
    </row>
    <row r="557" spans="2:11" x14ac:dyDescent="0.25">
      <c r="B557" s="98" t="s">
        <v>897</v>
      </c>
      <c r="C557" s="98" t="s">
        <v>135</v>
      </c>
      <c r="D557" s="98" t="s">
        <v>631</v>
      </c>
      <c r="E557" s="98" t="s">
        <v>521</v>
      </c>
      <c r="F557" s="98" t="s">
        <v>547</v>
      </c>
      <c r="G557" s="98">
        <v>7</v>
      </c>
      <c r="H557" s="98" t="str">
        <f t="shared" si="47"/>
        <v>BSS-TC-23149 TC_OBI_PM 1.4_006_CH Qualification against PM_Missed _Outage Duration_calculation</v>
      </c>
      <c r="I557" s="98" t="s">
        <v>630</v>
      </c>
      <c r="J557" s="98" t="s">
        <v>522</v>
      </c>
      <c r="K557" s="98" t="s">
        <v>631</v>
      </c>
    </row>
    <row r="558" spans="2:11" x14ac:dyDescent="0.25">
      <c r="B558" s="98" t="s">
        <v>897</v>
      </c>
      <c r="C558" s="98" t="s">
        <v>135</v>
      </c>
      <c r="D558" s="98" t="s">
        <v>631</v>
      </c>
      <c r="E558" s="98" t="s">
        <v>50</v>
      </c>
      <c r="F558" s="98" t="s">
        <v>547</v>
      </c>
      <c r="G558" s="98">
        <v>8</v>
      </c>
      <c r="H558" s="98" t="str">
        <f t="shared" si="47"/>
        <v>BSS-TC-23149 TC_OBI_PM 1.4_006_CH Qualification against PM_Missed _Outage Duration_calculation</v>
      </c>
      <c r="I558" s="98" t="s">
        <v>630</v>
      </c>
      <c r="J558" s="98" t="s">
        <v>51</v>
      </c>
      <c r="K558" s="98" t="s">
        <v>631</v>
      </c>
    </row>
    <row r="559" spans="2:11" x14ac:dyDescent="0.25">
      <c r="B559" s="98" t="s">
        <v>897</v>
      </c>
      <c r="C559" s="98" t="s">
        <v>135</v>
      </c>
      <c r="D559" s="98" t="s">
        <v>631</v>
      </c>
      <c r="E559" s="98" t="s">
        <v>731</v>
      </c>
      <c r="F559" s="98" t="s">
        <v>547</v>
      </c>
      <c r="G559" s="98">
        <v>9</v>
      </c>
      <c r="H559" s="98" t="str">
        <f t="shared" si="47"/>
        <v>BSS-TC-23149 TC_OBI_PM 1.4_006_CH Qualification against PM_Missed _Outage Duration_calculation</v>
      </c>
      <c r="I559" s="98" t="s">
        <v>630</v>
      </c>
      <c r="J559" s="98" t="s">
        <v>820</v>
      </c>
      <c r="K559" s="98" t="s">
        <v>119</v>
      </c>
    </row>
    <row r="560" spans="2:11" x14ac:dyDescent="0.25">
      <c r="B560" s="98" t="s">
        <v>898</v>
      </c>
      <c r="C560" s="98" t="s">
        <v>255</v>
      </c>
      <c r="D560" s="98" t="s">
        <v>631</v>
      </c>
      <c r="E560" s="98" t="s">
        <v>821</v>
      </c>
      <c r="F560" s="98" t="s">
        <v>139</v>
      </c>
      <c r="G560" s="98">
        <v>1</v>
      </c>
      <c r="H560" s="98" t="str">
        <f t="shared" ref="H560:H569" si="48">HYPERLINK("http://rms/perspective.req?projectId=233&amp;docId=959366","BSS-TC-23150 TC_OBI_PM 1.4_007_Missed detail report _Outage 1_outage 2 Field validation")</f>
        <v>BSS-TC-23150 TC_OBI_PM 1.4_007_Missed detail report _Outage 1_outage 2 Field validation</v>
      </c>
      <c r="I560" s="98" t="s">
        <v>630</v>
      </c>
      <c r="J560" s="98" t="s">
        <v>80</v>
      </c>
      <c r="K560" s="98" t="s">
        <v>517</v>
      </c>
    </row>
    <row r="561" spans="2:11" x14ac:dyDescent="0.25">
      <c r="B561" s="98" t="s">
        <v>898</v>
      </c>
      <c r="C561" s="98" t="s">
        <v>255</v>
      </c>
      <c r="D561" s="98" t="s">
        <v>631</v>
      </c>
      <c r="E561" s="98" t="s">
        <v>822</v>
      </c>
      <c r="F561" s="98" t="s">
        <v>139</v>
      </c>
      <c r="G561" s="98">
        <v>2</v>
      </c>
      <c r="H561" s="98" t="str">
        <f t="shared" si="48"/>
        <v>BSS-TC-23150 TC_OBI_PM 1.4_007_Missed detail report _Outage 1_outage 2 Field validation</v>
      </c>
      <c r="I561" s="98" t="s">
        <v>630</v>
      </c>
      <c r="J561" s="98" t="s">
        <v>631</v>
      </c>
      <c r="K561" s="98" t="s">
        <v>517</v>
      </c>
    </row>
    <row r="562" spans="2:11" x14ac:dyDescent="0.25">
      <c r="B562" s="98" t="s">
        <v>898</v>
      </c>
      <c r="C562" s="98" t="s">
        <v>255</v>
      </c>
      <c r="D562" s="98" t="s">
        <v>631</v>
      </c>
      <c r="E562" s="98" t="s">
        <v>18</v>
      </c>
      <c r="F562" s="98" t="s">
        <v>139</v>
      </c>
      <c r="G562" s="98">
        <v>3</v>
      </c>
      <c r="H562" s="98" t="str">
        <f t="shared" si="48"/>
        <v>BSS-TC-23150 TC_OBI_PM 1.4_007_Missed detail report _Outage 1_outage 2 Field validation</v>
      </c>
      <c r="I562" s="98" t="s">
        <v>630</v>
      </c>
      <c r="J562" s="98" t="s">
        <v>20</v>
      </c>
      <c r="K562" s="98" t="s">
        <v>631</v>
      </c>
    </row>
    <row r="563" spans="2:11" x14ac:dyDescent="0.25">
      <c r="B563" s="98" t="s">
        <v>898</v>
      </c>
      <c r="C563" s="98" t="s">
        <v>255</v>
      </c>
      <c r="D563" s="98" t="s">
        <v>631</v>
      </c>
      <c r="E563" s="98" t="s">
        <v>21</v>
      </c>
      <c r="F563" s="98" t="s">
        <v>139</v>
      </c>
      <c r="G563" s="98">
        <v>4</v>
      </c>
      <c r="H563" s="98" t="str">
        <f t="shared" si="48"/>
        <v>BSS-TC-23150 TC_OBI_PM 1.4_007_Missed detail report _Outage 1_outage 2 Field validation</v>
      </c>
      <c r="I563" s="98" t="s">
        <v>630</v>
      </c>
      <c r="J563" s="98" t="s">
        <v>22</v>
      </c>
      <c r="K563" s="98" t="s">
        <v>631</v>
      </c>
    </row>
    <row r="564" spans="2:11" x14ac:dyDescent="0.25">
      <c r="B564" s="98" t="s">
        <v>898</v>
      </c>
      <c r="C564" s="98" t="s">
        <v>255</v>
      </c>
      <c r="D564" s="98" t="s">
        <v>631</v>
      </c>
      <c r="E564" s="98" t="s">
        <v>23</v>
      </c>
      <c r="F564" s="98" t="s">
        <v>139</v>
      </c>
      <c r="G564" s="98">
        <v>5</v>
      </c>
      <c r="H564" s="98" t="str">
        <f t="shared" si="48"/>
        <v>BSS-TC-23150 TC_OBI_PM 1.4_007_Missed detail report _Outage 1_outage 2 Field validation</v>
      </c>
      <c r="I564" s="98" t="s">
        <v>630</v>
      </c>
      <c r="J564" s="98" t="s">
        <v>41</v>
      </c>
      <c r="K564" s="98" t="s">
        <v>631</v>
      </c>
    </row>
    <row r="565" spans="2:11" x14ac:dyDescent="0.25">
      <c r="B565" s="98" t="s">
        <v>898</v>
      </c>
      <c r="C565" s="98" t="s">
        <v>255</v>
      </c>
      <c r="D565" s="98" t="s">
        <v>631</v>
      </c>
      <c r="E565" s="98" t="s">
        <v>43</v>
      </c>
      <c r="F565" s="98" t="s">
        <v>139</v>
      </c>
      <c r="G565" s="98">
        <v>6</v>
      </c>
      <c r="H565" s="98" t="str">
        <f t="shared" si="48"/>
        <v>BSS-TC-23150 TC_OBI_PM 1.4_007_Missed detail report _Outage 1_outage 2 Field validation</v>
      </c>
      <c r="I565" s="98" t="s">
        <v>630</v>
      </c>
      <c r="J565" s="98" t="s">
        <v>44</v>
      </c>
      <c r="K565" s="98" t="s">
        <v>631</v>
      </c>
    </row>
    <row r="566" spans="2:11" x14ac:dyDescent="0.25">
      <c r="B566" s="98" t="s">
        <v>898</v>
      </c>
      <c r="C566" s="98" t="s">
        <v>255</v>
      </c>
      <c r="D566" s="98" t="s">
        <v>631</v>
      </c>
      <c r="E566" s="98" t="s">
        <v>25</v>
      </c>
      <c r="F566" s="98" t="s">
        <v>139</v>
      </c>
      <c r="G566" s="98">
        <v>7</v>
      </c>
      <c r="H566" s="98" t="str">
        <f t="shared" si="48"/>
        <v>BSS-TC-23150 TC_OBI_PM 1.4_007_Missed detail report _Outage 1_outage 2 Field validation</v>
      </c>
      <c r="I566" s="98" t="s">
        <v>630</v>
      </c>
      <c r="J566" s="98" t="s">
        <v>27</v>
      </c>
      <c r="K566" s="98" t="s">
        <v>631</v>
      </c>
    </row>
    <row r="567" spans="2:11" x14ac:dyDescent="0.25">
      <c r="B567" s="98" t="s">
        <v>898</v>
      </c>
      <c r="C567" s="98" t="s">
        <v>255</v>
      </c>
      <c r="D567" s="98" t="s">
        <v>631</v>
      </c>
      <c r="E567" s="98" t="s">
        <v>521</v>
      </c>
      <c r="F567" s="98" t="s">
        <v>139</v>
      </c>
      <c r="G567" s="98">
        <v>8</v>
      </c>
      <c r="H567" s="98" t="str">
        <f t="shared" si="48"/>
        <v>BSS-TC-23150 TC_OBI_PM 1.4_007_Missed detail report _Outage 1_outage 2 Field validation</v>
      </c>
      <c r="I567" s="98" t="s">
        <v>630</v>
      </c>
      <c r="J567" s="98" t="s">
        <v>522</v>
      </c>
      <c r="K567" s="98" t="s">
        <v>631</v>
      </c>
    </row>
    <row r="568" spans="2:11" x14ac:dyDescent="0.25">
      <c r="B568" s="98" t="s">
        <v>898</v>
      </c>
      <c r="C568" s="98" t="s">
        <v>255</v>
      </c>
      <c r="D568" s="98" t="s">
        <v>631</v>
      </c>
      <c r="E568" s="98" t="s">
        <v>50</v>
      </c>
      <c r="F568" s="98" t="s">
        <v>139</v>
      </c>
      <c r="G568" s="98">
        <v>9</v>
      </c>
      <c r="H568" s="98" t="str">
        <f t="shared" si="48"/>
        <v>BSS-TC-23150 TC_OBI_PM 1.4_007_Missed detail report _Outage 1_outage 2 Field validation</v>
      </c>
      <c r="I568" s="98" t="s">
        <v>630</v>
      </c>
      <c r="J568" s="98" t="s">
        <v>51</v>
      </c>
      <c r="K568" s="98" t="s">
        <v>631</v>
      </c>
    </row>
    <row r="569" spans="2:11" x14ac:dyDescent="0.25">
      <c r="B569" s="98" t="s">
        <v>898</v>
      </c>
      <c r="C569" s="98" t="s">
        <v>255</v>
      </c>
      <c r="D569" s="98" t="s">
        <v>631</v>
      </c>
      <c r="E569" s="98" t="s">
        <v>823</v>
      </c>
      <c r="F569" s="98" t="s">
        <v>139</v>
      </c>
      <c r="G569" s="98">
        <v>10</v>
      </c>
      <c r="H569" s="98" t="str">
        <f t="shared" si="48"/>
        <v>BSS-TC-23150 TC_OBI_PM 1.4_007_Missed detail report _Outage 1_outage 2 Field validation</v>
      </c>
      <c r="I569" s="98" t="s">
        <v>630</v>
      </c>
      <c r="J569" s="98" t="s">
        <v>824</v>
      </c>
      <c r="K569" s="98" t="s">
        <v>119</v>
      </c>
    </row>
    <row r="570" spans="2:11" x14ac:dyDescent="0.25">
      <c r="B570" s="98" t="s">
        <v>899</v>
      </c>
      <c r="C570" s="98" t="s">
        <v>825</v>
      </c>
      <c r="D570" s="98" t="s">
        <v>631</v>
      </c>
      <c r="E570" s="98" t="s">
        <v>826</v>
      </c>
      <c r="F570" s="98" t="s">
        <v>827</v>
      </c>
      <c r="G570" s="98">
        <v>1</v>
      </c>
      <c r="H570" s="98" t="str">
        <f t="shared" ref="H570:H579" si="49">HYPERLINK("http://rms/perspective.req?projectId=233&amp;docId=961920","BSS-TC-23413 TC_OBI_020_CR109_PM1.4_CH Qualification against PM_Met criteria")</f>
        <v>BSS-TC-23413 TC_OBI_020_CR109_PM1.4_CH Qualification against PM_Met criteria</v>
      </c>
      <c r="I570" s="98" t="s">
        <v>630</v>
      </c>
      <c r="J570" s="98" t="s">
        <v>157</v>
      </c>
      <c r="K570" s="98" t="s">
        <v>517</v>
      </c>
    </row>
    <row r="571" spans="2:11" x14ac:dyDescent="0.25">
      <c r="B571" s="98" t="s">
        <v>899</v>
      </c>
      <c r="C571" s="98" t="s">
        <v>825</v>
      </c>
      <c r="D571" s="98" t="s">
        <v>631</v>
      </c>
      <c r="E571" s="98" t="s">
        <v>18</v>
      </c>
      <c r="F571" s="98" t="s">
        <v>827</v>
      </c>
      <c r="G571" s="98">
        <v>2</v>
      </c>
      <c r="H571" s="98" t="str">
        <f t="shared" si="49"/>
        <v>BSS-TC-23413 TC_OBI_020_CR109_PM1.4_CH Qualification against PM_Met criteria</v>
      </c>
      <c r="I571" s="98" t="s">
        <v>630</v>
      </c>
      <c r="J571" s="98" t="s">
        <v>20</v>
      </c>
      <c r="K571" s="98" t="s">
        <v>157</v>
      </c>
    </row>
    <row r="572" spans="2:11" x14ac:dyDescent="0.25">
      <c r="B572" s="98" t="s">
        <v>899</v>
      </c>
      <c r="C572" s="98" t="s">
        <v>825</v>
      </c>
      <c r="D572" s="98" t="s">
        <v>631</v>
      </c>
      <c r="E572" s="98" t="s">
        <v>21</v>
      </c>
      <c r="F572" s="98" t="s">
        <v>827</v>
      </c>
      <c r="G572" s="98">
        <v>3</v>
      </c>
      <c r="H572" s="98" t="str">
        <f t="shared" si="49"/>
        <v>BSS-TC-23413 TC_OBI_020_CR109_PM1.4_CH Qualification against PM_Met criteria</v>
      </c>
      <c r="I572" s="98" t="s">
        <v>630</v>
      </c>
      <c r="J572" s="98" t="s">
        <v>22</v>
      </c>
      <c r="K572" s="98" t="s">
        <v>157</v>
      </c>
    </row>
    <row r="573" spans="2:11" x14ac:dyDescent="0.25">
      <c r="B573" s="98" t="s">
        <v>899</v>
      </c>
      <c r="C573" s="98" t="s">
        <v>825</v>
      </c>
      <c r="D573" s="98" t="s">
        <v>631</v>
      </c>
      <c r="E573" s="98" t="s">
        <v>23</v>
      </c>
      <c r="F573" s="98" t="s">
        <v>827</v>
      </c>
      <c r="G573" s="98">
        <v>4</v>
      </c>
      <c r="H573" s="98" t="str">
        <f t="shared" si="49"/>
        <v>BSS-TC-23413 TC_OBI_020_CR109_PM1.4_CH Qualification against PM_Met criteria</v>
      </c>
      <c r="I573" s="98" t="s">
        <v>630</v>
      </c>
      <c r="J573" s="98" t="s">
        <v>41</v>
      </c>
      <c r="K573" s="98" t="s">
        <v>157</v>
      </c>
    </row>
    <row r="574" spans="2:11" x14ac:dyDescent="0.25">
      <c r="B574" s="98" t="s">
        <v>899</v>
      </c>
      <c r="C574" s="98" t="s">
        <v>825</v>
      </c>
      <c r="D574" s="98" t="s">
        <v>631</v>
      </c>
      <c r="E574" s="98" t="s">
        <v>43</v>
      </c>
      <c r="F574" s="98" t="s">
        <v>827</v>
      </c>
      <c r="G574" s="98">
        <v>5</v>
      </c>
      <c r="H574" s="98" t="str">
        <f t="shared" si="49"/>
        <v>BSS-TC-23413 TC_OBI_020_CR109_PM1.4_CH Qualification against PM_Met criteria</v>
      </c>
      <c r="I574" s="98" t="s">
        <v>630</v>
      </c>
      <c r="J574" s="98" t="s">
        <v>44</v>
      </c>
      <c r="K574" s="98" t="s">
        <v>157</v>
      </c>
    </row>
    <row r="575" spans="2:11" x14ac:dyDescent="0.25">
      <c r="B575" s="98" t="s">
        <v>899</v>
      </c>
      <c r="C575" s="98" t="s">
        <v>825</v>
      </c>
      <c r="D575" s="98" t="s">
        <v>631</v>
      </c>
      <c r="E575" s="98" t="s">
        <v>25</v>
      </c>
      <c r="F575" s="98" t="s">
        <v>827</v>
      </c>
      <c r="G575" s="98">
        <v>6</v>
      </c>
      <c r="H575" s="98" t="str">
        <f t="shared" si="49"/>
        <v>BSS-TC-23413 TC_OBI_020_CR109_PM1.4_CH Qualification against PM_Met criteria</v>
      </c>
      <c r="I575" s="98" t="s">
        <v>630</v>
      </c>
      <c r="J575" s="98" t="s">
        <v>27</v>
      </c>
      <c r="K575" s="98" t="s">
        <v>157</v>
      </c>
    </row>
    <row r="576" spans="2:11" x14ac:dyDescent="0.25">
      <c r="B576" s="98" t="s">
        <v>899</v>
      </c>
      <c r="C576" s="98" t="s">
        <v>825</v>
      </c>
      <c r="D576" s="98" t="s">
        <v>631</v>
      </c>
      <c r="E576" s="98" t="s">
        <v>268</v>
      </c>
      <c r="F576" s="98" t="s">
        <v>827</v>
      </c>
      <c r="G576" s="98">
        <v>7</v>
      </c>
      <c r="H576" s="98" t="str">
        <f t="shared" si="49"/>
        <v>BSS-TC-23413 TC_OBI_020_CR109_PM1.4_CH Qualification against PM_Met criteria</v>
      </c>
      <c r="I576" s="98" t="s">
        <v>630</v>
      </c>
      <c r="J576" s="98" t="s">
        <v>270</v>
      </c>
      <c r="K576" s="98" t="s">
        <v>157</v>
      </c>
    </row>
    <row r="577" spans="2:11" x14ac:dyDescent="0.25">
      <c r="B577" s="98" t="s">
        <v>899</v>
      </c>
      <c r="C577" s="98" t="s">
        <v>825</v>
      </c>
      <c r="D577" s="98" t="s">
        <v>631</v>
      </c>
      <c r="E577" s="98" t="s">
        <v>828</v>
      </c>
      <c r="F577" s="98" t="s">
        <v>827</v>
      </c>
      <c r="G577" s="98">
        <v>8</v>
      </c>
      <c r="H577" s="98" t="str">
        <f t="shared" si="49"/>
        <v>BSS-TC-23413 TC_OBI_020_CR109_PM1.4_CH Qualification against PM_Met criteria</v>
      </c>
      <c r="I577" s="98" t="s">
        <v>630</v>
      </c>
      <c r="J577" s="98" t="s">
        <v>829</v>
      </c>
      <c r="K577" s="98" t="s">
        <v>830</v>
      </c>
    </row>
    <row r="578" spans="2:11" x14ac:dyDescent="0.25">
      <c r="B578" s="98" t="s">
        <v>899</v>
      </c>
      <c r="C578" s="98" t="s">
        <v>825</v>
      </c>
      <c r="D578" s="98" t="s">
        <v>631</v>
      </c>
      <c r="E578" s="98" t="s">
        <v>831</v>
      </c>
      <c r="F578" s="98" t="s">
        <v>827</v>
      </c>
      <c r="G578" s="98">
        <v>9</v>
      </c>
      <c r="H578" s="98" t="str">
        <f t="shared" si="49"/>
        <v>BSS-TC-23413 TC_OBI_020_CR109_PM1.4_CH Qualification against PM_Met criteria</v>
      </c>
      <c r="I578" s="98" t="s">
        <v>630</v>
      </c>
      <c r="J578" s="98" t="s">
        <v>832</v>
      </c>
      <c r="K578" s="98" t="s">
        <v>157</v>
      </c>
    </row>
    <row r="579" spans="2:11" x14ac:dyDescent="0.25">
      <c r="B579" s="98" t="s">
        <v>899</v>
      </c>
      <c r="C579" s="98" t="s">
        <v>825</v>
      </c>
      <c r="D579" s="98" t="s">
        <v>631</v>
      </c>
      <c r="E579" s="98" t="s">
        <v>833</v>
      </c>
      <c r="F579" s="98" t="s">
        <v>827</v>
      </c>
      <c r="G579" s="98">
        <v>10</v>
      </c>
      <c r="H579" s="98" t="str">
        <f t="shared" si="49"/>
        <v>BSS-TC-23413 TC_OBI_020_CR109_PM1.4_CH Qualification against PM_Met criteria</v>
      </c>
      <c r="I579" s="98" t="s">
        <v>630</v>
      </c>
      <c r="J579" s="98" t="s">
        <v>834</v>
      </c>
      <c r="K579" s="98" t="s">
        <v>830</v>
      </c>
    </row>
    <row r="580" spans="2:11" x14ac:dyDescent="0.25">
      <c r="B580" s="98" t="s">
        <v>900</v>
      </c>
      <c r="C580" s="98" t="s">
        <v>142</v>
      </c>
      <c r="D580" s="98" t="s">
        <v>631</v>
      </c>
      <c r="E580" s="98" t="s">
        <v>835</v>
      </c>
      <c r="F580" s="98" t="s">
        <v>143</v>
      </c>
      <c r="G580" s="98">
        <v>1</v>
      </c>
      <c r="H580" s="98" t="str">
        <f t="shared" ref="H580:H589" si="50">HYPERLINK("http://rms/perspective.req?projectId=233&amp;docId=959367","BSS-TC-23151 TC_OBI_PM 1.4_008_Missed detail report _Outage 1 start,outage 1 end_outage 2 start ,outage 2 end_Field validation")</f>
        <v>BSS-TC-23151 TC_OBI_PM 1.4_008_Missed detail report _Outage 1 start,outage 1 end_outage 2 start ,outage 2 end_Field validation</v>
      </c>
      <c r="I580" s="98" t="s">
        <v>630</v>
      </c>
      <c r="J580" s="98" t="s">
        <v>80</v>
      </c>
      <c r="K580" s="98" t="s">
        <v>517</v>
      </c>
    </row>
    <row r="581" spans="2:11" x14ac:dyDescent="0.25">
      <c r="B581" s="98" t="s">
        <v>900</v>
      </c>
      <c r="C581" s="98" t="s">
        <v>142</v>
      </c>
      <c r="D581" s="98" t="s">
        <v>631</v>
      </c>
      <c r="E581" s="98" t="s">
        <v>836</v>
      </c>
      <c r="F581" s="98" t="s">
        <v>143</v>
      </c>
      <c r="G581" s="98">
        <v>2</v>
      </c>
      <c r="H581" s="98" t="str">
        <f t="shared" si="50"/>
        <v>BSS-TC-23151 TC_OBI_PM 1.4_008_Missed detail report _Outage 1 start,outage 1 end_outage 2 start ,outage 2 end_Field validation</v>
      </c>
      <c r="I581" s="98" t="s">
        <v>630</v>
      </c>
      <c r="J581" s="98" t="s">
        <v>631</v>
      </c>
      <c r="K581" s="98" t="s">
        <v>517</v>
      </c>
    </row>
    <row r="582" spans="2:11" x14ac:dyDescent="0.25">
      <c r="B582" s="98" t="s">
        <v>900</v>
      </c>
      <c r="C582" s="98" t="s">
        <v>142</v>
      </c>
      <c r="D582" s="98" t="s">
        <v>631</v>
      </c>
      <c r="E582" s="98" t="s">
        <v>18</v>
      </c>
      <c r="F582" s="98" t="s">
        <v>143</v>
      </c>
      <c r="G582" s="98">
        <v>3</v>
      </c>
      <c r="H582" s="98" t="str">
        <f t="shared" si="50"/>
        <v>BSS-TC-23151 TC_OBI_PM 1.4_008_Missed detail report _Outage 1 start,outage 1 end_outage 2 start ,outage 2 end_Field validation</v>
      </c>
      <c r="I582" s="98" t="s">
        <v>630</v>
      </c>
      <c r="J582" s="98" t="s">
        <v>20</v>
      </c>
      <c r="K582" s="98" t="s">
        <v>631</v>
      </c>
    </row>
    <row r="583" spans="2:11" x14ac:dyDescent="0.25">
      <c r="B583" s="98" t="s">
        <v>900</v>
      </c>
      <c r="C583" s="98" t="s">
        <v>142</v>
      </c>
      <c r="D583" s="98" t="s">
        <v>631</v>
      </c>
      <c r="E583" s="98" t="s">
        <v>21</v>
      </c>
      <c r="F583" s="98" t="s">
        <v>143</v>
      </c>
      <c r="G583" s="98">
        <v>4</v>
      </c>
      <c r="H583" s="98" t="str">
        <f t="shared" si="50"/>
        <v>BSS-TC-23151 TC_OBI_PM 1.4_008_Missed detail report _Outage 1 start,outage 1 end_outage 2 start ,outage 2 end_Field validation</v>
      </c>
      <c r="I583" s="98" t="s">
        <v>630</v>
      </c>
      <c r="J583" s="98" t="s">
        <v>22</v>
      </c>
      <c r="K583" s="98" t="s">
        <v>631</v>
      </c>
    </row>
    <row r="584" spans="2:11" x14ac:dyDescent="0.25">
      <c r="B584" s="98" t="s">
        <v>900</v>
      </c>
      <c r="C584" s="98" t="s">
        <v>142</v>
      </c>
      <c r="D584" s="98" t="s">
        <v>631</v>
      </c>
      <c r="E584" s="98" t="s">
        <v>23</v>
      </c>
      <c r="F584" s="98" t="s">
        <v>143</v>
      </c>
      <c r="G584" s="98">
        <v>5</v>
      </c>
      <c r="H584" s="98" t="str">
        <f t="shared" si="50"/>
        <v>BSS-TC-23151 TC_OBI_PM 1.4_008_Missed detail report _Outage 1 start,outage 1 end_outage 2 start ,outage 2 end_Field validation</v>
      </c>
      <c r="I584" s="98" t="s">
        <v>630</v>
      </c>
      <c r="J584" s="98" t="s">
        <v>41</v>
      </c>
      <c r="K584" s="98" t="s">
        <v>631</v>
      </c>
    </row>
    <row r="585" spans="2:11" x14ac:dyDescent="0.25">
      <c r="B585" s="98" t="s">
        <v>900</v>
      </c>
      <c r="C585" s="98" t="s">
        <v>142</v>
      </c>
      <c r="D585" s="98" t="s">
        <v>631</v>
      </c>
      <c r="E585" s="98" t="s">
        <v>43</v>
      </c>
      <c r="F585" s="98" t="s">
        <v>143</v>
      </c>
      <c r="G585" s="98">
        <v>6</v>
      </c>
      <c r="H585" s="98" t="str">
        <f t="shared" si="50"/>
        <v>BSS-TC-23151 TC_OBI_PM 1.4_008_Missed detail report _Outage 1 start,outage 1 end_outage 2 start ,outage 2 end_Field validation</v>
      </c>
      <c r="I585" s="98" t="s">
        <v>630</v>
      </c>
      <c r="J585" s="98" t="s">
        <v>44</v>
      </c>
      <c r="K585" s="98" t="s">
        <v>631</v>
      </c>
    </row>
    <row r="586" spans="2:11" x14ac:dyDescent="0.25">
      <c r="B586" s="98" t="s">
        <v>900</v>
      </c>
      <c r="C586" s="98" t="s">
        <v>142</v>
      </c>
      <c r="D586" s="98" t="s">
        <v>631</v>
      </c>
      <c r="E586" s="98" t="s">
        <v>25</v>
      </c>
      <c r="F586" s="98" t="s">
        <v>143</v>
      </c>
      <c r="G586" s="98">
        <v>7</v>
      </c>
      <c r="H586" s="98" t="str">
        <f t="shared" si="50"/>
        <v>BSS-TC-23151 TC_OBI_PM 1.4_008_Missed detail report _Outage 1 start,outage 1 end_outage 2 start ,outage 2 end_Field validation</v>
      </c>
      <c r="I586" s="98" t="s">
        <v>630</v>
      </c>
      <c r="J586" s="98" t="s">
        <v>27</v>
      </c>
      <c r="K586" s="98" t="s">
        <v>631</v>
      </c>
    </row>
    <row r="587" spans="2:11" x14ac:dyDescent="0.25">
      <c r="B587" s="98" t="s">
        <v>900</v>
      </c>
      <c r="C587" s="98" t="s">
        <v>142</v>
      </c>
      <c r="D587" s="98" t="s">
        <v>631</v>
      </c>
      <c r="E587" s="98" t="s">
        <v>521</v>
      </c>
      <c r="F587" s="98" t="s">
        <v>143</v>
      </c>
      <c r="G587" s="98">
        <v>8</v>
      </c>
      <c r="H587" s="98" t="str">
        <f t="shared" si="50"/>
        <v>BSS-TC-23151 TC_OBI_PM 1.4_008_Missed detail report _Outage 1 start,outage 1 end_outage 2 start ,outage 2 end_Field validation</v>
      </c>
      <c r="I587" s="98" t="s">
        <v>630</v>
      </c>
      <c r="J587" s="98" t="s">
        <v>522</v>
      </c>
      <c r="K587" s="98" t="s">
        <v>631</v>
      </c>
    </row>
    <row r="588" spans="2:11" x14ac:dyDescent="0.25">
      <c r="B588" s="98" t="s">
        <v>900</v>
      </c>
      <c r="C588" s="98" t="s">
        <v>142</v>
      </c>
      <c r="D588" s="98" t="s">
        <v>631</v>
      </c>
      <c r="E588" s="98" t="s">
        <v>50</v>
      </c>
      <c r="F588" s="98" t="s">
        <v>143</v>
      </c>
      <c r="G588" s="98">
        <v>9</v>
      </c>
      <c r="H588" s="98" t="str">
        <f t="shared" si="50"/>
        <v>BSS-TC-23151 TC_OBI_PM 1.4_008_Missed detail report _Outage 1 start,outage 1 end_outage 2 start ,outage 2 end_Field validation</v>
      </c>
      <c r="I588" s="98" t="s">
        <v>630</v>
      </c>
      <c r="J588" s="98" t="s">
        <v>51</v>
      </c>
      <c r="K588" s="98" t="s">
        <v>631</v>
      </c>
    </row>
    <row r="589" spans="2:11" x14ac:dyDescent="0.25">
      <c r="B589" s="98" t="s">
        <v>900</v>
      </c>
      <c r="C589" s="98" t="s">
        <v>142</v>
      </c>
      <c r="D589" s="98" t="s">
        <v>631</v>
      </c>
      <c r="E589" s="98" t="s">
        <v>766</v>
      </c>
      <c r="F589" s="98" t="s">
        <v>143</v>
      </c>
      <c r="G589" s="98">
        <v>10</v>
      </c>
      <c r="H589" s="98" t="str">
        <f t="shared" si="50"/>
        <v>BSS-TC-23151 TC_OBI_PM 1.4_008_Missed detail report _Outage 1 start,outage 1 end_outage 2 start ,outage 2 end_Field validation</v>
      </c>
      <c r="I589" s="98" t="s">
        <v>630</v>
      </c>
      <c r="J589" s="98" t="s">
        <v>824</v>
      </c>
      <c r="K589" s="98" t="s">
        <v>119</v>
      </c>
    </row>
    <row r="590" spans="2:11" x14ac:dyDescent="0.25">
      <c r="B590" s="98" t="s">
        <v>902</v>
      </c>
      <c r="C590" s="98" t="s">
        <v>250</v>
      </c>
      <c r="D590" s="98" t="s">
        <v>631</v>
      </c>
      <c r="E590" s="98" t="s">
        <v>837</v>
      </c>
      <c r="F590" s="98" t="s">
        <v>548</v>
      </c>
      <c r="G590" s="98">
        <v>1</v>
      </c>
      <c r="H590" s="98" t="str">
        <f t="shared" ref="H590:H597" si="51">HYPERLINK("http://rms/perspective.req?projectId=233&amp;docId=959370","BSS-TC-23154 TC_OBI_PM 1.4_011_Missed detail report _Manual PM Override Flag field_field validation")</f>
        <v>BSS-TC-23154 TC_OBI_PM 1.4_011_Missed detail report _Manual PM Override Flag field_field validation</v>
      </c>
      <c r="I590" s="98" t="s">
        <v>630</v>
      </c>
      <c r="J590" s="98" t="s">
        <v>80</v>
      </c>
      <c r="K590" s="98" t="s">
        <v>517</v>
      </c>
    </row>
    <row r="591" spans="2:11" x14ac:dyDescent="0.25">
      <c r="B591" s="98" t="s">
        <v>902</v>
      </c>
      <c r="C591" s="98" t="s">
        <v>250</v>
      </c>
      <c r="D591" s="98" t="s">
        <v>631</v>
      </c>
      <c r="E591" s="98" t="s">
        <v>18</v>
      </c>
      <c r="F591" s="98" t="s">
        <v>548</v>
      </c>
      <c r="G591" s="98">
        <v>2</v>
      </c>
      <c r="H591" s="98" t="str">
        <f t="shared" si="51"/>
        <v>BSS-TC-23154 TC_OBI_PM 1.4_011_Missed detail report _Manual PM Override Flag field_field validation</v>
      </c>
      <c r="I591" s="98" t="s">
        <v>630</v>
      </c>
      <c r="J591" s="98" t="s">
        <v>20</v>
      </c>
      <c r="K591" s="98" t="s">
        <v>631</v>
      </c>
    </row>
    <row r="592" spans="2:11" x14ac:dyDescent="0.25">
      <c r="B592" s="98" t="s">
        <v>902</v>
      </c>
      <c r="C592" s="98" t="s">
        <v>250</v>
      </c>
      <c r="D592" s="98" t="s">
        <v>631</v>
      </c>
      <c r="E592" s="98" t="s">
        <v>21</v>
      </c>
      <c r="F592" s="98" t="s">
        <v>548</v>
      </c>
      <c r="G592" s="98">
        <v>3</v>
      </c>
      <c r="H592" s="98" t="str">
        <f t="shared" si="51"/>
        <v>BSS-TC-23154 TC_OBI_PM 1.4_011_Missed detail report _Manual PM Override Flag field_field validation</v>
      </c>
      <c r="I592" s="98" t="s">
        <v>630</v>
      </c>
      <c r="J592" s="98" t="s">
        <v>22</v>
      </c>
      <c r="K592" s="98" t="s">
        <v>631</v>
      </c>
    </row>
    <row r="593" spans="2:11" x14ac:dyDescent="0.25">
      <c r="B593" s="98" t="s">
        <v>902</v>
      </c>
      <c r="C593" s="98" t="s">
        <v>250</v>
      </c>
      <c r="D593" s="98" t="s">
        <v>631</v>
      </c>
      <c r="E593" s="98" t="s">
        <v>23</v>
      </c>
      <c r="F593" s="98" t="s">
        <v>548</v>
      </c>
      <c r="G593" s="98">
        <v>4</v>
      </c>
      <c r="H593" s="98" t="str">
        <f t="shared" si="51"/>
        <v>BSS-TC-23154 TC_OBI_PM 1.4_011_Missed detail report _Manual PM Override Flag field_field validation</v>
      </c>
      <c r="I593" s="98" t="s">
        <v>630</v>
      </c>
      <c r="J593" s="98" t="s">
        <v>41</v>
      </c>
      <c r="K593" s="98" t="s">
        <v>631</v>
      </c>
    </row>
    <row r="594" spans="2:11" x14ac:dyDescent="0.25">
      <c r="B594" s="98" t="s">
        <v>902</v>
      </c>
      <c r="C594" s="98" t="s">
        <v>250</v>
      </c>
      <c r="D594" s="98" t="s">
        <v>631</v>
      </c>
      <c r="E594" s="98" t="s">
        <v>43</v>
      </c>
      <c r="F594" s="98" t="s">
        <v>548</v>
      </c>
      <c r="G594" s="98">
        <v>5</v>
      </c>
      <c r="H594" s="98" t="str">
        <f t="shared" si="51"/>
        <v>BSS-TC-23154 TC_OBI_PM 1.4_011_Missed detail report _Manual PM Override Flag field_field validation</v>
      </c>
      <c r="I594" s="98" t="s">
        <v>630</v>
      </c>
      <c r="J594" s="98" t="s">
        <v>44</v>
      </c>
      <c r="K594" s="98" t="s">
        <v>631</v>
      </c>
    </row>
    <row r="595" spans="2:11" x14ac:dyDescent="0.25">
      <c r="B595" s="98" t="s">
        <v>902</v>
      </c>
      <c r="C595" s="98" t="s">
        <v>250</v>
      </c>
      <c r="D595" s="98" t="s">
        <v>631</v>
      </c>
      <c r="E595" s="98" t="s">
        <v>25</v>
      </c>
      <c r="F595" s="98" t="s">
        <v>548</v>
      </c>
      <c r="G595" s="98">
        <v>6</v>
      </c>
      <c r="H595" s="98" t="str">
        <f t="shared" si="51"/>
        <v>BSS-TC-23154 TC_OBI_PM 1.4_011_Missed detail report _Manual PM Override Flag field_field validation</v>
      </c>
      <c r="I595" s="98" t="s">
        <v>630</v>
      </c>
      <c r="J595" s="98" t="s">
        <v>27</v>
      </c>
      <c r="K595" s="98" t="s">
        <v>631</v>
      </c>
    </row>
    <row r="596" spans="2:11" x14ac:dyDescent="0.25">
      <c r="B596" s="98" t="s">
        <v>902</v>
      </c>
      <c r="C596" s="98" t="s">
        <v>250</v>
      </c>
      <c r="D596" s="98" t="s">
        <v>631</v>
      </c>
      <c r="E596" s="98" t="s">
        <v>50</v>
      </c>
      <c r="F596" s="98" t="s">
        <v>548</v>
      </c>
      <c r="G596" s="98">
        <v>7</v>
      </c>
      <c r="H596" s="98" t="str">
        <f t="shared" si="51"/>
        <v>BSS-TC-23154 TC_OBI_PM 1.4_011_Missed detail report _Manual PM Override Flag field_field validation</v>
      </c>
      <c r="I596" s="98" t="s">
        <v>630</v>
      </c>
      <c r="J596" s="98" t="s">
        <v>226</v>
      </c>
      <c r="K596" s="98" t="s">
        <v>631</v>
      </c>
    </row>
    <row r="597" spans="2:11" x14ac:dyDescent="0.25">
      <c r="B597" s="98" t="s">
        <v>902</v>
      </c>
      <c r="C597" s="98" t="s">
        <v>250</v>
      </c>
      <c r="D597" s="98" t="s">
        <v>631</v>
      </c>
      <c r="E597" s="98" t="s">
        <v>248</v>
      </c>
      <c r="F597" s="98" t="s">
        <v>548</v>
      </c>
      <c r="G597" s="98">
        <v>8</v>
      </c>
      <c r="H597" s="98" t="str">
        <f t="shared" si="51"/>
        <v>BSS-TC-23154 TC_OBI_PM 1.4_011_Missed detail report _Manual PM Override Flag field_field validation</v>
      </c>
      <c r="I597" s="98" t="s">
        <v>630</v>
      </c>
      <c r="J597" s="98" t="s">
        <v>838</v>
      </c>
      <c r="K597" s="98" t="s">
        <v>249</v>
      </c>
    </row>
    <row r="598" spans="2:11" x14ac:dyDescent="0.25">
      <c r="B598" s="98" t="s">
        <v>903</v>
      </c>
      <c r="C598" s="98" t="s">
        <v>544</v>
      </c>
      <c r="D598" s="98" t="s">
        <v>631</v>
      </c>
      <c r="E598" s="98" t="s">
        <v>265</v>
      </c>
      <c r="F598" s="98" t="s">
        <v>264</v>
      </c>
      <c r="G598" s="98">
        <v>1</v>
      </c>
      <c r="H598" s="98" t="str">
        <f>HYPERLINK("http://rms/perspective.req?projectId=233&amp;docId=959371","BSS-TC-23155 TC_OBI_012_CR109_PM1.4_Missed_detail_Report_Filter_Validation")</f>
        <v>BSS-TC-23155 TC_OBI_012_CR109_PM1.4_Missed_detail_Report_Filter_Validation</v>
      </c>
      <c r="I598" s="98" t="s">
        <v>630</v>
      </c>
      <c r="J598" s="98" t="s">
        <v>266</v>
      </c>
      <c r="K598" s="98" t="s">
        <v>631</v>
      </c>
    </row>
    <row r="599" spans="2:11" x14ac:dyDescent="0.25">
      <c r="B599" s="98" t="s">
        <v>903</v>
      </c>
      <c r="C599" s="98" t="s">
        <v>544</v>
      </c>
      <c r="D599" s="98" t="s">
        <v>631</v>
      </c>
      <c r="E599" s="98" t="s">
        <v>267</v>
      </c>
      <c r="F599" s="98" t="s">
        <v>264</v>
      </c>
      <c r="G599" s="98">
        <v>2</v>
      </c>
      <c r="H599" s="98" t="str">
        <f>HYPERLINK("http://rms/perspective.req?projectId=233&amp;docId=959371","BSS-TC-23155 TC_OBI_012_CR109_PM1.4_Missed_detail_Report_Filter_Validation")</f>
        <v>BSS-TC-23155 TC_OBI_012_CR109_PM1.4_Missed_detail_Report_Filter_Validation</v>
      </c>
      <c r="I599" s="98" t="s">
        <v>630</v>
      </c>
      <c r="J599" s="98" t="s">
        <v>27</v>
      </c>
      <c r="K599" s="98" t="s">
        <v>631</v>
      </c>
    </row>
    <row r="600" spans="2:11" x14ac:dyDescent="0.25">
      <c r="B600" s="98" t="s">
        <v>903</v>
      </c>
      <c r="C600" s="98" t="s">
        <v>544</v>
      </c>
      <c r="D600" s="98" t="s">
        <v>631</v>
      </c>
      <c r="E600" s="98" t="s">
        <v>268</v>
      </c>
      <c r="F600" s="98" t="s">
        <v>264</v>
      </c>
      <c r="G600" s="98">
        <v>3</v>
      </c>
      <c r="H600" s="98" t="str">
        <f>HYPERLINK("http://rms/perspective.req?projectId=233&amp;docId=959371","BSS-TC-23155 TC_OBI_012_CR109_PM1.4_Missed_detail_Report_Filter_Validation")</f>
        <v>BSS-TC-23155 TC_OBI_012_CR109_PM1.4_Missed_detail_Report_Filter_Validation</v>
      </c>
      <c r="I600" s="98" t="s">
        <v>630</v>
      </c>
      <c r="J600" s="98" t="s">
        <v>270</v>
      </c>
      <c r="K600" s="98" t="s">
        <v>269</v>
      </c>
    </row>
    <row r="601" spans="2:11" x14ac:dyDescent="0.25">
      <c r="B601" s="98" t="s">
        <v>903</v>
      </c>
      <c r="C601" s="98" t="s">
        <v>544</v>
      </c>
      <c r="D601" s="98" t="s">
        <v>631</v>
      </c>
      <c r="E601" s="98" t="s">
        <v>352</v>
      </c>
      <c r="F601" s="98" t="s">
        <v>264</v>
      </c>
      <c r="G601" s="98">
        <v>4</v>
      </c>
      <c r="H601" s="98" t="str">
        <f>HYPERLINK("http://rms/perspective.req?projectId=233&amp;docId=959371","BSS-TC-23155 TC_OBI_012_CR109_PM1.4_Missed_detail_Report_Filter_Validation")</f>
        <v>BSS-TC-23155 TC_OBI_012_CR109_PM1.4_Missed_detail_Report_Filter_Validation</v>
      </c>
      <c r="I601" s="98" t="s">
        <v>630</v>
      </c>
      <c r="J601" s="98" t="s">
        <v>51</v>
      </c>
      <c r="K601" s="98" t="s">
        <v>272</v>
      </c>
    </row>
    <row r="602" spans="2:11" x14ac:dyDescent="0.25">
      <c r="B602" s="98" t="s">
        <v>903</v>
      </c>
      <c r="C602" s="98" t="s">
        <v>544</v>
      </c>
      <c r="D602" s="98" t="s">
        <v>631</v>
      </c>
      <c r="E602" s="98" t="s">
        <v>353</v>
      </c>
      <c r="F602" s="98" t="s">
        <v>264</v>
      </c>
      <c r="G602" s="98">
        <v>5</v>
      </c>
      <c r="H602" s="98" t="str">
        <f>HYPERLINK("http://rms/perspective.req?projectId=233&amp;docId=959371","BSS-TC-23155 TC_OBI_012_CR109_PM1.4_Missed_detail_Report_Filter_Validation")</f>
        <v>BSS-TC-23155 TC_OBI_012_CR109_PM1.4_Missed_detail_Report_Filter_Validation</v>
      </c>
      <c r="I602" s="98" t="s">
        <v>630</v>
      </c>
      <c r="J602" s="98" t="s">
        <v>839</v>
      </c>
      <c r="K602" s="98" t="s">
        <v>274</v>
      </c>
    </row>
    <row r="603" spans="2:11" x14ac:dyDescent="0.25">
      <c r="B603" s="98" t="s">
        <v>904</v>
      </c>
      <c r="C603" s="98" t="s">
        <v>545</v>
      </c>
      <c r="D603" s="98" t="s">
        <v>631</v>
      </c>
      <c r="E603" s="98" t="s">
        <v>265</v>
      </c>
      <c r="F603" s="98" t="s">
        <v>356</v>
      </c>
      <c r="G603" s="98">
        <v>1</v>
      </c>
      <c r="H603" s="98" t="str">
        <f>HYPERLINK("http://rms/perspective.req?projectId=233&amp;docId=959372","BSS-TC-23156 TC_OBI_013_CR109_PM1.4_Missed_detail_Report_Column_Validation")</f>
        <v>BSS-TC-23156 TC_OBI_013_CR109_PM1.4_Missed_detail_Report_Column_Validation</v>
      </c>
      <c r="I603" s="98" t="s">
        <v>630</v>
      </c>
      <c r="J603" s="98" t="s">
        <v>266</v>
      </c>
      <c r="K603" s="98" t="s">
        <v>631</v>
      </c>
    </row>
    <row r="604" spans="2:11" x14ac:dyDescent="0.25">
      <c r="B604" s="98" t="s">
        <v>904</v>
      </c>
      <c r="C604" s="98" t="s">
        <v>545</v>
      </c>
      <c r="D604" s="98" t="s">
        <v>631</v>
      </c>
      <c r="E604" s="98" t="s">
        <v>267</v>
      </c>
      <c r="F604" s="98" t="s">
        <v>356</v>
      </c>
      <c r="G604" s="98">
        <v>2</v>
      </c>
      <c r="H604" s="98" t="str">
        <f>HYPERLINK("http://rms/perspective.req?projectId=233&amp;docId=959372","BSS-TC-23156 TC_OBI_013_CR109_PM1.4_Missed_detail_Report_Column_Validation")</f>
        <v>BSS-TC-23156 TC_OBI_013_CR109_PM1.4_Missed_detail_Report_Column_Validation</v>
      </c>
      <c r="I604" s="98" t="s">
        <v>630</v>
      </c>
      <c r="J604" s="98" t="s">
        <v>27</v>
      </c>
      <c r="K604" s="98" t="s">
        <v>631</v>
      </c>
    </row>
    <row r="605" spans="2:11" x14ac:dyDescent="0.25">
      <c r="B605" s="98" t="s">
        <v>904</v>
      </c>
      <c r="C605" s="98" t="s">
        <v>545</v>
      </c>
      <c r="D605" s="98" t="s">
        <v>631</v>
      </c>
      <c r="E605" s="98" t="s">
        <v>268</v>
      </c>
      <c r="F605" s="98" t="s">
        <v>356</v>
      </c>
      <c r="G605" s="98">
        <v>3</v>
      </c>
      <c r="H605" s="98" t="str">
        <f>HYPERLINK("http://rms/perspective.req?projectId=233&amp;docId=959372","BSS-TC-23156 TC_OBI_013_CR109_PM1.4_Missed_detail_Report_Column_Validation")</f>
        <v>BSS-TC-23156 TC_OBI_013_CR109_PM1.4_Missed_detail_Report_Column_Validation</v>
      </c>
      <c r="I605" s="98" t="s">
        <v>630</v>
      </c>
      <c r="J605" s="98" t="s">
        <v>270</v>
      </c>
      <c r="K605" s="98" t="s">
        <v>269</v>
      </c>
    </row>
    <row r="606" spans="2:11" x14ac:dyDescent="0.25">
      <c r="B606" s="98" t="s">
        <v>904</v>
      </c>
      <c r="C606" s="98" t="s">
        <v>545</v>
      </c>
      <c r="D606" s="98" t="s">
        <v>631</v>
      </c>
      <c r="E606" s="98" t="s">
        <v>352</v>
      </c>
      <c r="F606" s="98" t="s">
        <v>356</v>
      </c>
      <c r="G606" s="98">
        <v>4</v>
      </c>
      <c r="H606" s="98" t="str">
        <f>HYPERLINK("http://rms/perspective.req?projectId=233&amp;docId=959372","BSS-TC-23156 TC_OBI_013_CR109_PM1.4_Missed_detail_Report_Column_Validation")</f>
        <v>BSS-TC-23156 TC_OBI_013_CR109_PM1.4_Missed_detail_Report_Column_Validation</v>
      </c>
      <c r="I606" s="98" t="s">
        <v>630</v>
      </c>
      <c r="J606" s="98" t="s">
        <v>51</v>
      </c>
      <c r="K606" s="98" t="s">
        <v>272</v>
      </c>
    </row>
    <row r="607" spans="2:11" x14ac:dyDescent="0.25">
      <c r="B607" s="98" t="s">
        <v>904</v>
      </c>
      <c r="C607" s="98" t="s">
        <v>545</v>
      </c>
      <c r="D607" s="98" t="s">
        <v>631</v>
      </c>
      <c r="E607" s="98" t="s">
        <v>357</v>
      </c>
      <c r="F607" s="98" t="s">
        <v>356</v>
      </c>
      <c r="G607" s="98">
        <v>5</v>
      </c>
      <c r="H607" s="98" t="str">
        <f>HYPERLINK("http://rms/perspective.req?projectId=233&amp;docId=959372","BSS-TC-23156 TC_OBI_013_CR109_PM1.4_Missed_detail_Report_Column_Validation")</f>
        <v>BSS-TC-23156 TC_OBI_013_CR109_PM1.4_Missed_detail_Report_Column_Validation</v>
      </c>
      <c r="I607" s="98" t="s">
        <v>630</v>
      </c>
      <c r="J607" s="98" t="s">
        <v>840</v>
      </c>
      <c r="K607" s="98" t="s">
        <v>314</v>
      </c>
    </row>
    <row r="608" spans="2:11" x14ac:dyDescent="0.25">
      <c r="B608" s="98" t="s">
        <v>901</v>
      </c>
      <c r="C608" s="98" t="s">
        <v>546</v>
      </c>
      <c r="D608" s="98" t="s">
        <v>631</v>
      </c>
      <c r="E608" s="98" t="s">
        <v>265</v>
      </c>
      <c r="F608" s="98" t="s">
        <v>360</v>
      </c>
      <c r="G608" s="98">
        <v>1</v>
      </c>
      <c r="H608" s="98" t="str">
        <f t="shared" ref="H608:H614" si="52">HYPERLINK("http://rms/perspective.req?projectId=233&amp;docId=959373","BSS-TC-23157 TC_OBI_014_CR109_PM1.4_Missed_Detail_Comms_Hub_ID_Filter_Validation")</f>
        <v>BSS-TC-23157 TC_OBI_014_CR109_PM1.4_Missed_Detail_Comms_Hub_ID_Filter_Validation</v>
      </c>
      <c r="I608" s="98" t="s">
        <v>630</v>
      </c>
      <c r="J608" s="98" t="s">
        <v>266</v>
      </c>
      <c r="K608" s="98" t="s">
        <v>631</v>
      </c>
    </row>
    <row r="609" spans="2:11" x14ac:dyDescent="0.25">
      <c r="B609" s="98" t="s">
        <v>901</v>
      </c>
      <c r="C609" s="98" t="s">
        <v>546</v>
      </c>
      <c r="D609" s="98" t="s">
        <v>631</v>
      </c>
      <c r="E609" s="98" t="s">
        <v>25</v>
      </c>
      <c r="F609" s="98" t="s">
        <v>360</v>
      </c>
      <c r="G609" s="98">
        <v>2</v>
      </c>
      <c r="H609" s="98" t="str">
        <f t="shared" si="52"/>
        <v>BSS-TC-23157 TC_OBI_014_CR109_PM1.4_Missed_Detail_Comms_Hub_ID_Filter_Validation</v>
      </c>
      <c r="I609" s="98" t="s">
        <v>630</v>
      </c>
      <c r="J609" s="98" t="s">
        <v>27</v>
      </c>
      <c r="K609" s="98" t="s">
        <v>631</v>
      </c>
    </row>
    <row r="610" spans="2:11" x14ac:dyDescent="0.25">
      <c r="B610" s="98" t="s">
        <v>901</v>
      </c>
      <c r="C610" s="98" t="s">
        <v>546</v>
      </c>
      <c r="D610" s="98" t="s">
        <v>631</v>
      </c>
      <c r="E610" s="98" t="s">
        <v>45</v>
      </c>
      <c r="F610" s="98" t="s">
        <v>360</v>
      </c>
      <c r="G610" s="98">
        <v>3</v>
      </c>
      <c r="H610" s="98" t="str">
        <f t="shared" si="52"/>
        <v>BSS-TC-23157 TC_OBI_014_CR109_PM1.4_Missed_Detail_Comms_Hub_ID_Filter_Validation</v>
      </c>
      <c r="I610" s="98" t="s">
        <v>630</v>
      </c>
      <c r="J610" s="98" t="s">
        <v>284</v>
      </c>
      <c r="K610" s="98" t="s">
        <v>631</v>
      </c>
    </row>
    <row r="611" spans="2:11" x14ac:dyDescent="0.25">
      <c r="B611" s="98" t="s">
        <v>901</v>
      </c>
      <c r="C611" s="98" t="s">
        <v>546</v>
      </c>
      <c r="D611" s="98" t="s">
        <v>631</v>
      </c>
      <c r="E611" s="98" t="s">
        <v>361</v>
      </c>
      <c r="F611" s="98" t="s">
        <v>360</v>
      </c>
      <c r="G611" s="98">
        <v>4</v>
      </c>
      <c r="H611" s="98" t="str">
        <f t="shared" si="52"/>
        <v>BSS-TC-23157 TC_OBI_014_CR109_PM1.4_Missed_Detail_Comms_Hub_ID_Filter_Validation</v>
      </c>
      <c r="I611" s="98" t="s">
        <v>630</v>
      </c>
      <c r="J611" s="98" t="s">
        <v>362</v>
      </c>
      <c r="K611" s="98" t="s">
        <v>287</v>
      </c>
    </row>
    <row r="612" spans="2:11" x14ac:dyDescent="0.25">
      <c r="B612" s="98" t="s">
        <v>901</v>
      </c>
      <c r="C612" s="98" t="s">
        <v>546</v>
      </c>
      <c r="D612" s="98" t="s">
        <v>631</v>
      </c>
      <c r="E612" s="98" t="s">
        <v>290</v>
      </c>
      <c r="F612" s="98" t="s">
        <v>360</v>
      </c>
      <c r="G612" s="98">
        <v>5</v>
      </c>
      <c r="H612" s="98" t="str">
        <f t="shared" si="52"/>
        <v>BSS-TC-23157 TC_OBI_014_CR109_PM1.4_Missed_Detail_Comms_Hub_ID_Filter_Validation</v>
      </c>
      <c r="I612" s="98" t="s">
        <v>630</v>
      </c>
      <c r="J612" s="98" t="s">
        <v>841</v>
      </c>
      <c r="K612" s="98" t="s">
        <v>291</v>
      </c>
    </row>
    <row r="613" spans="2:11" x14ac:dyDescent="0.25">
      <c r="B613" s="98" t="s">
        <v>901</v>
      </c>
      <c r="C613" s="98" t="s">
        <v>546</v>
      </c>
      <c r="D613" s="98" t="s">
        <v>631</v>
      </c>
      <c r="E613" s="98" t="s">
        <v>294</v>
      </c>
      <c r="F613" s="98" t="s">
        <v>360</v>
      </c>
      <c r="G613" s="98">
        <v>6</v>
      </c>
      <c r="H613" s="98" t="str">
        <f t="shared" si="52"/>
        <v>BSS-TC-23157 TC_OBI_014_CR109_PM1.4_Missed_Detail_Comms_Hub_ID_Filter_Validation</v>
      </c>
      <c r="I613" s="98" t="s">
        <v>630</v>
      </c>
      <c r="J613" s="98" t="s">
        <v>295</v>
      </c>
      <c r="K613" s="98" t="s">
        <v>631</v>
      </c>
    </row>
    <row r="614" spans="2:11" x14ac:dyDescent="0.25">
      <c r="B614" s="98" t="s">
        <v>901</v>
      </c>
      <c r="C614" s="98" t="s">
        <v>546</v>
      </c>
      <c r="D614" s="98" t="s">
        <v>631</v>
      </c>
      <c r="E614" s="98" t="s">
        <v>584</v>
      </c>
      <c r="F614" s="98" t="s">
        <v>360</v>
      </c>
      <c r="G614" s="98">
        <v>7</v>
      </c>
      <c r="H614" s="98" t="str">
        <f t="shared" si="52"/>
        <v>BSS-TC-23157 TC_OBI_014_CR109_PM1.4_Missed_Detail_Comms_Hub_ID_Filter_Validation</v>
      </c>
      <c r="I614" s="98" t="s">
        <v>630</v>
      </c>
      <c r="J614" s="98" t="s">
        <v>298</v>
      </c>
      <c r="K614" s="98" t="s">
        <v>363</v>
      </c>
    </row>
  </sheetData>
  <dataValidations disablePrompts="1" count="1">
    <dataValidation type="list" errorStyle="warning" allowBlank="1" showInputMessage="1" showErrorMessage="1" errorTitle="Error" error="Set a valid value" sqref="K16:K525 JC16:JC525 SY16:SY525 ACU16:ACU525 AMQ16:AMQ525 AWM16:AWM525 BGI16:BGI525 BQE16:BQE525 CAA16:CAA525 CJW16:CJW525 CTS16:CTS525 DDO16:DDO525 DNK16:DNK525 DXG16:DXG525 EHC16:EHC525 EQY16:EQY525 FAU16:FAU525 FKQ16:FKQ525 FUM16:FUM525 GEI16:GEI525 GOE16:GOE525 GYA16:GYA525 HHW16:HHW525 HRS16:HRS525 IBO16:IBO525 ILK16:ILK525 IVG16:IVG525 JFC16:JFC525 JOY16:JOY525 JYU16:JYU525 KIQ16:KIQ525 KSM16:KSM525 LCI16:LCI525 LME16:LME525 LWA16:LWA525 MFW16:MFW525 MPS16:MPS525 MZO16:MZO525 NJK16:NJK525 NTG16:NTG525 ODC16:ODC525 OMY16:OMY525 OWU16:OWU525 PGQ16:PGQ525 PQM16:PQM525 QAI16:QAI525 QKE16:QKE525 QUA16:QUA525 RDW16:RDW525 RNS16:RNS525 RXO16:RXO525 SHK16:SHK525 SRG16:SRG525 TBC16:TBC525 TKY16:TKY525 TUU16:TUU525 UEQ16:UEQ525 UOM16:UOM525 UYI16:UYI525 VIE16:VIE525 VSA16:VSA525 WBW16:WBW525 WLS16:WLS525 WVO16:WVO525 K65552:K66061 JC65552:JC66061 SY65552:SY66061 ACU65552:ACU66061 AMQ65552:AMQ66061 AWM65552:AWM66061 BGI65552:BGI66061 BQE65552:BQE66061 CAA65552:CAA66061 CJW65552:CJW66061 CTS65552:CTS66061 DDO65552:DDO66061 DNK65552:DNK66061 DXG65552:DXG66061 EHC65552:EHC66061 EQY65552:EQY66061 FAU65552:FAU66061 FKQ65552:FKQ66061 FUM65552:FUM66061 GEI65552:GEI66061 GOE65552:GOE66061 GYA65552:GYA66061 HHW65552:HHW66061 HRS65552:HRS66061 IBO65552:IBO66061 ILK65552:ILK66061 IVG65552:IVG66061 JFC65552:JFC66061 JOY65552:JOY66061 JYU65552:JYU66061 KIQ65552:KIQ66061 KSM65552:KSM66061 LCI65552:LCI66061 LME65552:LME66061 LWA65552:LWA66061 MFW65552:MFW66061 MPS65552:MPS66061 MZO65552:MZO66061 NJK65552:NJK66061 NTG65552:NTG66061 ODC65552:ODC66061 OMY65552:OMY66061 OWU65552:OWU66061 PGQ65552:PGQ66061 PQM65552:PQM66061 QAI65552:QAI66061 QKE65552:QKE66061 QUA65552:QUA66061 RDW65552:RDW66061 RNS65552:RNS66061 RXO65552:RXO66061 SHK65552:SHK66061 SRG65552:SRG66061 TBC65552:TBC66061 TKY65552:TKY66061 TUU65552:TUU66061 UEQ65552:UEQ66061 UOM65552:UOM66061 UYI65552:UYI66061 VIE65552:VIE66061 VSA65552:VSA66061 WBW65552:WBW66061 WLS65552:WLS66061 WVO65552:WVO66061 K131088:K131597 JC131088:JC131597 SY131088:SY131597 ACU131088:ACU131597 AMQ131088:AMQ131597 AWM131088:AWM131597 BGI131088:BGI131597 BQE131088:BQE131597 CAA131088:CAA131597 CJW131088:CJW131597 CTS131088:CTS131597 DDO131088:DDO131597 DNK131088:DNK131597 DXG131088:DXG131597 EHC131088:EHC131597 EQY131088:EQY131597 FAU131088:FAU131597 FKQ131088:FKQ131597 FUM131088:FUM131597 GEI131088:GEI131597 GOE131088:GOE131597 GYA131088:GYA131597 HHW131088:HHW131597 HRS131088:HRS131597 IBO131088:IBO131597 ILK131088:ILK131597 IVG131088:IVG131597 JFC131088:JFC131597 JOY131088:JOY131597 JYU131088:JYU131597 KIQ131088:KIQ131597 KSM131088:KSM131597 LCI131088:LCI131597 LME131088:LME131597 LWA131088:LWA131597 MFW131088:MFW131597 MPS131088:MPS131597 MZO131088:MZO131597 NJK131088:NJK131597 NTG131088:NTG131597 ODC131088:ODC131597 OMY131088:OMY131597 OWU131088:OWU131597 PGQ131088:PGQ131597 PQM131088:PQM131597 QAI131088:QAI131597 QKE131088:QKE131597 QUA131088:QUA131597 RDW131088:RDW131597 RNS131088:RNS131597 RXO131088:RXO131597 SHK131088:SHK131597 SRG131088:SRG131597 TBC131088:TBC131597 TKY131088:TKY131597 TUU131088:TUU131597 UEQ131088:UEQ131597 UOM131088:UOM131597 UYI131088:UYI131597 VIE131088:VIE131597 VSA131088:VSA131597 WBW131088:WBW131597 WLS131088:WLS131597 WVO131088:WVO131597 K196624:K197133 JC196624:JC197133 SY196624:SY197133 ACU196624:ACU197133 AMQ196624:AMQ197133 AWM196624:AWM197133 BGI196624:BGI197133 BQE196624:BQE197133 CAA196624:CAA197133 CJW196624:CJW197133 CTS196624:CTS197133 DDO196624:DDO197133 DNK196624:DNK197133 DXG196624:DXG197133 EHC196624:EHC197133 EQY196624:EQY197133 FAU196624:FAU197133 FKQ196624:FKQ197133 FUM196624:FUM197133 GEI196624:GEI197133 GOE196624:GOE197133 GYA196624:GYA197133 HHW196624:HHW197133 HRS196624:HRS197133 IBO196624:IBO197133 ILK196624:ILK197133 IVG196624:IVG197133 JFC196624:JFC197133 JOY196624:JOY197133 JYU196624:JYU197133 KIQ196624:KIQ197133 KSM196624:KSM197133 LCI196624:LCI197133 LME196624:LME197133 LWA196624:LWA197133 MFW196624:MFW197133 MPS196624:MPS197133 MZO196624:MZO197133 NJK196624:NJK197133 NTG196624:NTG197133 ODC196624:ODC197133 OMY196624:OMY197133 OWU196624:OWU197133 PGQ196624:PGQ197133 PQM196624:PQM197133 QAI196624:QAI197133 QKE196624:QKE197133 QUA196624:QUA197133 RDW196624:RDW197133 RNS196624:RNS197133 RXO196624:RXO197133 SHK196624:SHK197133 SRG196624:SRG197133 TBC196624:TBC197133 TKY196624:TKY197133 TUU196624:TUU197133 UEQ196624:UEQ197133 UOM196624:UOM197133 UYI196624:UYI197133 VIE196624:VIE197133 VSA196624:VSA197133 WBW196624:WBW197133 WLS196624:WLS197133 WVO196624:WVO197133 K262160:K262669 JC262160:JC262669 SY262160:SY262669 ACU262160:ACU262669 AMQ262160:AMQ262669 AWM262160:AWM262669 BGI262160:BGI262669 BQE262160:BQE262669 CAA262160:CAA262669 CJW262160:CJW262669 CTS262160:CTS262669 DDO262160:DDO262669 DNK262160:DNK262669 DXG262160:DXG262669 EHC262160:EHC262669 EQY262160:EQY262669 FAU262160:FAU262669 FKQ262160:FKQ262669 FUM262160:FUM262669 GEI262160:GEI262669 GOE262160:GOE262669 GYA262160:GYA262669 HHW262160:HHW262669 HRS262160:HRS262669 IBO262160:IBO262669 ILK262160:ILK262669 IVG262160:IVG262669 JFC262160:JFC262669 JOY262160:JOY262669 JYU262160:JYU262669 KIQ262160:KIQ262669 KSM262160:KSM262669 LCI262160:LCI262669 LME262160:LME262669 LWA262160:LWA262669 MFW262160:MFW262669 MPS262160:MPS262669 MZO262160:MZO262669 NJK262160:NJK262669 NTG262160:NTG262669 ODC262160:ODC262669 OMY262160:OMY262669 OWU262160:OWU262669 PGQ262160:PGQ262669 PQM262160:PQM262669 QAI262160:QAI262669 QKE262160:QKE262669 QUA262160:QUA262669 RDW262160:RDW262669 RNS262160:RNS262669 RXO262160:RXO262669 SHK262160:SHK262669 SRG262160:SRG262669 TBC262160:TBC262669 TKY262160:TKY262669 TUU262160:TUU262669 UEQ262160:UEQ262669 UOM262160:UOM262669 UYI262160:UYI262669 VIE262160:VIE262669 VSA262160:VSA262669 WBW262160:WBW262669 WLS262160:WLS262669 WVO262160:WVO262669 K327696:K328205 JC327696:JC328205 SY327696:SY328205 ACU327696:ACU328205 AMQ327696:AMQ328205 AWM327696:AWM328205 BGI327696:BGI328205 BQE327696:BQE328205 CAA327696:CAA328205 CJW327696:CJW328205 CTS327696:CTS328205 DDO327696:DDO328205 DNK327696:DNK328205 DXG327696:DXG328205 EHC327696:EHC328205 EQY327696:EQY328205 FAU327696:FAU328205 FKQ327696:FKQ328205 FUM327696:FUM328205 GEI327696:GEI328205 GOE327696:GOE328205 GYA327696:GYA328205 HHW327696:HHW328205 HRS327696:HRS328205 IBO327696:IBO328205 ILK327696:ILK328205 IVG327696:IVG328205 JFC327696:JFC328205 JOY327696:JOY328205 JYU327696:JYU328205 KIQ327696:KIQ328205 KSM327696:KSM328205 LCI327696:LCI328205 LME327696:LME328205 LWA327696:LWA328205 MFW327696:MFW328205 MPS327696:MPS328205 MZO327696:MZO328205 NJK327696:NJK328205 NTG327696:NTG328205 ODC327696:ODC328205 OMY327696:OMY328205 OWU327696:OWU328205 PGQ327696:PGQ328205 PQM327696:PQM328205 QAI327696:QAI328205 QKE327696:QKE328205 QUA327696:QUA328205 RDW327696:RDW328205 RNS327696:RNS328205 RXO327696:RXO328205 SHK327696:SHK328205 SRG327696:SRG328205 TBC327696:TBC328205 TKY327696:TKY328205 TUU327696:TUU328205 UEQ327696:UEQ328205 UOM327696:UOM328205 UYI327696:UYI328205 VIE327696:VIE328205 VSA327696:VSA328205 WBW327696:WBW328205 WLS327696:WLS328205 WVO327696:WVO328205 K393232:K393741 JC393232:JC393741 SY393232:SY393741 ACU393232:ACU393741 AMQ393232:AMQ393741 AWM393232:AWM393741 BGI393232:BGI393741 BQE393232:BQE393741 CAA393232:CAA393741 CJW393232:CJW393741 CTS393232:CTS393741 DDO393232:DDO393741 DNK393232:DNK393741 DXG393232:DXG393741 EHC393232:EHC393741 EQY393232:EQY393741 FAU393232:FAU393741 FKQ393232:FKQ393741 FUM393232:FUM393741 GEI393232:GEI393741 GOE393232:GOE393741 GYA393232:GYA393741 HHW393232:HHW393741 HRS393232:HRS393741 IBO393232:IBO393741 ILK393232:ILK393741 IVG393232:IVG393741 JFC393232:JFC393741 JOY393232:JOY393741 JYU393232:JYU393741 KIQ393232:KIQ393741 KSM393232:KSM393741 LCI393232:LCI393741 LME393232:LME393741 LWA393232:LWA393741 MFW393232:MFW393741 MPS393232:MPS393741 MZO393232:MZO393741 NJK393232:NJK393741 NTG393232:NTG393741 ODC393232:ODC393741 OMY393232:OMY393741 OWU393232:OWU393741 PGQ393232:PGQ393741 PQM393232:PQM393741 QAI393232:QAI393741 QKE393232:QKE393741 QUA393232:QUA393741 RDW393232:RDW393741 RNS393232:RNS393741 RXO393232:RXO393741 SHK393232:SHK393741 SRG393232:SRG393741 TBC393232:TBC393741 TKY393232:TKY393741 TUU393232:TUU393741 UEQ393232:UEQ393741 UOM393232:UOM393741 UYI393232:UYI393741 VIE393232:VIE393741 VSA393232:VSA393741 WBW393232:WBW393741 WLS393232:WLS393741 WVO393232:WVO393741 K458768:K459277 JC458768:JC459277 SY458768:SY459277 ACU458768:ACU459277 AMQ458768:AMQ459277 AWM458768:AWM459277 BGI458768:BGI459277 BQE458768:BQE459277 CAA458768:CAA459277 CJW458768:CJW459277 CTS458768:CTS459277 DDO458768:DDO459277 DNK458768:DNK459277 DXG458768:DXG459277 EHC458768:EHC459277 EQY458768:EQY459277 FAU458768:FAU459277 FKQ458768:FKQ459277 FUM458768:FUM459277 GEI458768:GEI459277 GOE458768:GOE459277 GYA458768:GYA459277 HHW458768:HHW459277 HRS458768:HRS459277 IBO458768:IBO459277 ILK458768:ILK459277 IVG458768:IVG459277 JFC458768:JFC459277 JOY458768:JOY459277 JYU458768:JYU459277 KIQ458768:KIQ459277 KSM458768:KSM459277 LCI458768:LCI459277 LME458768:LME459277 LWA458768:LWA459277 MFW458768:MFW459277 MPS458768:MPS459277 MZO458768:MZO459277 NJK458768:NJK459277 NTG458768:NTG459277 ODC458768:ODC459277 OMY458768:OMY459277 OWU458768:OWU459277 PGQ458768:PGQ459277 PQM458768:PQM459277 QAI458768:QAI459277 QKE458768:QKE459277 QUA458768:QUA459277 RDW458768:RDW459277 RNS458768:RNS459277 RXO458768:RXO459277 SHK458768:SHK459277 SRG458768:SRG459277 TBC458768:TBC459277 TKY458768:TKY459277 TUU458768:TUU459277 UEQ458768:UEQ459277 UOM458768:UOM459277 UYI458768:UYI459277 VIE458768:VIE459277 VSA458768:VSA459277 WBW458768:WBW459277 WLS458768:WLS459277 WVO458768:WVO459277 K524304:K524813 JC524304:JC524813 SY524304:SY524813 ACU524304:ACU524813 AMQ524304:AMQ524813 AWM524304:AWM524813 BGI524304:BGI524813 BQE524304:BQE524813 CAA524304:CAA524813 CJW524304:CJW524813 CTS524304:CTS524813 DDO524304:DDO524813 DNK524304:DNK524813 DXG524304:DXG524813 EHC524304:EHC524813 EQY524304:EQY524813 FAU524304:FAU524813 FKQ524304:FKQ524813 FUM524304:FUM524813 GEI524304:GEI524813 GOE524304:GOE524813 GYA524304:GYA524813 HHW524304:HHW524813 HRS524304:HRS524813 IBO524304:IBO524813 ILK524304:ILK524813 IVG524304:IVG524813 JFC524304:JFC524813 JOY524304:JOY524813 JYU524304:JYU524813 KIQ524304:KIQ524813 KSM524304:KSM524813 LCI524304:LCI524813 LME524304:LME524813 LWA524304:LWA524813 MFW524304:MFW524813 MPS524304:MPS524813 MZO524304:MZO524813 NJK524304:NJK524813 NTG524304:NTG524813 ODC524304:ODC524813 OMY524304:OMY524813 OWU524304:OWU524813 PGQ524304:PGQ524813 PQM524304:PQM524813 QAI524304:QAI524813 QKE524304:QKE524813 QUA524304:QUA524813 RDW524304:RDW524813 RNS524304:RNS524813 RXO524304:RXO524813 SHK524304:SHK524813 SRG524304:SRG524813 TBC524304:TBC524813 TKY524304:TKY524813 TUU524304:TUU524813 UEQ524304:UEQ524813 UOM524304:UOM524813 UYI524304:UYI524813 VIE524304:VIE524813 VSA524304:VSA524813 WBW524304:WBW524813 WLS524304:WLS524813 WVO524304:WVO524813 K589840:K590349 JC589840:JC590349 SY589840:SY590349 ACU589840:ACU590349 AMQ589840:AMQ590349 AWM589840:AWM590349 BGI589840:BGI590349 BQE589840:BQE590349 CAA589840:CAA590349 CJW589840:CJW590349 CTS589840:CTS590349 DDO589840:DDO590349 DNK589840:DNK590349 DXG589840:DXG590349 EHC589840:EHC590349 EQY589840:EQY590349 FAU589840:FAU590349 FKQ589840:FKQ590349 FUM589840:FUM590349 GEI589840:GEI590349 GOE589840:GOE590349 GYA589840:GYA590349 HHW589840:HHW590349 HRS589840:HRS590349 IBO589840:IBO590349 ILK589840:ILK590349 IVG589840:IVG590349 JFC589840:JFC590349 JOY589840:JOY590349 JYU589840:JYU590349 KIQ589840:KIQ590349 KSM589840:KSM590349 LCI589840:LCI590349 LME589840:LME590349 LWA589840:LWA590349 MFW589840:MFW590349 MPS589840:MPS590349 MZO589840:MZO590349 NJK589840:NJK590349 NTG589840:NTG590349 ODC589840:ODC590349 OMY589840:OMY590349 OWU589840:OWU590349 PGQ589840:PGQ590349 PQM589840:PQM590349 QAI589840:QAI590349 QKE589840:QKE590349 QUA589840:QUA590349 RDW589840:RDW590349 RNS589840:RNS590349 RXO589840:RXO590349 SHK589840:SHK590349 SRG589840:SRG590349 TBC589840:TBC590349 TKY589840:TKY590349 TUU589840:TUU590349 UEQ589840:UEQ590349 UOM589840:UOM590349 UYI589840:UYI590349 VIE589840:VIE590349 VSA589840:VSA590349 WBW589840:WBW590349 WLS589840:WLS590349 WVO589840:WVO590349 K655376:K655885 JC655376:JC655885 SY655376:SY655885 ACU655376:ACU655885 AMQ655376:AMQ655885 AWM655376:AWM655885 BGI655376:BGI655885 BQE655376:BQE655885 CAA655376:CAA655885 CJW655376:CJW655885 CTS655376:CTS655885 DDO655376:DDO655885 DNK655376:DNK655885 DXG655376:DXG655885 EHC655376:EHC655885 EQY655376:EQY655885 FAU655376:FAU655885 FKQ655376:FKQ655885 FUM655376:FUM655885 GEI655376:GEI655885 GOE655376:GOE655885 GYA655376:GYA655885 HHW655376:HHW655885 HRS655376:HRS655885 IBO655376:IBO655885 ILK655376:ILK655885 IVG655376:IVG655885 JFC655376:JFC655885 JOY655376:JOY655885 JYU655376:JYU655885 KIQ655376:KIQ655885 KSM655376:KSM655885 LCI655376:LCI655885 LME655376:LME655885 LWA655376:LWA655885 MFW655376:MFW655885 MPS655376:MPS655885 MZO655376:MZO655885 NJK655376:NJK655885 NTG655376:NTG655885 ODC655376:ODC655885 OMY655376:OMY655885 OWU655376:OWU655885 PGQ655376:PGQ655885 PQM655376:PQM655885 QAI655376:QAI655885 QKE655376:QKE655885 QUA655376:QUA655885 RDW655376:RDW655885 RNS655376:RNS655885 RXO655376:RXO655885 SHK655376:SHK655885 SRG655376:SRG655885 TBC655376:TBC655885 TKY655376:TKY655885 TUU655376:TUU655885 UEQ655376:UEQ655885 UOM655376:UOM655885 UYI655376:UYI655885 VIE655376:VIE655885 VSA655376:VSA655885 WBW655376:WBW655885 WLS655376:WLS655885 WVO655376:WVO655885 K720912:K721421 JC720912:JC721421 SY720912:SY721421 ACU720912:ACU721421 AMQ720912:AMQ721421 AWM720912:AWM721421 BGI720912:BGI721421 BQE720912:BQE721421 CAA720912:CAA721421 CJW720912:CJW721421 CTS720912:CTS721421 DDO720912:DDO721421 DNK720912:DNK721421 DXG720912:DXG721421 EHC720912:EHC721421 EQY720912:EQY721421 FAU720912:FAU721421 FKQ720912:FKQ721421 FUM720912:FUM721421 GEI720912:GEI721421 GOE720912:GOE721421 GYA720912:GYA721421 HHW720912:HHW721421 HRS720912:HRS721421 IBO720912:IBO721421 ILK720912:ILK721421 IVG720912:IVG721421 JFC720912:JFC721421 JOY720912:JOY721421 JYU720912:JYU721421 KIQ720912:KIQ721421 KSM720912:KSM721421 LCI720912:LCI721421 LME720912:LME721421 LWA720912:LWA721421 MFW720912:MFW721421 MPS720912:MPS721421 MZO720912:MZO721421 NJK720912:NJK721421 NTG720912:NTG721421 ODC720912:ODC721421 OMY720912:OMY721421 OWU720912:OWU721421 PGQ720912:PGQ721421 PQM720912:PQM721421 QAI720912:QAI721421 QKE720912:QKE721421 QUA720912:QUA721421 RDW720912:RDW721421 RNS720912:RNS721421 RXO720912:RXO721421 SHK720912:SHK721421 SRG720912:SRG721421 TBC720912:TBC721421 TKY720912:TKY721421 TUU720912:TUU721421 UEQ720912:UEQ721421 UOM720912:UOM721421 UYI720912:UYI721421 VIE720912:VIE721421 VSA720912:VSA721421 WBW720912:WBW721421 WLS720912:WLS721421 WVO720912:WVO721421 K786448:K786957 JC786448:JC786957 SY786448:SY786957 ACU786448:ACU786957 AMQ786448:AMQ786957 AWM786448:AWM786957 BGI786448:BGI786957 BQE786448:BQE786957 CAA786448:CAA786957 CJW786448:CJW786957 CTS786448:CTS786957 DDO786448:DDO786957 DNK786448:DNK786957 DXG786448:DXG786957 EHC786448:EHC786957 EQY786448:EQY786957 FAU786448:FAU786957 FKQ786448:FKQ786957 FUM786448:FUM786957 GEI786448:GEI786957 GOE786448:GOE786957 GYA786448:GYA786957 HHW786448:HHW786957 HRS786448:HRS786957 IBO786448:IBO786957 ILK786448:ILK786957 IVG786448:IVG786957 JFC786448:JFC786957 JOY786448:JOY786957 JYU786448:JYU786957 KIQ786448:KIQ786957 KSM786448:KSM786957 LCI786448:LCI786957 LME786448:LME786957 LWA786448:LWA786957 MFW786448:MFW786957 MPS786448:MPS786957 MZO786448:MZO786957 NJK786448:NJK786957 NTG786448:NTG786957 ODC786448:ODC786957 OMY786448:OMY786957 OWU786448:OWU786957 PGQ786448:PGQ786957 PQM786448:PQM786957 QAI786448:QAI786957 QKE786448:QKE786957 QUA786448:QUA786957 RDW786448:RDW786957 RNS786448:RNS786957 RXO786448:RXO786957 SHK786448:SHK786957 SRG786448:SRG786957 TBC786448:TBC786957 TKY786448:TKY786957 TUU786448:TUU786957 UEQ786448:UEQ786957 UOM786448:UOM786957 UYI786448:UYI786957 VIE786448:VIE786957 VSA786448:VSA786957 WBW786448:WBW786957 WLS786448:WLS786957 WVO786448:WVO786957 K851984:K852493 JC851984:JC852493 SY851984:SY852493 ACU851984:ACU852493 AMQ851984:AMQ852493 AWM851984:AWM852493 BGI851984:BGI852493 BQE851984:BQE852493 CAA851984:CAA852493 CJW851984:CJW852493 CTS851984:CTS852493 DDO851984:DDO852493 DNK851984:DNK852493 DXG851984:DXG852493 EHC851984:EHC852493 EQY851984:EQY852493 FAU851984:FAU852493 FKQ851984:FKQ852493 FUM851984:FUM852493 GEI851984:GEI852493 GOE851984:GOE852493 GYA851984:GYA852493 HHW851984:HHW852493 HRS851984:HRS852493 IBO851984:IBO852493 ILK851984:ILK852493 IVG851984:IVG852493 JFC851984:JFC852493 JOY851984:JOY852493 JYU851984:JYU852493 KIQ851984:KIQ852493 KSM851984:KSM852493 LCI851984:LCI852493 LME851984:LME852493 LWA851984:LWA852493 MFW851984:MFW852493 MPS851984:MPS852493 MZO851984:MZO852493 NJK851984:NJK852493 NTG851984:NTG852493 ODC851984:ODC852493 OMY851984:OMY852493 OWU851984:OWU852493 PGQ851984:PGQ852493 PQM851984:PQM852493 QAI851984:QAI852493 QKE851984:QKE852493 QUA851984:QUA852493 RDW851984:RDW852493 RNS851984:RNS852493 RXO851984:RXO852493 SHK851984:SHK852493 SRG851984:SRG852493 TBC851984:TBC852493 TKY851984:TKY852493 TUU851984:TUU852493 UEQ851984:UEQ852493 UOM851984:UOM852493 UYI851984:UYI852493 VIE851984:VIE852493 VSA851984:VSA852493 WBW851984:WBW852493 WLS851984:WLS852493 WVO851984:WVO852493 K917520:K918029 JC917520:JC918029 SY917520:SY918029 ACU917520:ACU918029 AMQ917520:AMQ918029 AWM917520:AWM918029 BGI917520:BGI918029 BQE917520:BQE918029 CAA917520:CAA918029 CJW917520:CJW918029 CTS917520:CTS918029 DDO917520:DDO918029 DNK917520:DNK918029 DXG917520:DXG918029 EHC917520:EHC918029 EQY917520:EQY918029 FAU917520:FAU918029 FKQ917520:FKQ918029 FUM917520:FUM918029 GEI917520:GEI918029 GOE917520:GOE918029 GYA917520:GYA918029 HHW917520:HHW918029 HRS917520:HRS918029 IBO917520:IBO918029 ILK917520:ILK918029 IVG917520:IVG918029 JFC917520:JFC918029 JOY917520:JOY918029 JYU917520:JYU918029 KIQ917520:KIQ918029 KSM917520:KSM918029 LCI917520:LCI918029 LME917520:LME918029 LWA917520:LWA918029 MFW917520:MFW918029 MPS917520:MPS918029 MZO917520:MZO918029 NJK917520:NJK918029 NTG917520:NTG918029 ODC917520:ODC918029 OMY917520:OMY918029 OWU917520:OWU918029 PGQ917520:PGQ918029 PQM917520:PQM918029 QAI917520:QAI918029 QKE917520:QKE918029 QUA917520:QUA918029 RDW917520:RDW918029 RNS917520:RNS918029 RXO917520:RXO918029 SHK917520:SHK918029 SRG917520:SRG918029 TBC917520:TBC918029 TKY917520:TKY918029 TUU917520:TUU918029 UEQ917520:UEQ918029 UOM917520:UOM918029 UYI917520:UYI918029 VIE917520:VIE918029 VSA917520:VSA918029 WBW917520:WBW918029 WLS917520:WLS918029 WVO917520:WVO918029 K983056:K983565 JC983056:JC983565 SY983056:SY983565 ACU983056:ACU983565 AMQ983056:AMQ983565 AWM983056:AWM983565 BGI983056:BGI983565 BQE983056:BQE983565 CAA983056:CAA983565 CJW983056:CJW983565 CTS983056:CTS983565 DDO983056:DDO983565 DNK983056:DNK983565 DXG983056:DXG983565 EHC983056:EHC983565 EQY983056:EQY983565 FAU983056:FAU983565 FKQ983056:FKQ983565 FUM983056:FUM983565 GEI983056:GEI983565 GOE983056:GOE983565 GYA983056:GYA983565 HHW983056:HHW983565 HRS983056:HRS983565 IBO983056:IBO983565 ILK983056:ILK983565 IVG983056:IVG983565 JFC983056:JFC983565 JOY983056:JOY983565 JYU983056:JYU983565 KIQ983056:KIQ983565 KSM983056:KSM983565 LCI983056:LCI983565 LME983056:LME983565 LWA983056:LWA983565 MFW983056:MFW983565 MPS983056:MPS983565 MZO983056:MZO983565 NJK983056:NJK983565 NTG983056:NTG983565 ODC983056:ODC983565 OMY983056:OMY983565 OWU983056:OWU983565 PGQ983056:PGQ983565 PQM983056:PQM983565 QAI983056:QAI983565 QKE983056:QKE983565 QUA983056:QUA983565 RDW983056:RDW983565 RNS983056:RNS983565 RXO983056:RXO983565 SHK983056:SHK983565 SRG983056:SRG983565 TBC983056:TBC983565 TKY983056:TKY983565 TUU983056:TUU983565 UEQ983056:UEQ983565 UOM983056:UOM983565 UYI983056:UYI983565 VIE983056:VIE983565 VSA983056:VSA983565 WBW983056:WBW983565 WLS983056:WLS983565 WVO983056:WVO983565">
      <formula1>testRunStatus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355"/>
  <sheetViews>
    <sheetView workbookViewId="0">
      <selection activeCell="C3" sqref="C3"/>
    </sheetView>
  </sheetViews>
  <sheetFormatPr defaultRowHeight="15" x14ac:dyDescent="0.25"/>
  <cols>
    <col min="1" max="1" width="21.5703125" style="33" customWidth="1"/>
    <col min="2" max="2" width="9.140625" style="33"/>
    <col min="3" max="3" width="25.5703125" style="33" customWidth="1"/>
    <col min="4" max="4" width="9.140625" style="33"/>
    <col min="5" max="5" width="30.140625" style="33" customWidth="1"/>
    <col min="6" max="6" width="13.28515625" style="33" customWidth="1"/>
    <col min="7" max="7" width="29.7109375" style="33" customWidth="1"/>
    <col min="8" max="8" width="9.140625" style="33"/>
    <col min="9" max="9" width="14.5703125" style="33" customWidth="1"/>
    <col min="10" max="10" width="29.85546875" style="33" customWidth="1"/>
    <col min="11" max="16384" width="9.140625" style="33"/>
  </cols>
  <sheetData>
    <row r="1" spans="1:17" s="32" customFormat="1" ht="39" x14ac:dyDescent="0.25">
      <c r="A1" s="19" t="s">
        <v>0</v>
      </c>
      <c r="B1" s="20" t="s">
        <v>1</v>
      </c>
      <c r="C1" s="19" t="s">
        <v>2</v>
      </c>
      <c r="D1" s="19" t="s">
        <v>3</v>
      </c>
      <c r="E1" s="19" t="s">
        <v>4</v>
      </c>
      <c r="F1" s="19" t="s">
        <v>5</v>
      </c>
      <c r="G1" s="19" t="s">
        <v>6</v>
      </c>
      <c r="H1" s="19" t="s">
        <v>7</v>
      </c>
      <c r="I1" s="19" t="s">
        <v>8</v>
      </c>
      <c r="J1" s="19" t="s">
        <v>9</v>
      </c>
      <c r="K1" s="19" t="s">
        <v>10</v>
      </c>
      <c r="L1" s="19" t="s">
        <v>11</v>
      </c>
      <c r="M1" s="19" t="s">
        <v>12</v>
      </c>
      <c r="N1" s="19" t="s">
        <v>13</v>
      </c>
      <c r="O1" s="19" t="s">
        <v>14</v>
      </c>
      <c r="P1" s="19" t="s">
        <v>15</v>
      </c>
      <c r="Q1" s="19" t="s">
        <v>16</v>
      </c>
    </row>
    <row r="2" spans="1:17" ht="102" x14ac:dyDescent="0.25">
      <c r="A2" s="23"/>
      <c r="B2" s="23"/>
      <c r="C2" s="58" t="s">
        <v>516</v>
      </c>
      <c r="D2" s="22" t="s">
        <v>74</v>
      </c>
      <c r="E2" s="22" t="s">
        <v>515</v>
      </c>
      <c r="F2" s="34" t="s">
        <v>17</v>
      </c>
      <c r="G2" s="59" t="s">
        <v>565</v>
      </c>
      <c r="H2" s="23"/>
      <c r="I2" s="60" t="s">
        <v>517</v>
      </c>
      <c r="J2" s="24" t="s">
        <v>80</v>
      </c>
      <c r="K2" s="23"/>
      <c r="L2" s="23"/>
      <c r="M2" s="23"/>
      <c r="N2" s="23"/>
      <c r="O2" s="23"/>
      <c r="P2" s="23"/>
      <c r="Q2" s="23"/>
    </row>
    <row r="3" spans="1:17" ht="38.25" x14ac:dyDescent="0.25">
      <c r="A3" s="23"/>
      <c r="B3" s="23"/>
      <c r="C3" s="21" t="s">
        <v>87</v>
      </c>
      <c r="D3" s="24"/>
      <c r="E3" s="24"/>
      <c r="F3" s="25" t="s">
        <v>19</v>
      </c>
      <c r="G3" s="26" t="s">
        <v>18</v>
      </c>
      <c r="H3" s="24"/>
      <c r="I3" s="24"/>
      <c r="J3" s="26" t="s">
        <v>20</v>
      </c>
      <c r="K3" s="23"/>
      <c r="L3" s="23"/>
      <c r="M3" s="23"/>
      <c r="N3" s="23"/>
      <c r="O3" s="23"/>
      <c r="P3" s="23"/>
      <c r="Q3" s="23"/>
    </row>
    <row r="4" spans="1:17" ht="38.25" x14ac:dyDescent="0.25">
      <c r="A4" s="23"/>
      <c r="B4" s="23"/>
      <c r="C4" s="21" t="s">
        <v>87</v>
      </c>
      <c r="D4" s="24"/>
      <c r="E4" s="24"/>
      <c r="F4" s="25" t="s">
        <v>26</v>
      </c>
      <c r="G4" s="26" t="s">
        <v>21</v>
      </c>
      <c r="H4" s="24"/>
      <c r="I4" s="24"/>
      <c r="J4" s="26" t="s">
        <v>22</v>
      </c>
      <c r="K4" s="23"/>
      <c r="L4" s="23"/>
      <c r="M4" s="23"/>
      <c r="N4" s="23"/>
      <c r="O4" s="23"/>
      <c r="P4" s="23"/>
      <c r="Q4" s="23"/>
    </row>
    <row r="5" spans="1:17" ht="51" x14ac:dyDescent="0.25">
      <c r="A5" s="23"/>
      <c r="B5" s="23"/>
      <c r="C5" s="21" t="s">
        <v>87</v>
      </c>
      <c r="D5" s="24"/>
      <c r="E5" s="24"/>
      <c r="F5" s="25" t="s">
        <v>28</v>
      </c>
      <c r="G5" s="26" t="s">
        <v>23</v>
      </c>
      <c r="H5" s="24"/>
      <c r="I5" s="24"/>
      <c r="J5" s="26" t="s">
        <v>41</v>
      </c>
      <c r="K5" s="23"/>
      <c r="L5" s="23"/>
      <c r="M5" s="23"/>
      <c r="N5" s="23"/>
      <c r="O5" s="23"/>
      <c r="P5" s="23"/>
      <c r="Q5" s="23"/>
    </row>
    <row r="6" spans="1:17" ht="38.25" x14ac:dyDescent="0.25">
      <c r="A6" s="23"/>
      <c r="B6" s="23"/>
      <c r="C6" s="21" t="s">
        <v>87</v>
      </c>
      <c r="D6" s="23"/>
      <c r="E6" s="23"/>
      <c r="F6" s="25" t="s">
        <v>29</v>
      </c>
      <c r="G6" s="21" t="s">
        <v>70</v>
      </c>
      <c r="H6" s="27"/>
      <c r="I6" s="27"/>
      <c r="J6" s="21" t="s">
        <v>44</v>
      </c>
      <c r="K6" s="23"/>
      <c r="L6" s="23"/>
      <c r="M6" s="23"/>
      <c r="N6" s="23"/>
      <c r="O6" s="23"/>
      <c r="P6" s="23"/>
      <c r="Q6" s="23"/>
    </row>
    <row r="7" spans="1:17" ht="38.25" x14ac:dyDescent="0.25">
      <c r="A7" s="23"/>
      <c r="B7" s="23"/>
      <c r="C7" s="21" t="s">
        <v>87</v>
      </c>
      <c r="D7" s="23"/>
      <c r="E7" s="23"/>
      <c r="F7" s="25" t="s">
        <v>30</v>
      </c>
      <c r="G7" s="25" t="s">
        <v>25</v>
      </c>
      <c r="H7" s="25"/>
      <c r="I7" s="25"/>
      <c r="J7" s="25" t="s">
        <v>27</v>
      </c>
      <c r="K7" s="23"/>
      <c r="L7" s="23"/>
      <c r="M7" s="23"/>
      <c r="N7" s="23"/>
      <c r="O7" s="23"/>
      <c r="P7" s="23"/>
      <c r="Q7" s="23"/>
    </row>
    <row r="8" spans="1:17" ht="51" x14ac:dyDescent="0.25">
      <c r="A8" s="23"/>
      <c r="B8" s="23"/>
      <c r="C8" s="21" t="s">
        <v>87</v>
      </c>
      <c r="D8" s="23"/>
      <c r="E8" s="23"/>
      <c r="F8" s="25" t="s">
        <v>31</v>
      </c>
      <c r="G8" s="25" t="s">
        <v>45</v>
      </c>
      <c r="H8" s="25"/>
      <c r="I8" s="24"/>
      <c r="J8" s="22" t="s">
        <v>82</v>
      </c>
      <c r="K8" s="23"/>
      <c r="L8" s="23"/>
      <c r="M8" s="23"/>
      <c r="N8" s="23"/>
      <c r="O8" s="23"/>
      <c r="P8" s="23"/>
      <c r="Q8" s="23"/>
    </row>
    <row r="9" spans="1:17" ht="51" x14ac:dyDescent="0.25">
      <c r="A9" s="23"/>
      <c r="B9" s="23"/>
      <c r="C9" s="21" t="s">
        <v>87</v>
      </c>
      <c r="D9" s="23"/>
      <c r="E9" s="23"/>
      <c r="F9" s="25" t="s">
        <v>32</v>
      </c>
      <c r="G9" s="21" t="s">
        <v>83</v>
      </c>
      <c r="H9" s="27"/>
      <c r="I9" s="21"/>
      <c r="J9" s="21" t="s">
        <v>84</v>
      </c>
      <c r="K9" s="23"/>
      <c r="L9" s="23"/>
      <c r="M9" s="23"/>
      <c r="N9" s="23"/>
      <c r="O9" s="23"/>
      <c r="P9" s="23"/>
      <c r="Q9" s="23"/>
    </row>
    <row r="10" spans="1:17" ht="102" x14ac:dyDescent="0.25">
      <c r="A10" s="23"/>
      <c r="B10" s="23"/>
      <c r="C10" s="21" t="s">
        <v>87</v>
      </c>
      <c r="D10" s="23"/>
      <c r="E10" s="23"/>
      <c r="F10" s="25" t="s">
        <v>33</v>
      </c>
      <c r="G10" s="22" t="s">
        <v>566</v>
      </c>
      <c r="H10" s="23"/>
      <c r="I10" s="22" t="s">
        <v>86</v>
      </c>
      <c r="J10" s="22" t="s">
        <v>85</v>
      </c>
      <c r="K10" s="23"/>
      <c r="L10" s="23"/>
      <c r="M10" s="23"/>
      <c r="N10" s="23"/>
      <c r="O10" s="23"/>
      <c r="P10" s="23"/>
      <c r="Q10" s="23"/>
    </row>
    <row r="11" spans="1:17" ht="272.25" customHeight="1" x14ac:dyDescent="0.25">
      <c r="A11" s="23"/>
      <c r="B11" s="23"/>
      <c r="C11" s="21" t="s">
        <v>88</v>
      </c>
      <c r="D11" s="22" t="s">
        <v>74</v>
      </c>
      <c r="E11" s="22" t="s">
        <v>81</v>
      </c>
      <c r="F11" s="34" t="s">
        <v>17</v>
      </c>
      <c r="G11" s="59" t="s">
        <v>624</v>
      </c>
      <c r="H11" s="23"/>
      <c r="I11" s="60" t="s">
        <v>517</v>
      </c>
      <c r="J11" s="24" t="s">
        <v>80</v>
      </c>
      <c r="K11" s="23"/>
      <c r="L11" s="23"/>
      <c r="M11" s="23"/>
      <c r="N11" s="23"/>
      <c r="O11" s="23"/>
      <c r="P11" s="23"/>
      <c r="Q11" s="23"/>
    </row>
    <row r="12" spans="1:17" ht="38.25" x14ac:dyDescent="0.25">
      <c r="A12" s="23"/>
      <c r="B12" s="23"/>
      <c r="C12" s="21" t="s">
        <v>89</v>
      </c>
      <c r="D12" s="24"/>
      <c r="E12" s="24"/>
      <c r="F12" s="25" t="s">
        <v>19</v>
      </c>
      <c r="G12" s="26" t="s">
        <v>18</v>
      </c>
      <c r="H12" s="24"/>
      <c r="I12" s="24"/>
      <c r="J12" s="26" t="s">
        <v>20</v>
      </c>
      <c r="K12" s="23"/>
      <c r="L12" s="23"/>
      <c r="M12" s="23"/>
      <c r="N12" s="23"/>
      <c r="O12" s="23"/>
      <c r="P12" s="23"/>
      <c r="Q12" s="23"/>
    </row>
    <row r="13" spans="1:17" ht="38.25" x14ac:dyDescent="0.25">
      <c r="A13" s="23"/>
      <c r="B13" s="23"/>
      <c r="C13" s="21" t="s">
        <v>89</v>
      </c>
      <c r="D13" s="24"/>
      <c r="E13" s="24"/>
      <c r="F13" s="25" t="s">
        <v>26</v>
      </c>
      <c r="G13" s="26" t="s">
        <v>21</v>
      </c>
      <c r="H13" s="24"/>
      <c r="I13" s="24"/>
      <c r="J13" s="26" t="s">
        <v>22</v>
      </c>
      <c r="K13" s="23"/>
      <c r="L13" s="23"/>
      <c r="M13" s="23"/>
      <c r="N13" s="23"/>
      <c r="O13" s="23"/>
      <c r="P13" s="23"/>
      <c r="Q13" s="23"/>
    </row>
    <row r="14" spans="1:17" ht="51" x14ac:dyDescent="0.25">
      <c r="A14" s="23"/>
      <c r="B14" s="23"/>
      <c r="C14" s="21" t="s">
        <v>89</v>
      </c>
      <c r="D14" s="24"/>
      <c r="E14" s="24"/>
      <c r="F14" s="25" t="s">
        <v>28</v>
      </c>
      <c r="G14" s="26" t="s">
        <v>23</v>
      </c>
      <c r="H14" s="24"/>
      <c r="I14" s="24"/>
      <c r="J14" s="26" t="s">
        <v>41</v>
      </c>
      <c r="K14" s="23"/>
      <c r="L14" s="23"/>
      <c r="M14" s="23"/>
      <c r="N14" s="23"/>
      <c r="O14" s="23"/>
      <c r="P14" s="23"/>
      <c r="Q14" s="23"/>
    </row>
    <row r="15" spans="1:17" ht="38.25" x14ac:dyDescent="0.25">
      <c r="A15" s="23"/>
      <c r="B15" s="23"/>
      <c r="C15" s="21" t="s">
        <v>89</v>
      </c>
      <c r="D15" s="23"/>
      <c r="E15" s="23"/>
      <c r="F15" s="25" t="s">
        <v>29</v>
      </c>
      <c r="G15" s="21" t="s">
        <v>70</v>
      </c>
      <c r="H15" s="27"/>
      <c r="I15" s="27"/>
      <c r="J15" s="21" t="s">
        <v>44</v>
      </c>
      <c r="K15" s="23"/>
      <c r="L15" s="23"/>
      <c r="M15" s="23"/>
      <c r="N15" s="23"/>
      <c r="O15" s="23"/>
      <c r="P15" s="23"/>
      <c r="Q15" s="23"/>
    </row>
    <row r="16" spans="1:17" ht="38.25" x14ac:dyDescent="0.25">
      <c r="A16" s="23"/>
      <c r="B16" s="23"/>
      <c r="C16" s="21" t="s">
        <v>89</v>
      </c>
      <c r="D16" s="23"/>
      <c r="E16" s="23"/>
      <c r="F16" s="25" t="s">
        <v>30</v>
      </c>
      <c r="G16" s="25" t="s">
        <v>25</v>
      </c>
      <c r="H16" s="25"/>
      <c r="I16" s="25"/>
      <c r="J16" s="25" t="s">
        <v>27</v>
      </c>
      <c r="K16" s="23"/>
      <c r="L16" s="23"/>
      <c r="M16" s="23"/>
      <c r="N16" s="23"/>
      <c r="O16" s="23"/>
      <c r="P16" s="23"/>
      <c r="Q16" s="23"/>
    </row>
    <row r="17" spans="1:17" ht="51" x14ac:dyDescent="0.25">
      <c r="A17" s="23"/>
      <c r="B17" s="23"/>
      <c r="C17" s="21" t="s">
        <v>89</v>
      </c>
      <c r="D17" s="23"/>
      <c r="E17" s="23"/>
      <c r="F17" s="25" t="s">
        <v>31</v>
      </c>
      <c r="G17" s="25" t="s">
        <v>45</v>
      </c>
      <c r="H17" s="25"/>
      <c r="I17" s="24"/>
      <c r="J17" s="22" t="s">
        <v>82</v>
      </c>
      <c r="K17" s="23"/>
      <c r="L17" s="23"/>
      <c r="M17" s="23"/>
      <c r="N17" s="23"/>
      <c r="O17" s="23"/>
      <c r="P17" s="23"/>
      <c r="Q17" s="23"/>
    </row>
    <row r="18" spans="1:17" ht="51" x14ac:dyDescent="0.25">
      <c r="A18" s="23"/>
      <c r="B18" s="23"/>
      <c r="C18" s="21" t="s">
        <v>89</v>
      </c>
      <c r="D18" s="23"/>
      <c r="E18" s="23"/>
      <c r="F18" s="25" t="s">
        <v>32</v>
      </c>
      <c r="G18" s="21" t="s">
        <v>83</v>
      </c>
      <c r="H18" s="27"/>
      <c r="I18" s="21"/>
      <c r="J18" s="21" t="s">
        <v>84</v>
      </c>
      <c r="K18" s="23"/>
      <c r="L18" s="23"/>
      <c r="M18" s="23"/>
      <c r="N18" s="23"/>
      <c r="O18" s="23"/>
      <c r="P18" s="23"/>
      <c r="Q18" s="23"/>
    </row>
    <row r="19" spans="1:17" ht="102" x14ac:dyDescent="0.25">
      <c r="A19" s="23"/>
      <c r="B19" s="23"/>
      <c r="C19" s="21" t="s">
        <v>89</v>
      </c>
      <c r="D19" s="23"/>
      <c r="E19" s="23"/>
      <c r="F19" s="25" t="s">
        <v>33</v>
      </c>
      <c r="G19" s="22" t="s">
        <v>566</v>
      </c>
      <c r="H19" s="23"/>
      <c r="I19" s="22" t="s">
        <v>86</v>
      </c>
      <c r="J19" s="22" t="s">
        <v>85</v>
      </c>
      <c r="K19" s="23"/>
      <c r="L19" s="23"/>
      <c r="M19" s="23"/>
      <c r="N19" s="23"/>
      <c r="O19" s="23"/>
      <c r="P19" s="23"/>
      <c r="Q19" s="23"/>
    </row>
    <row r="20" spans="1:17" ht="140.25" x14ac:dyDescent="0.25">
      <c r="A20" s="23"/>
      <c r="B20" s="23"/>
      <c r="C20" s="21" t="s">
        <v>96</v>
      </c>
      <c r="D20" s="22" t="s">
        <v>54</v>
      </c>
      <c r="E20" s="36" t="s">
        <v>97</v>
      </c>
      <c r="F20" s="34" t="s">
        <v>17</v>
      </c>
      <c r="G20" s="61" t="s">
        <v>567</v>
      </c>
      <c r="H20" s="24"/>
      <c r="I20" s="60" t="s">
        <v>517</v>
      </c>
      <c r="J20" s="26"/>
      <c r="K20" s="23"/>
      <c r="L20" s="23"/>
      <c r="M20" s="23"/>
      <c r="N20" s="23"/>
      <c r="O20" s="23"/>
      <c r="P20" s="23"/>
      <c r="Q20" s="23"/>
    </row>
    <row r="21" spans="1:17" ht="38.25" x14ac:dyDescent="0.25">
      <c r="A21" s="23"/>
      <c r="B21" s="23"/>
      <c r="C21" s="21" t="s">
        <v>96</v>
      </c>
      <c r="D21" s="22"/>
      <c r="E21" s="25"/>
      <c r="F21" s="25" t="s">
        <v>19</v>
      </c>
      <c r="G21" s="26" t="s">
        <v>18</v>
      </c>
      <c r="H21" s="24"/>
      <c r="I21" s="24"/>
      <c r="J21" s="26" t="s">
        <v>20</v>
      </c>
      <c r="K21" s="23"/>
      <c r="L21" s="23"/>
      <c r="M21" s="23"/>
      <c r="N21" s="23"/>
      <c r="O21" s="23"/>
      <c r="P21" s="23"/>
      <c r="Q21" s="23"/>
    </row>
    <row r="22" spans="1:17" ht="38.25" x14ac:dyDescent="0.25">
      <c r="A22" s="23"/>
      <c r="B22" s="23"/>
      <c r="C22" s="21" t="s">
        <v>96</v>
      </c>
      <c r="D22" s="27"/>
      <c r="E22" s="27"/>
      <c r="F22" s="25" t="s">
        <v>26</v>
      </c>
      <c r="G22" s="26" t="s">
        <v>21</v>
      </c>
      <c r="H22" s="24"/>
      <c r="I22" s="24"/>
      <c r="J22" s="26" t="s">
        <v>22</v>
      </c>
      <c r="K22" s="23"/>
      <c r="L22" s="23"/>
      <c r="M22" s="23"/>
      <c r="N22" s="23"/>
      <c r="O22" s="23"/>
      <c r="P22" s="23"/>
      <c r="Q22" s="23"/>
    </row>
    <row r="23" spans="1:17" ht="51" x14ac:dyDescent="0.25">
      <c r="A23" s="23"/>
      <c r="B23" s="23"/>
      <c r="C23" s="21" t="s">
        <v>96</v>
      </c>
      <c r="D23" s="27"/>
      <c r="E23" s="27"/>
      <c r="F23" s="25" t="s">
        <v>28</v>
      </c>
      <c r="G23" s="26" t="s">
        <v>23</v>
      </c>
      <c r="H23" s="24"/>
      <c r="I23" s="24"/>
      <c r="J23" s="26" t="s">
        <v>41</v>
      </c>
      <c r="K23" s="23"/>
      <c r="L23" s="23"/>
      <c r="M23" s="23"/>
      <c r="N23" s="23"/>
      <c r="O23" s="23"/>
      <c r="P23" s="23"/>
      <c r="Q23" s="23"/>
    </row>
    <row r="24" spans="1:17" ht="38.25" x14ac:dyDescent="0.25">
      <c r="A24" s="23"/>
      <c r="B24" s="23"/>
      <c r="C24" s="21" t="s">
        <v>96</v>
      </c>
      <c r="D24" s="27"/>
      <c r="E24" s="27"/>
      <c r="F24" s="25" t="s">
        <v>29</v>
      </c>
      <c r="G24" s="27" t="s">
        <v>76</v>
      </c>
      <c r="H24" s="27"/>
      <c r="I24" s="27"/>
      <c r="J24" s="21" t="s">
        <v>44</v>
      </c>
      <c r="K24" s="23"/>
      <c r="L24" s="23"/>
      <c r="M24" s="23"/>
      <c r="N24" s="23"/>
      <c r="O24" s="23"/>
      <c r="P24" s="23"/>
      <c r="Q24" s="23"/>
    </row>
    <row r="25" spans="1:17" ht="38.25" x14ac:dyDescent="0.25">
      <c r="A25" s="23"/>
      <c r="B25" s="23"/>
      <c r="C25" s="21" t="s">
        <v>96</v>
      </c>
      <c r="D25" s="27"/>
      <c r="E25" s="27"/>
      <c r="F25" s="25" t="s">
        <v>30</v>
      </c>
      <c r="G25" s="25" t="s">
        <v>25</v>
      </c>
      <c r="H25" s="25"/>
      <c r="I25" s="25"/>
      <c r="J25" s="25" t="s">
        <v>27</v>
      </c>
      <c r="K25" s="23"/>
      <c r="L25" s="23"/>
      <c r="M25" s="23"/>
      <c r="N25" s="23"/>
      <c r="O25" s="23"/>
      <c r="P25" s="23"/>
      <c r="Q25" s="23"/>
    </row>
    <row r="26" spans="1:17" ht="38.25" x14ac:dyDescent="0.25">
      <c r="A26" s="23"/>
      <c r="B26" s="23"/>
      <c r="C26" s="21" t="s">
        <v>96</v>
      </c>
      <c r="D26" s="27"/>
      <c r="E26" s="27"/>
      <c r="F26" s="25" t="s">
        <v>31</v>
      </c>
      <c r="G26" s="25" t="s">
        <v>45</v>
      </c>
      <c r="H26" s="25"/>
      <c r="I26" s="24"/>
      <c r="J26" s="25" t="s">
        <v>42</v>
      </c>
      <c r="K26" s="23"/>
      <c r="L26" s="23"/>
      <c r="M26" s="23"/>
      <c r="N26" s="23"/>
      <c r="O26" s="23"/>
      <c r="P26" s="23"/>
      <c r="Q26" s="23"/>
    </row>
    <row r="27" spans="1:17" ht="102" x14ac:dyDescent="0.25">
      <c r="A27" s="23"/>
      <c r="B27" s="23"/>
      <c r="C27" s="21" t="s">
        <v>96</v>
      </c>
      <c r="D27" s="27"/>
      <c r="E27" s="27"/>
      <c r="F27" s="25" t="s">
        <v>32</v>
      </c>
      <c r="G27" s="21" t="s">
        <v>568</v>
      </c>
      <c r="H27" s="27"/>
      <c r="I27" s="21" t="s">
        <v>237</v>
      </c>
      <c r="J27" s="21" t="s">
        <v>100</v>
      </c>
      <c r="K27" s="23"/>
      <c r="L27" s="23"/>
      <c r="M27" s="23"/>
      <c r="N27" s="23"/>
      <c r="O27" s="23"/>
      <c r="P27" s="23"/>
      <c r="Q27" s="23"/>
    </row>
    <row r="28" spans="1:17" ht="140.25" x14ac:dyDescent="0.25">
      <c r="A28" s="23"/>
      <c r="B28" s="23"/>
      <c r="C28" s="21" t="s">
        <v>98</v>
      </c>
      <c r="D28" s="22" t="s">
        <v>54</v>
      </c>
      <c r="E28" s="36" t="s">
        <v>99</v>
      </c>
      <c r="F28" s="34" t="s">
        <v>17</v>
      </c>
      <c r="G28" s="26" t="s">
        <v>569</v>
      </c>
      <c r="H28" s="24"/>
      <c r="I28" s="60" t="s">
        <v>517</v>
      </c>
      <c r="J28" s="26"/>
      <c r="K28" s="23"/>
      <c r="L28" s="23"/>
      <c r="M28" s="23"/>
      <c r="N28" s="23"/>
      <c r="O28" s="23"/>
      <c r="P28" s="23"/>
      <c r="Q28" s="23"/>
    </row>
    <row r="29" spans="1:17" ht="38.25" x14ac:dyDescent="0.25">
      <c r="A29" s="23"/>
      <c r="B29" s="23"/>
      <c r="C29" s="21" t="s">
        <v>98</v>
      </c>
      <c r="D29" s="22"/>
      <c r="E29" s="25"/>
      <c r="F29" s="25" t="s">
        <v>19</v>
      </c>
      <c r="G29" s="26" t="s">
        <v>18</v>
      </c>
      <c r="H29" s="24"/>
      <c r="I29" s="24"/>
      <c r="J29" s="26" t="s">
        <v>20</v>
      </c>
      <c r="K29" s="23"/>
      <c r="L29" s="23"/>
      <c r="M29" s="23"/>
      <c r="N29" s="23"/>
      <c r="O29" s="23"/>
      <c r="P29" s="23"/>
      <c r="Q29" s="23"/>
    </row>
    <row r="30" spans="1:17" ht="38.25" x14ac:dyDescent="0.25">
      <c r="A30" s="23"/>
      <c r="B30" s="23"/>
      <c r="C30" s="21" t="s">
        <v>98</v>
      </c>
      <c r="D30" s="27"/>
      <c r="E30" s="27"/>
      <c r="F30" s="25" t="s">
        <v>26</v>
      </c>
      <c r="G30" s="26" t="s">
        <v>21</v>
      </c>
      <c r="H30" s="24"/>
      <c r="I30" s="24"/>
      <c r="J30" s="26" t="s">
        <v>22</v>
      </c>
      <c r="K30" s="23"/>
      <c r="L30" s="23"/>
      <c r="M30" s="23"/>
      <c r="N30" s="23"/>
      <c r="O30" s="23"/>
      <c r="P30" s="23"/>
      <c r="Q30" s="23"/>
    </row>
    <row r="31" spans="1:17" ht="51" x14ac:dyDescent="0.25">
      <c r="A31" s="23"/>
      <c r="B31" s="23"/>
      <c r="C31" s="21" t="s">
        <v>98</v>
      </c>
      <c r="D31" s="27"/>
      <c r="E31" s="27"/>
      <c r="F31" s="25" t="s">
        <v>28</v>
      </c>
      <c r="G31" s="26" t="s">
        <v>23</v>
      </c>
      <c r="H31" s="24"/>
      <c r="I31" s="24"/>
      <c r="J31" s="26" t="s">
        <v>41</v>
      </c>
      <c r="K31" s="23"/>
      <c r="L31" s="23"/>
      <c r="M31" s="23"/>
      <c r="N31" s="23"/>
      <c r="O31" s="23"/>
      <c r="P31" s="23"/>
      <c r="Q31" s="23"/>
    </row>
    <row r="32" spans="1:17" ht="38.25" x14ac:dyDescent="0.25">
      <c r="A32" s="23"/>
      <c r="B32" s="23"/>
      <c r="C32" s="21" t="s">
        <v>98</v>
      </c>
      <c r="D32" s="27"/>
      <c r="E32" s="27"/>
      <c r="F32" s="25" t="s">
        <v>29</v>
      </c>
      <c r="G32" s="27" t="s">
        <v>76</v>
      </c>
      <c r="H32" s="27"/>
      <c r="I32" s="27"/>
      <c r="J32" s="21" t="s">
        <v>44</v>
      </c>
      <c r="K32" s="23"/>
      <c r="L32" s="23"/>
      <c r="M32" s="23"/>
      <c r="N32" s="23"/>
      <c r="O32" s="23"/>
      <c r="P32" s="23"/>
      <c r="Q32" s="23"/>
    </row>
    <row r="33" spans="1:17" ht="38.25" x14ac:dyDescent="0.25">
      <c r="A33" s="23"/>
      <c r="B33" s="23"/>
      <c r="C33" s="21" t="s">
        <v>98</v>
      </c>
      <c r="D33" s="27"/>
      <c r="E33" s="27"/>
      <c r="F33" s="25" t="s">
        <v>30</v>
      </c>
      <c r="G33" s="25" t="s">
        <v>25</v>
      </c>
      <c r="H33" s="25"/>
      <c r="I33" s="25"/>
      <c r="J33" s="25" t="s">
        <v>27</v>
      </c>
      <c r="K33" s="23"/>
      <c r="L33" s="23"/>
      <c r="M33" s="23"/>
      <c r="N33" s="23"/>
      <c r="O33" s="23"/>
      <c r="P33" s="23"/>
      <c r="Q33" s="23"/>
    </row>
    <row r="34" spans="1:17" ht="38.25" x14ac:dyDescent="0.25">
      <c r="A34" s="23"/>
      <c r="B34" s="23"/>
      <c r="C34" s="21" t="s">
        <v>98</v>
      </c>
      <c r="D34" s="27"/>
      <c r="E34" s="27"/>
      <c r="F34" s="25" t="s">
        <v>31</v>
      </c>
      <c r="G34" s="25" t="s">
        <v>45</v>
      </c>
      <c r="H34" s="25"/>
      <c r="I34" s="24"/>
      <c r="J34" s="25" t="s">
        <v>42</v>
      </c>
      <c r="K34" s="23"/>
      <c r="L34" s="23"/>
      <c r="M34" s="23"/>
      <c r="N34" s="23"/>
      <c r="O34" s="23"/>
      <c r="P34" s="23"/>
      <c r="Q34" s="23"/>
    </row>
    <row r="35" spans="1:17" ht="102" x14ac:dyDescent="0.25">
      <c r="A35" s="23"/>
      <c r="B35" s="23"/>
      <c r="C35" s="21" t="s">
        <v>98</v>
      </c>
      <c r="D35" s="27"/>
      <c r="E35" s="27"/>
      <c r="F35" s="25" t="s">
        <v>32</v>
      </c>
      <c r="G35" s="21" t="s">
        <v>568</v>
      </c>
      <c r="H35" s="27"/>
      <c r="I35" s="21" t="s">
        <v>78</v>
      </c>
      <c r="J35" s="21" t="s">
        <v>100</v>
      </c>
      <c r="K35" s="23"/>
      <c r="L35" s="23"/>
      <c r="M35" s="23"/>
      <c r="N35" s="23"/>
      <c r="O35" s="23"/>
      <c r="P35" s="23"/>
      <c r="Q35" s="23"/>
    </row>
    <row r="36" spans="1:17" ht="165.75" x14ac:dyDescent="0.25">
      <c r="A36" s="23"/>
      <c r="B36" s="23"/>
      <c r="C36" s="21" t="s">
        <v>257</v>
      </c>
      <c r="D36" s="22" t="s">
        <v>54</v>
      </c>
      <c r="E36" s="36" t="s">
        <v>105</v>
      </c>
      <c r="F36" s="34" t="s">
        <v>17</v>
      </c>
      <c r="G36" s="26" t="s">
        <v>570</v>
      </c>
      <c r="H36" s="24"/>
      <c r="I36" s="60" t="s">
        <v>517</v>
      </c>
      <c r="J36" s="26"/>
      <c r="K36" s="23"/>
      <c r="L36" s="23"/>
      <c r="M36" s="23"/>
      <c r="N36" s="23"/>
      <c r="O36" s="23"/>
      <c r="P36" s="23"/>
      <c r="Q36" s="23"/>
    </row>
    <row r="37" spans="1:17" ht="51" x14ac:dyDescent="0.25">
      <c r="A37" s="23"/>
      <c r="B37" s="23"/>
      <c r="C37" s="21" t="s">
        <v>257</v>
      </c>
      <c r="D37" s="22"/>
      <c r="E37" s="25"/>
      <c r="F37" s="36" t="s">
        <v>19</v>
      </c>
      <c r="G37" s="26" t="s">
        <v>150</v>
      </c>
      <c r="H37" s="24"/>
      <c r="I37" s="24"/>
      <c r="J37" s="26"/>
      <c r="K37" s="23"/>
      <c r="L37" s="23"/>
      <c r="M37" s="23"/>
      <c r="N37" s="23"/>
      <c r="O37" s="23"/>
      <c r="P37" s="23"/>
      <c r="Q37" s="23"/>
    </row>
    <row r="38" spans="1:17" ht="38.25" x14ac:dyDescent="0.25">
      <c r="A38" s="23"/>
      <c r="B38" s="23"/>
      <c r="C38" s="21" t="s">
        <v>257</v>
      </c>
      <c r="D38" s="22"/>
      <c r="E38" s="25"/>
      <c r="F38" s="36" t="s">
        <v>26</v>
      </c>
      <c r="G38" s="26" t="s">
        <v>18</v>
      </c>
      <c r="H38" s="24"/>
      <c r="I38" s="24"/>
      <c r="J38" s="26" t="s">
        <v>20</v>
      </c>
      <c r="K38" s="23"/>
      <c r="L38" s="23"/>
      <c r="M38" s="23"/>
      <c r="N38" s="23"/>
      <c r="O38" s="23"/>
      <c r="P38" s="23"/>
      <c r="Q38" s="23"/>
    </row>
    <row r="39" spans="1:17" ht="38.25" x14ac:dyDescent="0.25">
      <c r="A39" s="23"/>
      <c r="B39" s="23"/>
      <c r="C39" s="21" t="s">
        <v>257</v>
      </c>
      <c r="D39" s="27"/>
      <c r="E39" s="27"/>
      <c r="F39" s="36" t="s">
        <v>28</v>
      </c>
      <c r="G39" s="26" t="s">
        <v>21</v>
      </c>
      <c r="H39" s="24"/>
      <c r="I39" s="24"/>
      <c r="J39" s="26" t="s">
        <v>22</v>
      </c>
      <c r="K39" s="23"/>
      <c r="L39" s="23"/>
      <c r="M39" s="23"/>
      <c r="N39" s="23"/>
      <c r="O39" s="23"/>
      <c r="P39" s="23"/>
      <c r="Q39" s="23"/>
    </row>
    <row r="40" spans="1:17" ht="51" x14ac:dyDescent="0.25">
      <c r="A40" s="23"/>
      <c r="B40" s="23"/>
      <c r="C40" s="21" t="s">
        <v>257</v>
      </c>
      <c r="D40" s="27"/>
      <c r="E40" s="27"/>
      <c r="F40" s="36" t="s">
        <v>29</v>
      </c>
      <c r="G40" s="26" t="s">
        <v>23</v>
      </c>
      <c r="H40" s="24"/>
      <c r="I40" s="24"/>
      <c r="J40" s="26" t="s">
        <v>41</v>
      </c>
      <c r="K40" s="23"/>
      <c r="L40" s="23"/>
      <c r="M40" s="23"/>
      <c r="N40" s="23"/>
      <c r="O40" s="23"/>
      <c r="P40" s="23"/>
      <c r="Q40" s="23"/>
    </row>
    <row r="41" spans="1:17" ht="38.25" x14ac:dyDescent="0.25">
      <c r="A41" s="23"/>
      <c r="B41" s="23"/>
      <c r="C41" s="21" t="s">
        <v>257</v>
      </c>
      <c r="D41" s="27"/>
      <c r="E41" s="27"/>
      <c r="F41" s="36" t="s">
        <v>30</v>
      </c>
      <c r="G41" s="27" t="s">
        <v>76</v>
      </c>
      <c r="H41" s="27"/>
      <c r="I41" s="27"/>
      <c r="J41" s="21" t="s">
        <v>44</v>
      </c>
      <c r="K41" s="23"/>
      <c r="L41" s="23"/>
      <c r="M41" s="23"/>
      <c r="N41" s="23"/>
      <c r="O41" s="23"/>
      <c r="P41" s="23"/>
      <c r="Q41" s="23"/>
    </row>
    <row r="42" spans="1:17" ht="38.25" x14ac:dyDescent="0.25">
      <c r="A42" s="23"/>
      <c r="B42" s="23"/>
      <c r="C42" s="21" t="s">
        <v>257</v>
      </c>
      <c r="D42" s="27"/>
      <c r="E42" s="27"/>
      <c r="F42" s="36" t="s">
        <v>31</v>
      </c>
      <c r="G42" s="25" t="s">
        <v>25</v>
      </c>
      <c r="H42" s="25"/>
      <c r="I42" s="25"/>
      <c r="J42" s="25" t="s">
        <v>27</v>
      </c>
      <c r="K42" s="23"/>
      <c r="L42" s="23"/>
      <c r="M42" s="23"/>
      <c r="N42" s="23"/>
      <c r="O42" s="23"/>
      <c r="P42" s="23"/>
      <c r="Q42" s="23"/>
    </row>
    <row r="43" spans="1:17" ht="38.25" x14ac:dyDescent="0.25">
      <c r="A43" s="23"/>
      <c r="B43" s="23"/>
      <c r="C43" s="21" t="s">
        <v>257</v>
      </c>
      <c r="D43" s="27"/>
      <c r="E43" s="27"/>
      <c r="F43" s="36" t="s">
        <v>32</v>
      </c>
      <c r="G43" s="25" t="s">
        <v>45</v>
      </c>
      <c r="H43" s="25"/>
      <c r="I43" s="24"/>
      <c r="J43" s="25" t="s">
        <v>42</v>
      </c>
      <c r="K43" s="23"/>
      <c r="L43" s="23"/>
      <c r="M43" s="23"/>
      <c r="N43" s="23"/>
      <c r="O43" s="23"/>
      <c r="P43" s="23"/>
      <c r="Q43" s="23"/>
    </row>
    <row r="44" spans="1:17" ht="102" x14ac:dyDescent="0.25">
      <c r="A44" s="23"/>
      <c r="B44" s="23"/>
      <c r="C44" s="21" t="s">
        <v>257</v>
      </c>
      <c r="D44" s="27"/>
      <c r="E44" s="27"/>
      <c r="F44" s="36" t="s">
        <v>33</v>
      </c>
      <c r="G44" s="21" t="s">
        <v>568</v>
      </c>
      <c r="H44" s="27"/>
      <c r="I44" s="21" t="s">
        <v>78</v>
      </c>
      <c r="J44" s="21" t="s">
        <v>151</v>
      </c>
      <c r="K44" s="23"/>
      <c r="L44" s="23"/>
      <c r="M44" s="23"/>
      <c r="N44" s="23"/>
      <c r="O44" s="23"/>
      <c r="P44" s="23"/>
      <c r="Q44" s="23"/>
    </row>
    <row r="45" spans="1:17" ht="280.5" x14ac:dyDescent="0.25">
      <c r="A45" s="23"/>
      <c r="B45" s="23"/>
      <c r="C45" s="21" t="s">
        <v>106</v>
      </c>
      <c r="D45" s="22" t="s">
        <v>39</v>
      </c>
      <c r="E45" s="22" t="s">
        <v>107</v>
      </c>
      <c r="F45" s="34" t="s">
        <v>17</v>
      </c>
      <c r="G45" s="59" t="s">
        <v>571</v>
      </c>
      <c r="H45" s="23"/>
      <c r="I45" s="60" t="s">
        <v>517</v>
      </c>
      <c r="J45" s="24" t="s">
        <v>80</v>
      </c>
      <c r="K45" s="23"/>
      <c r="L45" s="23"/>
      <c r="M45" s="23"/>
      <c r="N45" s="23"/>
      <c r="O45" s="23"/>
      <c r="P45" s="23"/>
      <c r="Q45" s="23"/>
    </row>
    <row r="46" spans="1:17" ht="51" x14ac:dyDescent="0.25">
      <c r="A46" s="23"/>
      <c r="B46" s="23"/>
      <c r="C46" s="21" t="s">
        <v>106</v>
      </c>
      <c r="D46" s="24"/>
      <c r="E46" s="24"/>
      <c r="F46" s="25" t="s">
        <v>26</v>
      </c>
      <c r="G46" s="26" t="s">
        <v>18</v>
      </c>
      <c r="H46" s="24"/>
      <c r="I46" s="24"/>
      <c r="J46" s="26" t="s">
        <v>20</v>
      </c>
      <c r="K46" s="23"/>
      <c r="L46" s="23"/>
      <c r="M46" s="23"/>
      <c r="N46" s="23"/>
      <c r="O46" s="23"/>
      <c r="P46" s="23"/>
      <c r="Q46" s="23"/>
    </row>
    <row r="47" spans="1:17" ht="51" x14ac:dyDescent="0.25">
      <c r="A47" s="23"/>
      <c r="B47" s="23"/>
      <c r="C47" s="21" t="s">
        <v>106</v>
      </c>
      <c r="D47" s="24"/>
      <c r="E47" s="24"/>
      <c r="F47" s="25" t="s">
        <v>28</v>
      </c>
      <c r="G47" s="26" t="s">
        <v>21</v>
      </c>
      <c r="H47" s="24"/>
      <c r="I47" s="24"/>
      <c r="J47" s="26" t="s">
        <v>22</v>
      </c>
      <c r="K47" s="23"/>
      <c r="L47" s="23"/>
      <c r="M47" s="23"/>
      <c r="N47" s="23"/>
      <c r="O47" s="23"/>
      <c r="P47" s="23"/>
      <c r="Q47" s="23"/>
    </row>
    <row r="48" spans="1:17" ht="51" x14ac:dyDescent="0.25">
      <c r="A48" s="23"/>
      <c r="B48" s="23"/>
      <c r="C48" s="21" t="s">
        <v>106</v>
      </c>
      <c r="D48" s="24"/>
      <c r="E48" s="24"/>
      <c r="F48" s="25" t="s">
        <v>29</v>
      </c>
      <c r="G48" s="26" t="s">
        <v>23</v>
      </c>
      <c r="H48" s="24"/>
      <c r="I48" s="24"/>
      <c r="J48" s="26" t="s">
        <v>41</v>
      </c>
      <c r="K48" s="23"/>
      <c r="L48" s="23"/>
      <c r="M48" s="23"/>
      <c r="N48" s="23"/>
      <c r="O48" s="23"/>
      <c r="P48" s="23"/>
      <c r="Q48" s="23"/>
    </row>
    <row r="49" spans="1:17" ht="51" x14ac:dyDescent="0.25">
      <c r="A49" s="23"/>
      <c r="B49" s="23"/>
      <c r="C49" s="21" t="s">
        <v>106</v>
      </c>
      <c r="D49" s="24"/>
      <c r="E49" s="24"/>
      <c r="F49" s="27" t="s">
        <v>30</v>
      </c>
      <c r="G49" s="27" t="s">
        <v>43</v>
      </c>
      <c r="H49" s="27"/>
      <c r="I49" s="27"/>
      <c r="J49" s="21" t="s">
        <v>44</v>
      </c>
      <c r="K49" s="23"/>
      <c r="L49" s="23"/>
      <c r="M49" s="23"/>
      <c r="N49" s="23"/>
      <c r="O49" s="23"/>
      <c r="P49" s="23"/>
      <c r="Q49" s="23"/>
    </row>
    <row r="50" spans="1:17" ht="51" x14ac:dyDescent="0.25">
      <c r="A50" s="23"/>
      <c r="B50" s="23"/>
      <c r="C50" s="21" t="s">
        <v>106</v>
      </c>
      <c r="D50" s="24"/>
      <c r="E50" s="24"/>
      <c r="F50" s="27" t="s">
        <v>31</v>
      </c>
      <c r="G50" s="25" t="s">
        <v>25</v>
      </c>
      <c r="H50" s="25"/>
      <c r="I50" s="25"/>
      <c r="J50" s="25" t="s">
        <v>27</v>
      </c>
      <c r="K50" s="23"/>
      <c r="L50" s="23"/>
      <c r="M50" s="23"/>
      <c r="N50" s="23"/>
      <c r="O50" s="23"/>
      <c r="P50" s="23"/>
      <c r="Q50" s="23"/>
    </row>
    <row r="51" spans="1:17" ht="140.25" x14ac:dyDescent="0.25">
      <c r="A51" s="23"/>
      <c r="B51" s="23"/>
      <c r="C51" s="21" t="s">
        <v>106</v>
      </c>
      <c r="D51" s="24"/>
      <c r="E51" s="24"/>
      <c r="F51" s="27" t="s">
        <v>32</v>
      </c>
      <c r="G51" s="22" t="s">
        <v>572</v>
      </c>
      <c r="H51" s="23"/>
      <c r="I51" s="22" t="s">
        <v>75</v>
      </c>
      <c r="J51" s="22" t="s">
        <v>108</v>
      </c>
      <c r="K51" s="23"/>
      <c r="L51" s="23"/>
      <c r="M51" s="23"/>
      <c r="N51" s="23"/>
      <c r="O51" s="23"/>
      <c r="P51" s="23"/>
      <c r="Q51" s="23"/>
    </row>
    <row r="52" spans="1:17" ht="153" x14ac:dyDescent="0.25">
      <c r="A52" s="23"/>
      <c r="B52" s="23"/>
      <c r="C52" s="21" t="s">
        <v>110</v>
      </c>
      <c r="D52" s="22" t="s">
        <v>74</v>
      </c>
      <c r="E52" s="22" t="s">
        <v>111</v>
      </c>
      <c r="F52" s="34" t="s">
        <v>17</v>
      </c>
      <c r="G52" s="22" t="s">
        <v>573</v>
      </c>
      <c r="H52" s="23"/>
      <c r="I52" s="60" t="s">
        <v>517</v>
      </c>
      <c r="J52" s="24" t="s">
        <v>80</v>
      </c>
      <c r="K52" s="23"/>
      <c r="L52" s="23"/>
      <c r="M52" s="23"/>
      <c r="N52" s="23"/>
      <c r="O52" s="23"/>
      <c r="P52" s="23"/>
      <c r="Q52" s="23"/>
    </row>
    <row r="53" spans="1:17" ht="51" x14ac:dyDescent="0.25">
      <c r="A53" s="23"/>
      <c r="B53" s="23"/>
      <c r="C53" s="21" t="s">
        <v>110</v>
      </c>
      <c r="D53" s="24"/>
      <c r="E53" s="24"/>
      <c r="F53" s="25" t="s">
        <v>19</v>
      </c>
      <c r="G53" s="26" t="s">
        <v>18</v>
      </c>
      <c r="H53" s="24"/>
      <c r="I53" s="24"/>
      <c r="J53" s="26" t="s">
        <v>20</v>
      </c>
      <c r="K53" s="23"/>
      <c r="L53" s="23"/>
      <c r="M53" s="23"/>
      <c r="N53" s="23"/>
      <c r="O53" s="23"/>
      <c r="P53" s="23"/>
      <c r="Q53" s="23"/>
    </row>
    <row r="54" spans="1:17" ht="51" x14ac:dyDescent="0.25">
      <c r="A54" s="23"/>
      <c r="B54" s="23"/>
      <c r="C54" s="21" t="s">
        <v>110</v>
      </c>
      <c r="D54" s="24"/>
      <c r="E54" s="24"/>
      <c r="F54" s="25" t="s">
        <v>26</v>
      </c>
      <c r="G54" s="26" t="s">
        <v>21</v>
      </c>
      <c r="H54" s="24"/>
      <c r="I54" s="24"/>
      <c r="J54" s="26" t="s">
        <v>22</v>
      </c>
      <c r="K54" s="23"/>
      <c r="L54" s="23"/>
      <c r="M54" s="23"/>
      <c r="N54" s="23"/>
      <c r="O54" s="23"/>
      <c r="P54" s="23"/>
      <c r="Q54" s="23"/>
    </row>
    <row r="55" spans="1:17" ht="51" x14ac:dyDescent="0.25">
      <c r="A55" s="23"/>
      <c r="B55" s="23"/>
      <c r="C55" s="21" t="s">
        <v>110</v>
      </c>
      <c r="D55" s="24"/>
      <c r="E55" s="24"/>
      <c r="F55" s="25" t="s">
        <v>28</v>
      </c>
      <c r="G55" s="26" t="s">
        <v>23</v>
      </c>
      <c r="H55" s="24"/>
      <c r="I55" s="24"/>
      <c r="J55" s="26" t="s">
        <v>41</v>
      </c>
      <c r="K55" s="23"/>
      <c r="L55" s="23"/>
      <c r="M55" s="23"/>
      <c r="N55" s="23"/>
      <c r="O55" s="23"/>
      <c r="P55" s="23"/>
      <c r="Q55" s="23"/>
    </row>
    <row r="56" spans="1:17" ht="51" x14ac:dyDescent="0.25">
      <c r="A56" s="23"/>
      <c r="B56" s="23"/>
      <c r="C56" s="21" t="s">
        <v>110</v>
      </c>
      <c r="D56" s="23"/>
      <c r="E56" s="23"/>
      <c r="F56" s="25" t="s">
        <v>29</v>
      </c>
      <c r="G56" s="21" t="s">
        <v>70</v>
      </c>
      <c r="H56" s="27"/>
      <c r="I56" s="27"/>
      <c r="J56" s="21" t="s">
        <v>44</v>
      </c>
      <c r="K56" s="23"/>
      <c r="L56" s="23"/>
      <c r="M56" s="23"/>
      <c r="N56" s="23"/>
      <c r="O56" s="23"/>
      <c r="P56" s="23"/>
      <c r="Q56" s="23"/>
    </row>
    <row r="57" spans="1:17" ht="51" x14ac:dyDescent="0.25">
      <c r="A57" s="23"/>
      <c r="B57" s="23"/>
      <c r="C57" s="21" t="s">
        <v>110</v>
      </c>
      <c r="D57" s="23"/>
      <c r="E57" s="23"/>
      <c r="F57" s="25" t="s">
        <v>30</v>
      </c>
      <c r="G57" s="25" t="s">
        <v>25</v>
      </c>
      <c r="H57" s="25"/>
      <c r="I57" s="25"/>
      <c r="J57" s="25" t="s">
        <v>27</v>
      </c>
      <c r="K57" s="23"/>
      <c r="L57" s="23"/>
      <c r="M57" s="23"/>
      <c r="N57" s="23"/>
      <c r="O57" s="23"/>
      <c r="P57" s="23"/>
      <c r="Q57" s="23"/>
    </row>
    <row r="58" spans="1:17" ht="51" x14ac:dyDescent="0.25">
      <c r="A58" s="23"/>
      <c r="B58" s="23"/>
      <c r="C58" s="21" t="s">
        <v>110</v>
      </c>
      <c r="D58" s="23"/>
      <c r="E58" s="23"/>
      <c r="F58" s="25" t="s">
        <v>31</v>
      </c>
      <c r="G58" s="25" t="s">
        <v>45</v>
      </c>
      <c r="H58" s="25"/>
      <c r="I58" s="24"/>
      <c r="J58" s="22" t="s">
        <v>82</v>
      </c>
      <c r="K58" s="23"/>
      <c r="L58" s="23"/>
      <c r="M58" s="23"/>
      <c r="N58" s="23"/>
      <c r="O58" s="23"/>
      <c r="P58" s="23"/>
      <c r="Q58" s="23"/>
    </row>
    <row r="59" spans="1:17" ht="51" x14ac:dyDescent="0.25">
      <c r="A59" s="23"/>
      <c r="B59" s="23"/>
      <c r="C59" s="21" t="s">
        <v>110</v>
      </c>
      <c r="D59" s="23"/>
      <c r="E59" s="23"/>
      <c r="F59" s="25" t="s">
        <v>32</v>
      </c>
      <c r="G59" s="21" t="s">
        <v>83</v>
      </c>
      <c r="H59" s="27"/>
      <c r="I59" s="21"/>
      <c r="J59" s="21" t="s">
        <v>84</v>
      </c>
      <c r="K59" s="23"/>
      <c r="L59" s="23"/>
      <c r="M59" s="23"/>
      <c r="N59" s="23"/>
      <c r="O59" s="23"/>
      <c r="P59" s="23"/>
      <c r="Q59" s="23"/>
    </row>
    <row r="60" spans="1:17" ht="102" x14ac:dyDescent="0.25">
      <c r="A60" s="23"/>
      <c r="B60" s="23"/>
      <c r="C60" s="21" t="s">
        <v>110</v>
      </c>
      <c r="D60" s="23"/>
      <c r="E60" s="23"/>
      <c r="F60" s="25" t="s">
        <v>33</v>
      </c>
      <c r="G60" s="22" t="s">
        <v>566</v>
      </c>
      <c r="H60" s="23"/>
      <c r="I60" s="22" t="s">
        <v>86</v>
      </c>
      <c r="J60" s="22" t="s">
        <v>85</v>
      </c>
      <c r="K60" s="23"/>
      <c r="L60" s="23"/>
      <c r="M60" s="23"/>
      <c r="N60" s="23"/>
      <c r="O60" s="23"/>
      <c r="P60" s="23"/>
      <c r="Q60" s="23"/>
    </row>
    <row r="61" spans="1:17" ht="165.75" x14ac:dyDescent="0.25">
      <c r="A61" s="23"/>
      <c r="B61" s="23"/>
      <c r="C61" s="21" t="s">
        <v>115</v>
      </c>
      <c r="D61" s="22" t="s">
        <v>74</v>
      </c>
      <c r="E61" s="22" t="s">
        <v>116</v>
      </c>
      <c r="F61" s="34" t="s">
        <v>17</v>
      </c>
      <c r="G61" s="59" t="s">
        <v>574</v>
      </c>
      <c r="H61" s="23"/>
      <c r="I61" s="60" t="s">
        <v>517</v>
      </c>
      <c r="J61" s="24" t="s">
        <v>80</v>
      </c>
      <c r="K61" s="23"/>
      <c r="L61" s="23"/>
      <c r="M61" s="23"/>
      <c r="N61" s="23"/>
      <c r="O61" s="23"/>
      <c r="P61" s="23"/>
      <c r="Q61" s="23"/>
    </row>
    <row r="62" spans="1:17" ht="51" x14ac:dyDescent="0.25">
      <c r="A62" s="23"/>
      <c r="B62" s="23"/>
      <c r="C62" s="21" t="s">
        <v>115</v>
      </c>
      <c r="D62" s="24"/>
      <c r="E62" s="24"/>
      <c r="F62" s="25" t="s">
        <v>19</v>
      </c>
      <c r="G62" s="26" t="s">
        <v>18</v>
      </c>
      <c r="H62" s="24"/>
      <c r="I62" s="24"/>
      <c r="J62" s="26" t="s">
        <v>20</v>
      </c>
      <c r="K62" s="23"/>
      <c r="L62" s="23"/>
      <c r="M62" s="23"/>
      <c r="N62" s="23"/>
      <c r="O62" s="23"/>
      <c r="P62" s="23"/>
      <c r="Q62" s="23"/>
    </row>
    <row r="63" spans="1:17" ht="51" x14ac:dyDescent="0.25">
      <c r="A63" s="23"/>
      <c r="B63" s="23"/>
      <c r="C63" s="21" t="s">
        <v>115</v>
      </c>
      <c r="D63" s="24"/>
      <c r="E63" s="24"/>
      <c r="F63" s="25" t="s">
        <v>26</v>
      </c>
      <c r="G63" s="26" t="s">
        <v>21</v>
      </c>
      <c r="H63" s="24"/>
      <c r="I63" s="24"/>
      <c r="J63" s="26" t="s">
        <v>22</v>
      </c>
      <c r="K63" s="23"/>
      <c r="L63" s="23"/>
      <c r="M63" s="23"/>
      <c r="N63" s="23"/>
      <c r="O63" s="23"/>
      <c r="P63" s="23"/>
      <c r="Q63" s="23"/>
    </row>
    <row r="64" spans="1:17" ht="51" x14ac:dyDescent="0.25">
      <c r="A64" s="23"/>
      <c r="B64" s="23"/>
      <c r="C64" s="21" t="s">
        <v>115</v>
      </c>
      <c r="D64" s="24"/>
      <c r="E64" s="24"/>
      <c r="F64" s="25" t="s">
        <v>28</v>
      </c>
      <c r="G64" s="26" t="s">
        <v>23</v>
      </c>
      <c r="H64" s="24"/>
      <c r="I64" s="24"/>
      <c r="J64" s="26" t="s">
        <v>41</v>
      </c>
      <c r="K64" s="23"/>
      <c r="L64" s="23"/>
      <c r="M64" s="23"/>
      <c r="N64" s="23"/>
      <c r="O64" s="23"/>
      <c r="P64" s="23"/>
      <c r="Q64" s="23"/>
    </row>
    <row r="65" spans="1:19" ht="51" x14ac:dyDescent="0.25">
      <c r="A65" s="23"/>
      <c r="B65" s="23"/>
      <c r="C65" s="21" t="s">
        <v>115</v>
      </c>
      <c r="D65" s="23"/>
      <c r="E65" s="23"/>
      <c r="F65" s="25" t="s">
        <v>29</v>
      </c>
      <c r="G65" s="21" t="s">
        <v>70</v>
      </c>
      <c r="H65" s="27"/>
      <c r="I65" s="27"/>
      <c r="J65" s="21" t="s">
        <v>44</v>
      </c>
      <c r="K65" s="23"/>
      <c r="L65" s="23"/>
      <c r="M65" s="23"/>
      <c r="N65" s="23"/>
      <c r="O65" s="23"/>
      <c r="P65" s="23"/>
      <c r="Q65" s="23"/>
    </row>
    <row r="66" spans="1:19" ht="51" x14ac:dyDescent="0.25">
      <c r="A66" s="23"/>
      <c r="B66" s="23"/>
      <c r="C66" s="21" t="s">
        <v>115</v>
      </c>
      <c r="D66" s="23"/>
      <c r="E66" s="23"/>
      <c r="F66" s="25" t="s">
        <v>30</v>
      </c>
      <c r="G66" s="25" t="s">
        <v>25</v>
      </c>
      <c r="H66" s="25"/>
      <c r="I66" s="25"/>
      <c r="J66" s="25" t="s">
        <v>27</v>
      </c>
      <c r="K66" s="23"/>
      <c r="L66" s="23"/>
      <c r="M66" s="23"/>
      <c r="N66" s="23"/>
      <c r="O66" s="23"/>
      <c r="P66" s="23"/>
      <c r="Q66" s="23"/>
    </row>
    <row r="67" spans="1:19" ht="51" x14ac:dyDescent="0.25">
      <c r="A67" s="23"/>
      <c r="B67" s="23"/>
      <c r="C67" s="21" t="s">
        <v>115</v>
      </c>
      <c r="D67" s="23"/>
      <c r="E67" s="23"/>
      <c r="F67" s="25" t="s">
        <v>31</v>
      </c>
      <c r="G67" s="25" t="s">
        <v>45</v>
      </c>
      <c r="H67" s="25"/>
      <c r="I67" s="24"/>
      <c r="J67" s="22" t="s">
        <v>82</v>
      </c>
      <c r="K67" s="23"/>
      <c r="L67" s="23"/>
      <c r="M67" s="23"/>
      <c r="N67" s="23"/>
      <c r="O67" s="23"/>
      <c r="P67" s="23"/>
      <c r="Q67" s="23"/>
    </row>
    <row r="68" spans="1:19" ht="51" x14ac:dyDescent="0.25">
      <c r="A68" s="35"/>
      <c r="B68" s="35"/>
      <c r="C68" s="21" t="s">
        <v>115</v>
      </c>
      <c r="D68" s="23"/>
      <c r="E68" s="23"/>
      <c r="F68" s="25" t="s">
        <v>32</v>
      </c>
      <c r="G68" s="21" t="s">
        <v>83</v>
      </c>
      <c r="H68" s="27"/>
      <c r="I68" s="21"/>
      <c r="J68" s="21" t="s">
        <v>84</v>
      </c>
      <c r="K68" s="35"/>
      <c r="L68" s="35"/>
      <c r="M68" s="35"/>
      <c r="N68" s="35"/>
      <c r="O68" s="35"/>
      <c r="P68" s="35"/>
      <c r="Q68" s="35"/>
    </row>
    <row r="69" spans="1:19" ht="102" x14ac:dyDescent="0.25">
      <c r="A69" s="23"/>
      <c r="B69" s="23"/>
      <c r="C69" s="21" t="s">
        <v>115</v>
      </c>
      <c r="D69" s="23"/>
      <c r="E69" s="23"/>
      <c r="F69" s="25" t="s">
        <v>33</v>
      </c>
      <c r="G69" s="22" t="s">
        <v>566</v>
      </c>
      <c r="H69" s="23"/>
      <c r="I69" s="22" t="s">
        <v>86</v>
      </c>
      <c r="J69" s="22" t="s">
        <v>85</v>
      </c>
      <c r="K69" s="23"/>
      <c r="L69" s="23"/>
      <c r="M69" s="23"/>
      <c r="N69" s="23"/>
      <c r="O69" s="23"/>
      <c r="P69" s="23"/>
      <c r="Q69" s="23"/>
      <c r="R69" s="5"/>
      <c r="S69" s="5"/>
    </row>
    <row r="70" spans="1:19" ht="216.75" x14ac:dyDescent="0.25">
      <c r="A70" s="23"/>
      <c r="B70" s="23"/>
      <c r="C70" s="21" t="s">
        <v>117</v>
      </c>
      <c r="D70" s="22" t="s">
        <v>55</v>
      </c>
      <c r="E70" s="22" t="s">
        <v>118</v>
      </c>
      <c r="F70" s="34" t="s">
        <v>17</v>
      </c>
      <c r="G70" s="59" t="s">
        <v>575</v>
      </c>
      <c r="H70" s="23"/>
      <c r="I70" s="60" t="s">
        <v>517</v>
      </c>
      <c r="J70" s="24" t="s">
        <v>80</v>
      </c>
      <c r="K70" s="23"/>
      <c r="L70" s="23"/>
      <c r="M70" s="23"/>
      <c r="N70" s="23"/>
      <c r="O70" s="23"/>
      <c r="P70" s="23"/>
      <c r="Q70" s="23"/>
      <c r="R70" s="5"/>
      <c r="S70" s="5"/>
    </row>
    <row r="71" spans="1:19" ht="38.25" x14ac:dyDescent="0.25">
      <c r="A71" s="23"/>
      <c r="B71" s="23"/>
      <c r="C71" s="21" t="s">
        <v>117</v>
      </c>
      <c r="D71" s="24"/>
      <c r="E71" s="24"/>
      <c r="F71" s="25" t="s">
        <v>26</v>
      </c>
      <c r="G71" s="26" t="s">
        <v>18</v>
      </c>
      <c r="H71" s="24"/>
      <c r="I71" s="24"/>
      <c r="J71" s="26" t="s">
        <v>20</v>
      </c>
      <c r="K71" s="23"/>
      <c r="L71" s="23"/>
      <c r="M71" s="23"/>
      <c r="N71" s="23"/>
      <c r="O71" s="23"/>
      <c r="P71" s="23"/>
      <c r="Q71" s="23"/>
      <c r="R71" s="5"/>
      <c r="S71" s="5"/>
    </row>
    <row r="72" spans="1:19" ht="38.25" x14ac:dyDescent="0.25">
      <c r="A72" s="23"/>
      <c r="B72" s="23"/>
      <c r="C72" s="21" t="s">
        <v>117</v>
      </c>
      <c r="D72" s="24"/>
      <c r="E72" s="24"/>
      <c r="F72" s="25" t="s">
        <v>28</v>
      </c>
      <c r="G72" s="26" t="s">
        <v>21</v>
      </c>
      <c r="H72" s="24"/>
      <c r="I72" s="24"/>
      <c r="J72" s="26" t="s">
        <v>22</v>
      </c>
      <c r="K72" s="23"/>
      <c r="L72" s="23"/>
      <c r="M72" s="23"/>
      <c r="N72" s="23"/>
      <c r="O72" s="23"/>
      <c r="P72" s="23"/>
      <c r="Q72" s="23"/>
      <c r="R72" s="5"/>
      <c r="S72" s="5"/>
    </row>
    <row r="73" spans="1:19" ht="51" x14ac:dyDescent="0.25">
      <c r="A73" s="23"/>
      <c r="B73" s="23"/>
      <c r="C73" s="21" t="s">
        <v>117</v>
      </c>
      <c r="D73" s="24"/>
      <c r="E73" s="24"/>
      <c r="F73" s="25" t="s">
        <v>29</v>
      </c>
      <c r="G73" s="26" t="s">
        <v>23</v>
      </c>
      <c r="H73" s="24"/>
      <c r="I73" s="24"/>
      <c r="J73" s="26" t="s">
        <v>41</v>
      </c>
      <c r="K73" s="23"/>
      <c r="L73" s="23"/>
      <c r="M73" s="23"/>
      <c r="N73" s="23"/>
      <c r="O73" s="23"/>
      <c r="P73" s="23"/>
      <c r="Q73" s="23"/>
      <c r="R73" s="5"/>
      <c r="S73" s="5"/>
    </row>
    <row r="74" spans="1:19" ht="38.25" x14ac:dyDescent="0.25">
      <c r="A74" s="23"/>
      <c r="B74" s="23"/>
      <c r="C74" s="21" t="s">
        <v>117</v>
      </c>
      <c r="D74" s="24"/>
      <c r="E74" s="24"/>
      <c r="F74" s="27" t="s">
        <v>30</v>
      </c>
      <c r="G74" s="27" t="s">
        <v>43</v>
      </c>
      <c r="H74" s="27"/>
      <c r="I74" s="27"/>
      <c r="J74" s="21" t="s">
        <v>44</v>
      </c>
      <c r="K74" s="23"/>
      <c r="L74" s="23"/>
      <c r="M74" s="23"/>
      <c r="N74" s="23"/>
      <c r="O74" s="23"/>
      <c r="P74" s="23"/>
      <c r="Q74" s="23"/>
      <c r="R74" s="5"/>
      <c r="S74" s="5"/>
    </row>
    <row r="75" spans="1:19" ht="38.25" x14ac:dyDescent="0.25">
      <c r="A75" s="23"/>
      <c r="B75" s="23"/>
      <c r="C75" s="21" t="s">
        <v>117</v>
      </c>
      <c r="D75" s="24"/>
      <c r="E75" s="24"/>
      <c r="F75" s="27" t="s">
        <v>31</v>
      </c>
      <c r="G75" s="25" t="s">
        <v>25</v>
      </c>
      <c r="H75" s="25"/>
      <c r="I75" s="25"/>
      <c r="J75" s="25" t="s">
        <v>27</v>
      </c>
      <c r="K75" s="23"/>
      <c r="L75" s="23"/>
      <c r="M75" s="23"/>
      <c r="N75" s="23"/>
      <c r="O75" s="23"/>
      <c r="P75" s="23"/>
      <c r="Q75" s="23"/>
      <c r="R75" s="5"/>
      <c r="S75" s="5"/>
    </row>
    <row r="76" spans="1:19" ht="140.25" x14ac:dyDescent="0.25">
      <c r="A76" s="23"/>
      <c r="B76" s="23"/>
      <c r="C76" s="21" t="s">
        <v>117</v>
      </c>
      <c r="D76" s="24"/>
      <c r="E76" s="24"/>
      <c r="F76" s="27" t="s">
        <v>32</v>
      </c>
      <c r="G76" s="22" t="s">
        <v>572</v>
      </c>
      <c r="H76" s="23"/>
      <c r="I76" s="22" t="s">
        <v>75</v>
      </c>
      <c r="J76" s="22" t="s">
        <v>108</v>
      </c>
      <c r="K76" s="23"/>
      <c r="L76" s="23"/>
      <c r="M76" s="23"/>
      <c r="N76" s="23"/>
      <c r="O76" s="23"/>
      <c r="P76" s="23"/>
      <c r="Q76" s="23"/>
      <c r="R76" s="5"/>
      <c r="S76" s="5"/>
    </row>
    <row r="77" spans="1:19" ht="38.25" x14ac:dyDescent="0.25">
      <c r="A77" s="23"/>
      <c r="B77" s="23"/>
      <c r="C77" s="21" t="s">
        <v>117</v>
      </c>
      <c r="D77" s="23"/>
      <c r="E77" s="23"/>
      <c r="F77" s="27" t="s">
        <v>33</v>
      </c>
      <c r="G77" s="21" t="s">
        <v>50</v>
      </c>
      <c r="H77" s="27"/>
      <c r="I77" s="21"/>
      <c r="J77" s="21" t="s">
        <v>51</v>
      </c>
      <c r="K77" s="23"/>
      <c r="L77" s="23"/>
      <c r="M77" s="23"/>
      <c r="N77" s="23"/>
      <c r="O77" s="23"/>
      <c r="P77" s="23"/>
      <c r="Q77" s="23"/>
      <c r="R77" s="5"/>
      <c r="S77" s="5"/>
    </row>
    <row r="78" spans="1:19" ht="102" x14ac:dyDescent="0.25">
      <c r="A78" s="23"/>
      <c r="B78" s="23"/>
      <c r="C78" s="21" t="s">
        <v>117</v>
      </c>
      <c r="D78" s="23"/>
      <c r="E78" s="23"/>
      <c r="F78" s="27" t="s">
        <v>49</v>
      </c>
      <c r="G78" s="22" t="s">
        <v>566</v>
      </c>
      <c r="H78" s="23"/>
      <c r="I78" s="22" t="s">
        <v>119</v>
      </c>
      <c r="J78" s="22" t="s">
        <v>120</v>
      </c>
      <c r="K78" s="23"/>
      <c r="L78" s="23"/>
      <c r="M78" s="23"/>
      <c r="N78" s="23"/>
      <c r="O78" s="23"/>
      <c r="P78" s="23"/>
      <c r="Q78" s="23"/>
      <c r="R78" s="5"/>
      <c r="S78" s="5"/>
    </row>
    <row r="79" spans="1:19" ht="114.75" x14ac:dyDescent="0.25">
      <c r="A79" s="5"/>
      <c r="B79" s="5"/>
      <c r="C79" s="58" t="s">
        <v>238</v>
      </c>
      <c r="D79" s="22" t="s">
        <v>61</v>
      </c>
      <c r="E79" s="59" t="s">
        <v>518</v>
      </c>
      <c r="F79" s="34" t="s">
        <v>17</v>
      </c>
      <c r="G79" s="22" t="s">
        <v>153</v>
      </c>
      <c r="H79" s="23"/>
      <c r="I79" s="60" t="s">
        <v>517</v>
      </c>
      <c r="J79" s="24" t="s">
        <v>80</v>
      </c>
      <c r="K79" s="5"/>
      <c r="L79" s="5"/>
      <c r="M79" s="5"/>
      <c r="N79" s="5"/>
      <c r="O79" s="5"/>
      <c r="P79" s="5"/>
      <c r="Q79" s="5"/>
      <c r="R79" s="5"/>
      <c r="S79" s="5"/>
    </row>
    <row r="80" spans="1:19" ht="153" x14ac:dyDescent="0.25">
      <c r="A80" s="5"/>
      <c r="B80" s="5"/>
      <c r="C80" s="21" t="s">
        <v>238</v>
      </c>
      <c r="D80" s="22"/>
      <c r="E80" s="22"/>
      <c r="F80" s="25" t="s">
        <v>19</v>
      </c>
      <c r="G80" s="22" t="s">
        <v>152</v>
      </c>
      <c r="H80" s="23"/>
      <c r="I80" s="62"/>
      <c r="J80" s="24"/>
      <c r="K80" s="5"/>
      <c r="L80" s="5"/>
      <c r="M80" s="5"/>
      <c r="N80" s="5"/>
      <c r="O80" s="5"/>
      <c r="P80" s="5"/>
      <c r="Q80" s="5"/>
      <c r="R80" s="5"/>
      <c r="S80" s="5"/>
    </row>
    <row r="81" spans="1:19" ht="51" x14ac:dyDescent="0.25">
      <c r="A81" s="5"/>
      <c r="B81" s="5"/>
      <c r="C81" s="21" t="s">
        <v>238</v>
      </c>
      <c r="D81" s="24"/>
      <c r="E81" s="24"/>
      <c r="F81" s="25" t="s">
        <v>26</v>
      </c>
      <c r="G81" s="26" t="s">
        <v>18</v>
      </c>
      <c r="H81" s="24"/>
      <c r="I81" s="24"/>
      <c r="J81" s="26" t="s">
        <v>20</v>
      </c>
      <c r="K81" s="5"/>
      <c r="L81" s="5"/>
      <c r="M81" s="5"/>
      <c r="N81" s="5"/>
      <c r="O81" s="5"/>
      <c r="P81" s="5"/>
      <c r="Q81" s="5"/>
      <c r="R81" s="5"/>
      <c r="S81" s="5"/>
    </row>
    <row r="82" spans="1:19" ht="51" x14ac:dyDescent="0.25">
      <c r="A82" s="5"/>
      <c r="B82" s="5"/>
      <c r="C82" s="21" t="s">
        <v>238</v>
      </c>
      <c r="D82" s="24"/>
      <c r="E82" s="24"/>
      <c r="F82" s="25" t="s">
        <v>28</v>
      </c>
      <c r="G82" s="26" t="s">
        <v>21</v>
      </c>
      <c r="H82" s="24"/>
      <c r="I82" s="24"/>
      <c r="J82" s="26" t="s">
        <v>22</v>
      </c>
      <c r="K82" s="5"/>
      <c r="L82" s="5"/>
      <c r="M82" s="5"/>
      <c r="N82" s="5"/>
      <c r="O82" s="5"/>
      <c r="P82" s="5"/>
      <c r="Q82" s="5"/>
      <c r="R82" s="5"/>
      <c r="S82" s="5"/>
    </row>
    <row r="83" spans="1:19" ht="51" x14ac:dyDescent="0.25">
      <c r="A83" s="5"/>
      <c r="B83" s="5"/>
      <c r="C83" s="21" t="s">
        <v>238</v>
      </c>
      <c r="D83" s="24"/>
      <c r="E83" s="24"/>
      <c r="F83" s="25" t="s">
        <v>29</v>
      </c>
      <c r="G83" s="26" t="s">
        <v>23</v>
      </c>
      <c r="H83" s="24"/>
      <c r="I83" s="24"/>
      <c r="J83" s="26" t="s">
        <v>41</v>
      </c>
      <c r="K83" s="5"/>
      <c r="L83" s="5"/>
      <c r="M83" s="5"/>
      <c r="N83" s="5"/>
      <c r="O83" s="5"/>
      <c r="P83" s="5"/>
      <c r="Q83" s="5"/>
      <c r="R83" s="5"/>
      <c r="S83" s="5"/>
    </row>
    <row r="84" spans="1:19" ht="51" x14ac:dyDescent="0.25">
      <c r="A84" s="5"/>
      <c r="B84" s="5"/>
      <c r="C84" s="21" t="s">
        <v>238</v>
      </c>
      <c r="D84" s="24"/>
      <c r="E84" s="24"/>
      <c r="F84" s="25" t="s">
        <v>30</v>
      </c>
      <c r="G84" s="27" t="s">
        <v>43</v>
      </c>
      <c r="H84" s="27"/>
      <c r="I84" s="27"/>
      <c r="J84" s="21" t="s">
        <v>44</v>
      </c>
      <c r="K84" s="5"/>
      <c r="L84" s="5"/>
      <c r="M84" s="5"/>
      <c r="N84" s="5"/>
      <c r="O84" s="5"/>
      <c r="P84" s="5"/>
      <c r="Q84" s="5"/>
      <c r="R84" s="5"/>
      <c r="S84" s="5"/>
    </row>
    <row r="85" spans="1:19" ht="51" x14ac:dyDescent="0.25">
      <c r="A85" s="5"/>
      <c r="B85" s="5"/>
      <c r="C85" s="21" t="s">
        <v>238</v>
      </c>
      <c r="D85" s="24"/>
      <c r="E85" s="24"/>
      <c r="F85" s="25" t="s">
        <v>31</v>
      </c>
      <c r="G85" s="25" t="s">
        <v>25</v>
      </c>
      <c r="H85" s="25"/>
      <c r="I85" s="25"/>
      <c r="J85" s="25" t="s">
        <v>27</v>
      </c>
      <c r="K85" s="5"/>
      <c r="L85" s="5"/>
      <c r="M85" s="5"/>
      <c r="N85" s="5"/>
      <c r="O85" s="5"/>
      <c r="P85" s="5"/>
      <c r="Q85" s="5"/>
      <c r="R85" s="5"/>
      <c r="S85" s="5"/>
    </row>
    <row r="86" spans="1:19" ht="140.25" x14ac:dyDescent="0.25">
      <c r="A86" s="5"/>
      <c r="B86" s="5"/>
      <c r="C86" s="21" t="s">
        <v>238</v>
      </c>
      <c r="D86" s="24"/>
      <c r="E86" s="24"/>
      <c r="F86" s="25" t="s">
        <v>32</v>
      </c>
      <c r="G86" s="22" t="s">
        <v>572</v>
      </c>
      <c r="H86" s="23"/>
      <c r="I86" s="22" t="s">
        <v>75</v>
      </c>
      <c r="J86" s="22" t="s">
        <v>108</v>
      </c>
      <c r="K86" s="5"/>
      <c r="L86" s="5"/>
      <c r="M86" s="5"/>
      <c r="N86" s="5"/>
      <c r="O86" s="5"/>
      <c r="P86" s="5"/>
      <c r="Q86" s="5"/>
      <c r="R86" s="5"/>
      <c r="S86" s="5"/>
    </row>
    <row r="87" spans="1:19" ht="51" x14ac:dyDescent="0.25">
      <c r="A87" s="5"/>
      <c r="B87" s="5"/>
      <c r="C87" s="21" t="s">
        <v>238</v>
      </c>
      <c r="D87" s="23"/>
      <c r="E87" s="23"/>
      <c r="F87" s="25" t="s">
        <v>33</v>
      </c>
      <c r="G87" s="21" t="s">
        <v>52</v>
      </c>
      <c r="H87" s="27"/>
      <c r="I87" s="21"/>
      <c r="J87" s="21" t="s">
        <v>145</v>
      </c>
      <c r="K87" s="5"/>
      <c r="L87" s="5"/>
      <c r="M87" s="5"/>
      <c r="N87" s="5"/>
      <c r="O87" s="5"/>
      <c r="P87" s="5"/>
      <c r="Q87" s="5"/>
      <c r="R87" s="5"/>
      <c r="S87" s="5"/>
    </row>
    <row r="88" spans="1:19" ht="127.5" x14ac:dyDescent="0.25">
      <c r="A88" s="5"/>
      <c r="B88" s="5"/>
      <c r="C88" s="21" t="s">
        <v>238</v>
      </c>
      <c r="D88" s="23"/>
      <c r="E88" s="23"/>
      <c r="F88" s="25" t="s">
        <v>49</v>
      </c>
      <c r="G88" s="22" t="s">
        <v>576</v>
      </c>
      <c r="H88" s="23"/>
      <c r="I88" s="22" t="s">
        <v>147</v>
      </c>
      <c r="J88" s="22" t="s">
        <v>146</v>
      </c>
      <c r="K88" s="5"/>
      <c r="L88" s="5"/>
      <c r="M88" s="5"/>
      <c r="N88" s="5"/>
      <c r="O88" s="5"/>
      <c r="P88" s="5"/>
      <c r="Q88" s="5"/>
      <c r="R88" s="5"/>
      <c r="S88" s="5"/>
    </row>
    <row r="89" spans="1:19" ht="114.75" x14ac:dyDescent="0.25">
      <c r="A89" s="5"/>
      <c r="B89" s="5"/>
      <c r="C89" s="21" t="s">
        <v>239</v>
      </c>
      <c r="D89" s="22" t="s">
        <v>61</v>
      </c>
      <c r="E89" s="22" t="s">
        <v>221</v>
      </c>
      <c r="F89" s="34" t="s">
        <v>17</v>
      </c>
      <c r="G89" s="59" t="s">
        <v>577</v>
      </c>
      <c r="H89" s="23"/>
      <c r="I89" s="60" t="s">
        <v>517</v>
      </c>
      <c r="J89" s="24" t="s">
        <v>80</v>
      </c>
      <c r="K89" s="5"/>
      <c r="L89" s="5"/>
      <c r="M89" s="5"/>
      <c r="N89" s="5"/>
      <c r="O89" s="5"/>
      <c r="P89" s="5"/>
      <c r="Q89" s="5"/>
      <c r="R89" s="5"/>
      <c r="S89" s="5"/>
    </row>
    <row r="90" spans="1:19" ht="51" x14ac:dyDescent="0.25">
      <c r="A90" s="5"/>
      <c r="B90" s="5"/>
      <c r="C90" s="21" t="s">
        <v>239</v>
      </c>
      <c r="D90" s="24"/>
      <c r="E90" s="24"/>
      <c r="F90" s="25" t="s">
        <v>26</v>
      </c>
      <c r="G90" s="26" t="s">
        <v>18</v>
      </c>
      <c r="H90" s="24"/>
      <c r="I90" s="24"/>
      <c r="J90" s="26" t="s">
        <v>20</v>
      </c>
      <c r="K90" s="5"/>
      <c r="L90" s="5"/>
      <c r="M90" s="5"/>
      <c r="N90" s="5"/>
      <c r="O90" s="5"/>
      <c r="P90" s="5"/>
      <c r="Q90" s="5"/>
      <c r="R90" s="5"/>
      <c r="S90" s="5"/>
    </row>
    <row r="91" spans="1:19" ht="51" x14ac:dyDescent="0.25">
      <c r="A91" s="5"/>
      <c r="B91" s="5"/>
      <c r="C91" s="21" t="s">
        <v>239</v>
      </c>
      <c r="D91" s="24"/>
      <c r="E91" s="24"/>
      <c r="F91" s="25" t="s">
        <v>28</v>
      </c>
      <c r="G91" s="26" t="s">
        <v>21</v>
      </c>
      <c r="H91" s="24"/>
      <c r="I91" s="24"/>
      <c r="J91" s="26" t="s">
        <v>22</v>
      </c>
      <c r="K91" s="5"/>
      <c r="L91" s="5"/>
      <c r="M91" s="5"/>
      <c r="N91" s="5"/>
      <c r="O91" s="5"/>
      <c r="P91" s="5"/>
      <c r="Q91" s="5"/>
      <c r="R91" s="5"/>
      <c r="S91" s="5"/>
    </row>
    <row r="92" spans="1:19" ht="51" x14ac:dyDescent="0.25">
      <c r="A92" s="5"/>
      <c r="B92" s="5"/>
      <c r="C92" s="21" t="s">
        <v>239</v>
      </c>
      <c r="D92" s="24"/>
      <c r="E92" s="24"/>
      <c r="F92" s="25" t="s">
        <v>29</v>
      </c>
      <c r="G92" s="26" t="s">
        <v>23</v>
      </c>
      <c r="H92" s="24"/>
      <c r="I92" s="24"/>
      <c r="J92" s="26" t="s">
        <v>41</v>
      </c>
      <c r="K92" s="5"/>
      <c r="L92" s="5"/>
      <c r="M92" s="5"/>
      <c r="N92" s="5"/>
      <c r="O92" s="5"/>
      <c r="P92" s="5"/>
      <c r="Q92" s="5"/>
      <c r="R92" s="5"/>
      <c r="S92" s="5"/>
    </row>
    <row r="93" spans="1:19" ht="51" x14ac:dyDescent="0.25">
      <c r="A93" s="5"/>
      <c r="B93" s="5"/>
      <c r="C93" s="21" t="s">
        <v>239</v>
      </c>
      <c r="D93" s="24"/>
      <c r="E93" s="24"/>
      <c r="F93" s="25" t="s">
        <v>30</v>
      </c>
      <c r="G93" s="27" t="s">
        <v>43</v>
      </c>
      <c r="H93" s="27"/>
      <c r="I93" s="27"/>
      <c r="J93" s="21" t="s">
        <v>44</v>
      </c>
      <c r="K93" s="5"/>
      <c r="L93" s="5"/>
      <c r="M93" s="5"/>
      <c r="N93" s="5"/>
      <c r="O93" s="5"/>
      <c r="P93" s="5"/>
      <c r="Q93" s="5"/>
      <c r="R93" s="5"/>
      <c r="S93" s="5"/>
    </row>
    <row r="94" spans="1:19" ht="51" x14ac:dyDescent="0.25">
      <c r="A94" s="5"/>
      <c r="B94" s="5"/>
      <c r="C94" s="21" t="s">
        <v>239</v>
      </c>
      <c r="D94" s="24"/>
      <c r="E94" s="24"/>
      <c r="F94" s="25" t="s">
        <v>31</v>
      </c>
      <c r="G94" s="25" t="s">
        <v>25</v>
      </c>
      <c r="H94" s="25"/>
      <c r="I94" s="25"/>
      <c r="J94" s="25" t="s">
        <v>27</v>
      </c>
      <c r="K94" s="5"/>
      <c r="L94" s="5"/>
      <c r="M94" s="5"/>
      <c r="N94" s="5"/>
      <c r="O94" s="5"/>
      <c r="P94" s="5"/>
      <c r="Q94" s="5"/>
      <c r="R94" s="5"/>
      <c r="S94" s="5"/>
    </row>
    <row r="95" spans="1:19" ht="51" x14ac:dyDescent="0.25">
      <c r="A95" s="5"/>
      <c r="B95" s="5"/>
      <c r="C95" s="21" t="s">
        <v>239</v>
      </c>
      <c r="D95" s="23"/>
      <c r="E95" s="23"/>
      <c r="F95" s="25" t="s">
        <v>32</v>
      </c>
      <c r="G95" s="21" t="s">
        <v>52</v>
      </c>
      <c r="H95" s="27"/>
      <c r="I95" s="21"/>
      <c r="J95" s="21" t="s">
        <v>145</v>
      </c>
      <c r="K95" s="5"/>
      <c r="L95" s="5"/>
      <c r="M95" s="5"/>
      <c r="N95" s="5"/>
      <c r="O95" s="5"/>
      <c r="P95" s="5"/>
      <c r="Q95" s="5"/>
      <c r="R95" s="5"/>
      <c r="S95" s="5"/>
    </row>
    <row r="96" spans="1:19" ht="89.25" x14ac:dyDescent="0.25">
      <c r="A96" s="5"/>
      <c r="B96" s="5"/>
      <c r="C96" s="21" t="s">
        <v>239</v>
      </c>
      <c r="D96" s="23"/>
      <c r="E96" s="23"/>
      <c r="F96" s="25" t="s">
        <v>33</v>
      </c>
      <c r="G96" s="22" t="s">
        <v>578</v>
      </c>
      <c r="H96" s="23"/>
      <c r="I96" s="22" t="s">
        <v>147</v>
      </c>
      <c r="J96" s="22" t="s">
        <v>230</v>
      </c>
      <c r="K96" s="5"/>
      <c r="L96" s="5"/>
      <c r="M96" s="5"/>
      <c r="N96" s="5"/>
      <c r="O96" s="5"/>
      <c r="P96" s="5"/>
      <c r="Q96" s="5"/>
      <c r="R96" s="5"/>
      <c r="S96" s="5"/>
    </row>
    <row r="97" spans="1:19" ht="140.25" x14ac:dyDescent="0.25">
      <c r="A97" s="5"/>
      <c r="B97" s="5"/>
      <c r="C97" s="21" t="s">
        <v>240</v>
      </c>
      <c r="D97" s="22" t="s">
        <v>61</v>
      </c>
      <c r="E97" s="22" t="s">
        <v>223</v>
      </c>
      <c r="F97" s="34" t="s">
        <v>17</v>
      </c>
      <c r="G97" s="22" t="s">
        <v>579</v>
      </c>
      <c r="H97" s="23"/>
      <c r="I97" s="60" t="s">
        <v>517</v>
      </c>
      <c r="J97" s="24" t="s">
        <v>80</v>
      </c>
      <c r="K97" s="5"/>
      <c r="L97" s="5"/>
      <c r="M97" s="5"/>
      <c r="N97" s="5"/>
      <c r="O97" s="5"/>
      <c r="P97" s="5"/>
      <c r="Q97" s="5"/>
      <c r="R97" s="5"/>
      <c r="S97" s="5"/>
    </row>
    <row r="98" spans="1:19" ht="51" x14ac:dyDescent="0.25">
      <c r="A98" s="5"/>
      <c r="B98" s="5"/>
      <c r="C98" s="21" t="s">
        <v>240</v>
      </c>
      <c r="D98" s="24"/>
      <c r="E98" s="24"/>
      <c r="F98" s="25" t="s">
        <v>26</v>
      </c>
      <c r="G98" s="26" t="s">
        <v>18</v>
      </c>
      <c r="H98" s="24"/>
      <c r="I98" s="24"/>
      <c r="J98" s="26" t="s">
        <v>20</v>
      </c>
      <c r="K98" s="5"/>
      <c r="L98" s="5"/>
      <c r="M98" s="5"/>
      <c r="N98" s="5"/>
      <c r="O98" s="5"/>
      <c r="P98" s="5"/>
      <c r="Q98" s="5"/>
      <c r="R98" s="5"/>
      <c r="S98" s="5"/>
    </row>
    <row r="99" spans="1:19" ht="51" x14ac:dyDescent="0.25">
      <c r="A99" s="5"/>
      <c r="B99" s="5"/>
      <c r="C99" s="21" t="s">
        <v>240</v>
      </c>
      <c r="D99" s="24"/>
      <c r="E99" s="24"/>
      <c r="F99" s="25" t="s">
        <v>28</v>
      </c>
      <c r="G99" s="26" t="s">
        <v>21</v>
      </c>
      <c r="H99" s="24"/>
      <c r="I99" s="24"/>
      <c r="J99" s="26" t="s">
        <v>22</v>
      </c>
      <c r="K99" s="5"/>
      <c r="L99" s="5"/>
      <c r="M99" s="5"/>
      <c r="N99" s="5"/>
      <c r="O99" s="5"/>
      <c r="P99" s="5"/>
      <c r="Q99" s="5"/>
      <c r="R99" s="5"/>
      <c r="S99" s="5"/>
    </row>
    <row r="100" spans="1:19" ht="51" x14ac:dyDescent="0.25">
      <c r="A100" s="5"/>
      <c r="B100" s="5"/>
      <c r="C100" s="21" t="s">
        <v>240</v>
      </c>
      <c r="D100" s="24"/>
      <c r="E100" s="24"/>
      <c r="F100" s="25" t="s">
        <v>29</v>
      </c>
      <c r="G100" s="26" t="s">
        <v>23</v>
      </c>
      <c r="H100" s="24"/>
      <c r="I100" s="24"/>
      <c r="J100" s="26" t="s">
        <v>41</v>
      </c>
      <c r="K100" s="5"/>
      <c r="L100" s="5"/>
      <c r="M100" s="5"/>
      <c r="N100" s="5"/>
      <c r="O100" s="5"/>
      <c r="P100" s="5"/>
      <c r="Q100" s="5"/>
      <c r="R100" s="5"/>
      <c r="S100" s="5"/>
    </row>
    <row r="101" spans="1:19" ht="51" x14ac:dyDescent="0.25">
      <c r="A101" s="5"/>
      <c r="B101" s="5"/>
      <c r="C101" s="21" t="s">
        <v>240</v>
      </c>
      <c r="D101" s="24"/>
      <c r="E101" s="24"/>
      <c r="F101" s="25" t="s">
        <v>30</v>
      </c>
      <c r="G101" s="27" t="s">
        <v>43</v>
      </c>
      <c r="H101" s="27"/>
      <c r="I101" s="27"/>
      <c r="J101" s="21" t="s">
        <v>44</v>
      </c>
      <c r="K101" s="5"/>
      <c r="L101" s="5"/>
      <c r="M101" s="5"/>
      <c r="N101" s="5"/>
      <c r="O101" s="5"/>
      <c r="P101" s="5"/>
      <c r="Q101" s="5"/>
      <c r="R101" s="5"/>
      <c r="S101" s="5"/>
    </row>
    <row r="102" spans="1:19" ht="51" x14ac:dyDescent="0.25">
      <c r="A102" s="5"/>
      <c r="B102" s="5"/>
      <c r="C102" s="21" t="s">
        <v>240</v>
      </c>
      <c r="D102" s="24"/>
      <c r="E102" s="24"/>
      <c r="F102" s="25" t="s">
        <v>31</v>
      </c>
      <c r="G102" s="25" t="s">
        <v>25</v>
      </c>
      <c r="H102" s="25"/>
      <c r="I102" s="25"/>
      <c r="J102" s="25" t="s">
        <v>27</v>
      </c>
      <c r="K102" s="5"/>
      <c r="L102" s="5"/>
      <c r="M102" s="5"/>
      <c r="N102" s="5"/>
      <c r="O102" s="5"/>
      <c r="P102" s="5"/>
      <c r="Q102" s="5"/>
      <c r="R102" s="5"/>
      <c r="S102" s="5"/>
    </row>
    <row r="103" spans="1:19" ht="51" x14ac:dyDescent="0.25">
      <c r="A103" s="5"/>
      <c r="B103" s="5"/>
      <c r="C103" s="21" t="s">
        <v>240</v>
      </c>
      <c r="D103" s="23"/>
      <c r="E103" s="23"/>
      <c r="F103" s="25" t="s">
        <v>32</v>
      </c>
      <c r="G103" s="21" t="s">
        <v>52</v>
      </c>
      <c r="H103" s="27"/>
      <c r="I103" s="21"/>
      <c r="J103" s="21" t="s">
        <v>145</v>
      </c>
      <c r="K103" s="5"/>
      <c r="L103" s="5"/>
      <c r="M103" s="5"/>
      <c r="N103" s="5"/>
      <c r="O103" s="5"/>
      <c r="P103" s="5"/>
      <c r="Q103" s="5"/>
      <c r="R103" s="5"/>
      <c r="S103" s="5"/>
    </row>
    <row r="104" spans="1:19" ht="89.25" x14ac:dyDescent="0.25">
      <c r="A104" s="5"/>
      <c r="B104" s="5"/>
      <c r="C104" s="21" t="s">
        <v>240</v>
      </c>
      <c r="D104" s="23"/>
      <c r="E104" s="23"/>
      <c r="F104" s="25" t="s">
        <v>33</v>
      </c>
      <c r="G104" s="22" t="s">
        <v>578</v>
      </c>
      <c r="H104" s="23"/>
      <c r="I104" s="22" t="s">
        <v>147</v>
      </c>
      <c r="J104" s="22" t="s">
        <v>230</v>
      </c>
      <c r="K104" s="5"/>
      <c r="L104" s="5"/>
      <c r="M104" s="5"/>
      <c r="N104" s="5"/>
      <c r="O104" s="5"/>
      <c r="P104" s="5"/>
      <c r="Q104" s="5"/>
      <c r="R104" s="5"/>
      <c r="S104" s="5"/>
    </row>
    <row r="105" spans="1:19" ht="178.5" x14ac:dyDescent="0.25">
      <c r="A105" s="5"/>
      <c r="B105" s="5"/>
      <c r="C105" s="21" t="s">
        <v>241</v>
      </c>
      <c r="D105" s="22" t="s">
        <v>61</v>
      </c>
      <c r="E105" s="22" t="s">
        <v>229</v>
      </c>
      <c r="F105" s="34" t="s">
        <v>17</v>
      </c>
      <c r="G105" s="21" t="s">
        <v>580</v>
      </c>
      <c r="H105" s="23"/>
      <c r="I105" s="60" t="s">
        <v>517</v>
      </c>
      <c r="J105" s="24" t="s">
        <v>80</v>
      </c>
      <c r="K105" s="5"/>
      <c r="L105" s="5"/>
      <c r="M105" s="5"/>
      <c r="N105" s="5"/>
      <c r="O105" s="5"/>
      <c r="P105" s="5"/>
      <c r="Q105" s="5"/>
      <c r="R105" s="5"/>
      <c r="S105" s="5"/>
    </row>
    <row r="106" spans="1:19" ht="38.25" x14ac:dyDescent="0.25">
      <c r="A106" s="5"/>
      <c r="B106" s="5"/>
      <c r="C106" s="21" t="s">
        <v>241</v>
      </c>
      <c r="D106" s="24"/>
      <c r="E106" s="24"/>
      <c r="F106" s="25" t="s">
        <v>26</v>
      </c>
      <c r="G106" s="26" t="s">
        <v>18</v>
      </c>
      <c r="H106" s="24"/>
      <c r="I106" s="24"/>
      <c r="J106" s="26" t="s">
        <v>20</v>
      </c>
      <c r="K106" s="5"/>
      <c r="L106" s="5"/>
      <c r="M106" s="5"/>
      <c r="N106" s="5"/>
      <c r="O106" s="5"/>
      <c r="P106" s="5"/>
      <c r="Q106" s="5"/>
      <c r="R106" s="5"/>
      <c r="S106" s="5"/>
    </row>
    <row r="107" spans="1:19" ht="38.25" x14ac:dyDescent="0.25">
      <c r="A107" s="5"/>
      <c r="B107" s="5"/>
      <c r="C107" s="21" t="s">
        <v>241</v>
      </c>
      <c r="D107" s="24"/>
      <c r="E107" s="24"/>
      <c r="F107" s="25" t="s">
        <v>28</v>
      </c>
      <c r="G107" s="26" t="s">
        <v>21</v>
      </c>
      <c r="H107" s="24"/>
      <c r="I107" s="24"/>
      <c r="J107" s="26" t="s">
        <v>22</v>
      </c>
      <c r="K107" s="5"/>
      <c r="L107" s="5"/>
      <c r="M107" s="5"/>
      <c r="N107" s="5"/>
      <c r="O107" s="5"/>
      <c r="P107" s="5"/>
      <c r="Q107" s="5"/>
      <c r="R107" s="5"/>
      <c r="S107" s="5"/>
    </row>
    <row r="108" spans="1:19" ht="51" x14ac:dyDescent="0.25">
      <c r="A108" s="5"/>
      <c r="B108" s="5"/>
      <c r="C108" s="21" t="s">
        <v>241</v>
      </c>
      <c r="D108" s="24"/>
      <c r="E108" s="24"/>
      <c r="F108" s="25" t="s">
        <v>29</v>
      </c>
      <c r="G108" s="26" t="s">
        <v>23</v>
      </c>
      <c r="H108" s="24"/>
      <c r="I108" s="24"/>
      <c r="J108" s="26" t="s">
        <v>41</v>
      </c>
      <c r="K108" s="5"/>
      <c r="L108" s="5"/>
      <c r="M108" s="5"/>
      <c r="N108" s="5"/>
      <c r="O108" s="5"/>
      <c r="P108" s="5"/>
      <c r="Q108" s="5"/>
      <c r="R108" s="5"/>
      <c r="S108" s="5"/>
    </row>
    <row r="109" spans="1:19" ht="38.25" x14ac:dyDescent="0.25">
      <c r="A109" s="5"/>
      <c r="B109" s="5"/>
      <c r="C109" s="21" t="s">
        <v>241</v>
      </c>
      <c r="D109" s="24"/>
      <c r="E109" s="24"/>
      <c r="F109" s="25" t="s">
        <v>30</v>
      </c>
      <c r="G109" s="27" t="s">
        <v>43</v>
      </c>
      <c r="H109" s="27"/>
      <c r="I109" s="27"/>
      <c r="J109" s="21" t="s">
        <v>44</v>
      </c>
      <c r="K109" s="5"/>
      <c r="L109" s="5"/>
      <c r="M109" s="5"/>
      <c r="N109" s="5"/>
      <c r="O109" s="5"/>
      <c r="P109" s="5"/>
      <c r="Q109" s="5"/>
      <c r="R109" s="5"/>
      <c r="S109" s="5"/>
    </row>
    <row r="110" spans="1:19" ht="38.25" x14ac:dyDescent="0.25">
      <c r="A110" s="5"/>
      <c r="B110" s="5"/>
      <c r="C110" s="21" t="s">
        <v>241</v>
      </c>
      <c r="D110" s="24"/>
      <c r="E110" s="24"/>
      <c r="F110" s="25" t="s">
        <v>31</v>
      </c>
      <c r="G110" s="25" t="s">
        <v>25</v>
      </c>
      <c r="H110" s="25"/>
      <c r="I110" s="25"/>
      <c r="J110" s="25" t="s">
        <v>27</v>
      </c>
      <c r="K110" s="5"/>
      <c r="L110" s="5"/>
      <c r="M110" s="5"/>
      <c r="N110" s="5"/>
      <c r="O110" s="5"/>
      <c r="P110" s="5"/>
      <c r="Q110" s="5"/>
      <c r="R110" s="5"/>
      <c r="S110" s="5"/>
    </row>
    <row r="111" spans="1:19" ht="38.25" x14ac:dyDescent="0.25">
      <c r="A111" s="5"/>
      <c r="B111" s="5"/>
      <c r="C111" s="21" t="s">
        <v>241</v>
      </c>
      <c r="D111" s="23"/>
      <c r="E111" s="23"/>
      <c r="F111" s="25" t="s">
        <v>32</v>
      </c>
      <c r="G111" s="21" t="s">
        <v>52</v>
      </c>
      <c r="H111" s="27"/>
      <c r="I111" s="21"/>
      <c r="J111" s="21" t="s">
        <v>145</v>
      </c>
      <c r="K111" s="5"/>
      <c r="L111" s="5"/>
      <c r="M111" s="5"/>
      <c r="N111" s="5"/>
      <c r="O111" s="5"/>
      <c r="P111" s="5"/>
      <c r="Q111" s="5"/>
      <c r="R111" s="5"/>
      <c r="S111" s="5"/>
    </row>
    <row r="112" spans="1:19" ht="89.25" x14ac:dyDescent="0.25">
      <c r="A112" s="5"/>
      <c r="B112" s="5"/>
      <c r="C112" s="21" t="s">
        <v>241</v>
      </c>
      <c r="D112" s="23"/>
      <c r="E112" s="23"/>
      <c r="F112" s="25" t="s">
        <v>33</v>
      </c>
      <c r="G112" s="22" t="s">
        <v>578</v>
      </c>
      <c r="H112" s="23"/>
      <c r="I112" s="22" t="s">
        <v>147</v>
      </c>
      <c r="J112" s="22" t="s">
        <v>230</v>
      </c>
      <c r="K112" s="5"/>
      <c r="L112" s="5"/>
      <c r="M112" s="5"/>
      <c r="N112" s="5"/>
      <c r="O112" s="5"/>
      <c r="P112" s="5"/>
      <c r="Q112" s="5"/>
      <c r="R112" s="5"/>
      <c r="S112" s="5"/>
    </row>
    <row r="113" spans="1:19" ht="114.75" x14ac:dyDescent="0.25">
      <c r="A113" s="5"/>
      <c r="B113" s="5"/>
      <c r="C113" s="21" t="s">
        <v>242</v>
      </c>
      <c r="D113" s="22" t="s">
        <v>61</v>
      </c>
      <c r="E113" s="22" t="s">
        <v>232</v>
      </c>
      <c r="F113" s="34" t="s">
        <v>17</v>
      </c>
      <c r="G113" s="59" t="s">
        <v>581</v>
      </c>
      <c r="H113" s="23"/>
      <c r="I113" s="60" t="s">
        <v>517</v>
      </c>
      <c r="J113" s="24" t="s">
        <v>80</v>
      </c>
      <c r="K113" s="5"/>
      <c r="L113" s="5"/>
      <c r="M113" s="5"/>
      <c r="N113" s="5"/>
      <c r="O113" s="5"/>
      <c r="P113" s="5"/>
      <c r="Q113" s="5"/>
      <c r="R113" s="5"/>
      <c r="S113" s="5"/>
    </row>
    <row r="114" spans="1:19" ht="51" x14ac:dyDescent="0.25">
      <c r="A114" s="5"/>
      <c r="B114" s="5"/>
      <c r="C114" s="21" t="s">
        <v>242</v>
      </c>
      <c r="D114" s="24"/>
      <c r="E114" s="24"/>
      <c r="F114" s="25" t="s">
        <v>26</v>
      </c>
      <c r="G114" s="26" t="s">
        <v>18</v>
      </c>
      <c r="H114" s="24"/>
      <c r="I114" s="24"/>
      <c r="J114" s="26" t="s">
        <v>20</v>
      </c>
      <c r="K114" s="5"/>
      <c r="L114" s="5"/>
      <c r="M114" s="5"/>
      <c r="N114" s="5"/>
      <c r="O114" s="5"/>
      <c r="P114" s="5"/>
      <c r="Q114" s="5"/>
      <c r="R114" s="5"/>
      <c r="S114" s="5"/>
    </row>
    <row r="115" spans="1:19" ht="51" x14ac:dyDescent="0.25">
      <c r="A115" s="5"/>
      <c r="B115" s="5"/>
      <c r="C115" s="21" t="s">
        <v>242</v>
      </c>
      <c r="D115" s="24"/>
      <c r="E115" s="24"/>
      <c r="F115" s="25" t="s">
        <v>28</v>
      </c>
      <c r="G115" s="26" t="s">
        <v>21</v>
      </c>
      <c r="H115" s="24"/>
      <c r="I115" s="24"/>
      <c r="J115" s="26" t="s">
        <v>22</v>
      </c>
      <c r="K115" s="5"/>
      <c r="L115" s="5"/>
      <c r="M115" s="5"/>
      <c r="N115" s="5"/>
      <c r="O115" s="5"/>
      <c r="P115" s="5"/>
      <c r="Q115" s="5"/>
      <c r="R115" s="5"/>
      <c r="S115" s="5"/>
    </row>
    <row r="116" spans="1:19" ht="51" x14ac:dyDescent="0.25">
      <c r="A116" s="5"/>
      <c r="B116" s="5"/>
      <c r="C116" s="21" t="s">
        <v>242</v>
      </c>
      <c r="D116" s="24"/>
      <c r="E116" s="24"/>
      <c r="F116" s="25" t="s">
        <v>29</v>
      </c>
      <c r="G116" s="26" t="s">
        <v>23</v>
      </c>
      <c r="H116" s="24"/>
      <c r="I116" s="24"/>
      <c r="J116" s="26" t="s">
        <v>41</v>
      </c>
      <c r="K116" s="5"/>
      <c r="L116" s="5"/>
      <c r="M116" s="5"/>
      <c r="N116" s="5"/>
      <c r="O116" s="5"/>
      <c r="P116" s="5"/>
      <c r="Q116" s="5"/>
      <c r="R116" s="5"/>
      <c r="S116" s="5"/>
    </row>
    <row r="117" spans="1:19" ht="51" x14ac:dyDescent="0.25">
      <c r="A117" s="5"/>
      <c r="B117" s="5"/>
      <c r="C117" s="21" t="s">
        <v>242</v>
      </c>
      <c r="D117" s="24"/>
      <c r="E117" s="24"/>
      <c r="F117" s="25" t="s">
        <v>30</v>
      </c>
      <c r="G117" s="27" t="s">
        <v>43</v>
      </c>
      <c r="H117" s="27"/>
      <c r="I117" s="27"/>
      <c r="J117" s="21" t="s">
        <v>44</v>
      </c>
      <c r="K117" s="5"/>
      <c r="L117" s="5"/>
      <c r="M117" s="5"/>
      <c r="N117" s="5"/>
      <c r="O117" s="5"/>
      <c r="P117" s="5"/>
      <c r="Q117" s="5"/>
      <c r="R117" s="5"/>
      <c r="S117" s="5"/>
    </row>
    <row r="118" spans="1:19" ht="51" x14ac:dyDescent="0.25">
      <c r="A118" s="5"/>
      <c r="B118" s="5"/>
      <c r="C118" s="21" t="s">
        <v>242</v>
      </c>
      <c r="D118" s="24"/>
      <c r="E118" s="24"/>
      <c r="F118" s="25" t="s">
        <v>31</v>
      </c>
      <c r="G118" s="25" t="s">
        <v>25</v>
      </c>
      <c r="H118" s="25"/>
      <c r="I118" s="25"/>
      <c r="J118" s="25" t="s">
        <v>27</v>
      </c>
      <c r="K118" s="5"/>
      <c r="L118" s="5"/>
      <c r="M118" s="5"/>
      <c r="N118" s="5"/>
      <c r="O118" s="5"/>
      <c r="P118" s="5"/>
      <c r="Q118" s="5"/>
      <c r="R118" s="5"/>
      <c r="S118" s="5"/>
    </row>
    <row r="119" spans="1:19" ht="51" x14ac:dyDescent="0.25">
      <c r="A119" s="5"/>
      <c r="B119" s="5"/>
      <c r="C119" s="21" t="s">
        <v>242</v>
      </c>
      <c r="D119" s="23"/>
      <c r="E119" s="23"/>
      <c r="F119" s="25" t="s">
        <v>32</v>
      </c>
      <c r="G119" s="21" t="s">
        <v>52</v>
      </c>
      <c r="H119" s="27"/>
      <c r="I119" s="21"/>
      <c r="J119" s="21" t="s">
        <v>145</v>
      </c>
      <c r="K119" s="5"/>
      <c r="L119" s="5"/>
      <c r="M119" s="5"/>
      <c r="N119" s="5"/>
      <c r="O119" s="5"/>
      <c r="P119" s="5"/>
      <c r="Q119" s="5"/>
      <c r="R119" s="5"/>
      <c r="S119" s="5"/>
    </row>
    <row r="120" spans="1:19" ht="89.25" x14ac:dyDescent="0.25">
      <c r="A120" s="5"/>
      <c r="B120" s="5"/>
      <c r="C120" s="21" t="s">
        <v>242</v>
      </c>
      <c r="D120" s="23"/>
      <c r="E120" s="23"/>
      <c r="F120" s="25" t="s">
        <v>33</v>
      </c>
      <c r="G120" s="22" t="s">
        <v>578</v>
      </c>
      <c r="H120" s="23"/>
      <c r="I120" s="22" t="s">
        <v>147</v>
      </c>
      <c r="J120" s="22" t="s">
        <v>230</v>
      </c>
      <c r="K120" s="5"/>
      <c r="L120" s="5"/>
      <c r="M120" s="5"/>
      <c r="N120" s="5"/>
      <c r="O120" s="5"/>
      <c r="P120" s="5"/>
      <c r="Q120" s="5"/>
      <c r="R120" s="5"/>
      <c r="S120" s="5"/>
    </row>
    <row r="121" spans="1:19" ht="140.25" x14ac:dyDescent="0.25">
      <c r="A121" s="5"/>
      <c r="B121" s="5"/>
      <c r="C121" s="21" t="s">
        <v>244</v>
      </c>
      <c r="D121" s="22" t="s">
        <v>61</v>
      </c>
      <c r="E121" s="22" t="s">
        <v>243</v>
      </c>
      <c r="F121" s="34" t="s">
        <v>17</v>
      </c>
      <c r="G121" s="22" t="s">
        <v>582</v>
      </c>
      <c r="H121" s="23"/>
      <c r="I121" s="60" t="s">
        <v>517</v>
      </c>
      <c r="J121" s="24" t="s">
        <v>80</v>
      </c>
      <c r="K121" s="5"/>
      <c r="L121" s="5"/>
      <c r="M121" s="5"/>
      <c r="N121" s="5"/>
      <c r="O121" s="5"/>
      <c r="P121" s="5"/>
      <c r="Q121" s="5"/>
      <c r="R121" s="5"/>
      <c r="S121" s="5"/>
    </row>
    <row r="122" spans="1:19" ht="51" x14ac:dyDescent="0.25">
      <c r="A122" s="5"/>
      <c r="B122" s="5"/>
      <c r="C122" s="21" t="s">
        <v>244</v>
      </c>
      <c r="D122" s="24"/>
      <c r="E122" s="24"/>
      <c r="F122" s="25" t="s">
        <v>26</v>
      </c>
      <c r="G122" s="26" t="s">
        <v>18</v>
      </c>
      <c r="H122" s="24"/>
      <c r="I122" s="24"/>
      <c r="J122" s="26" t="s">
        <v>20</v>
      </c>
      <c r="K122" s="5"/>
      <c r="L122" s="5"/>
      <c r="M122" s="5"/>
      <c r="N122" s="5"/>
      <c r="O122" s="5"/>
      <c r="P122" s="5"/>
      <c r="Q122" s="5"/>
      <c r="R122" s="5"/>
      <c r="S122" s="5"/>
    </row>
    <row r="123" spans="1:19" ht="51" x14ac:dyDescent="0.25">
      <c r="A123" s="5"/>
      <c r="B123" s="5"/>
      <c r="C123" s="21" t="s">
        <v>244</v>
      </c>
      <c r="D123" s="24"/>
      <c r="E123" s="24"/>
      <c r="F123" s="25" t="s">
        <v>28</v>
      </c>
      <c r="G123" s="26" t="s">
        <v>21</v>
      </c>
      <c r="H123" s="24"/>
      <c r="I123" s="24"/>
      <c r="J123" s="26" t="s">
        <v>22</v>
      </c>
      <c r="K123" s="5"/>
      <c r="L123" s="5"/>
      <c r="M123" s="5"/>
      <c r="N123" s="5"/>
      <c r="O123" s="5"/>
      <c r="P123" s="5"/>
      <c r="Q123" s="5"/>
      <c r="R123" s="5"/>
      <c r="S123" s="5"/>
    </row>
    <row r="124" spans="1:19" ht="51" x14ac:dyDescent="0.25">
      <c r="A124" s="5"/>
      <c r="B124" s="5"/>
      <c r="C124" s="21" t="s">
        <v>244</v>
      </c>
      <c r="D124" s="24"/>
      <c r="E124" s="24"/>
      <c r="F124" s="25" t="s">
        <v>29</v>
      </c>
      <c r="G124" s="26" t="s">
        <v>23</v>
      </c>
      <c r="H124" s="24"/>
      <c r="I124" s="24"/>
      <c r="J124" s="26" t="s">
        <v>41</v>
      </c>
      <c r="K124" s="5"/>
      <c r="L124" s="5"/>
      <c r="M124" s="5"/>
      <c r="N124" s="5"/>
      <c r="O124" s="5"/>
      <c r="P124" s="5"/>
      <c r="Q124" s="5"/>
      <c r="R124" s="5"/>
      <c r="S124" s="5"/>
    </row>
    <row r="125" spans="1:19" ht="51" x14ac:dyDescent="0.25">
      <c r="A125" s="5"/>
      <c r="B125" s="5"/>
      <c r="C125" s="21" t="s">
        <v>244</v>
      </c>
      <c r="D125" s="24"/>
      <c r="E125" s="24"/>
      <c r="F125" s="25" t="s">
        <v>30</v>
      </c>
      <c r="G125" s="27" t="s">
        <v>43</v>
      </c>
      <c r="H125" s="27"/>
      <c r="I125" s="27"/>
      <c r="J125" s="21" t="s">
        <v>44</v>
      </c>
      <c r="K125" s="5"/>
      <c r="L125" s="5"/>
      <c r="M125" s="5"/>
      <c r="N125" s="5"/>
      <c r="O125" s="5"/>
      <c r="P125" s="5"/>
      <c r="Q125" s="5"/>
      <c r="R125" s="5"/>
      <c r="S125" s="5"/>
    </row>
    <row r="126" spans="1:19" ht="51" x14ac:dyDescent="0.25">
      <c r="A126" s="5"/>
      <c r="B126" s="5"/>
      <c r="C126" s="21" t="s">
        <v>244</v>
      </c>
      <c r="D126" s="24"/>
      <c r="E126" s="24"/>
      <c r="F126" s="25" t="s">
        <v>31</v>
      </c>
      <c r="G126" s="25" t="s">
        <v>25</v>
      </c>
      <c r="H126" s="25"/>
      <c r="I126" s="25"/>
      <c r="J126" s="25" t="s">
        <v>27</v>
      </c>
      <c r="K126" s="5"/>
      <c r="L126" s="5"/>
      <c r="M126" s="5"/>
      <c r="N126" s="5"/>
      <c r="O126" s="5"/>
      <c r="P126" s="5"/>
      <c r="Q126" s="5"/>
      <c r="R126" s="5"/>
      <c r="S126" s="5"/>
    </row>
    <row r="127" spans="1:19" ht="51" x14ac:dyDescent="0.25">
      <c r="A127" s="5"/>
      <c r="B127" s="5"/>
      <c r="C127" s="21" t="s">
        <v>244</v>
      </c>
      <c r="D127" s="23"/>
      <c r="E127" s="23"/>
      <c r="F127" s="25" t="s">
        <v>32</v>
      </c>
      <c r="G127" s="21" t="s">
        <v>52</v>
      </c>
      <c r="H127" s="27"/>
      <c r="I127" s="21"/>
      <c r="J127" s="21" t="s">
        <v>145</v>
      </c>
      <c r="K127" s="5"/>
      <c r="L127" s="5"/>
      <c r="M127" s="5"/>
      <c r="N127" s="5"/>
      <c r="O127" s="5"/>
      <c r="P127" s="5"/>
      <c r="Q127" s="5"/>
      <c r="R127" s="5"/>
      <c r="S127" s="5"/>
    </row>
    <row r="128" spans="1:19" ht="89.25" x14ac:dyDescent="0.25">
      <c r="A128" s="5"/>
      <c r="B128" s="5"/>
      <c r="C128" s="21" t="s">
        <v>244</v>
      </c>
      <c r="D128" s="23"/>
      <c r="E128" s="23"/>
      <c r="F128" s="25" t="s">
        <v>33</v>
      </c>
      <c r="G128" s="22" t="s">
        <v>578</v>
      </c>
      <c r="H128" s="23"/>
      <c r="I128" s="22" t="s">
        <v>147</v>
      </c>
      <c r="J128" s="22" t="s">
        <v>230</v>
      </c>
      <c r="K128" s="5"/>
      <c r="L128" s="5"/>
      <c r="M128" s="5"/>
      <c r="N128" s="5"/>
      <c r="O128" s="5"/>
      <c r="P128" s="5"/>
      <c r="Q128" s="5"/>
      <c r="R128" s="5"/>
      <c r="S128" s="5"/>
    </row>
    <row r="129" spans="1:19" ht="204" x14ac:dyDescent="0.25">
      <c r="A129" s="5"/>
      <c r="B129" s="5"/>
      <c r="C129" s="21" t="s">
        <v>247</v>
      </c>
      <c r="D129" s="22" t="s">
        <v>61</v>
      </c>
      <c r="E129" s="59" t="s">
        <v>519</v>
      </c>
      <c r="F129" s="34" t="s">
        <v>17</v>
      </c>
      <c r="G129" s="59" t="s">
        <v>583</v>
      </c>
      <c r="H129" s="23"/>
      <c r="I129" s="60" t="s">
        <v>517</v>
      </c>
      <c r="J129" s="24" t="s">
        <v>80</v>
      </c>
      <c r="K129" s="5"/>
      <c r="L129" s="5"/>
      <c r="M129" s="5"/>
      <c r="N129" s="5"/>
      <c r="O129" s="5"/>
      <c r="P129" s="5"/>
      <c r="Q129" s="5"/>
      <c r="R129" s="5"/>
      <c r="S129" s="5"/>
    </row>
    <row r="130" spans="1:19" ht="51" x14ac:dyDescent="0.25">
      <c r="A130" s="5"/>
      <c r="B130" s="5"/>
      <c r="C130" s="21" t="s">
        <v>247</v>
      </c>
      <c r="D130" s="24"/>
      <c r="E130" s="24"/>
      <c r="F130" s="25" t="s">
        <v>26</v>
      </c>
      <c r="G130" s="26" t="s">
        <v>18</v>
      </c>
      <c r="H130" s="24"/>
      <c r="I130" s="24"/>
      <c r="J130" s="26" t="s">
        <v>20</v>
      </c>
      <c r="K130" s="5"/>
      <c r="L130" s="5"/>
      <c r="M130" s="5"/>
      <c r="N130" s="5"/>
      <c r="O130" s="5"/>
      <c r="P130" s="5"/>
      <c r="Q130" s="5"/>
      <c r="R130" s="5"/>
      <c r="S130" s="5"/>
    </row>
    <row r="131" spans="1:19" ht="51" x14ac:dyDescent="0.25">
      <c r="A131" s="5"/>
      <c r="B131" s="5"/>
      <c r="C131" s="21" t="s">
        <v>247</v>
      </c>
      <c r="D131" s="24"/>
      <c r="E131" s="24"/>
      <c r="F131" s="25" t="s">
        <v>28</v>
      </c>
      <c r="G131" s="26" t="s">
        <v>21</v>
      </c>
      <c r="H131" s="24"/>
      <c r="I131" s="24"/>
      <c r="J131" s="26" t="s">
        <v>22</v>
      </c>
      <c r="K131" s="5"/>
      <c r="L131" s="5"/>
      <c r="M131" s="5"/>
      <c r="N131" s="5"/>
      <c r="O131" s="5"/>
      <c r="P131" s="5"/>
      <c r="Q131" s="5"/>
      <c r="R131" s="5"/>
      <c r="S131" s="5"/>
    </row>
    <row r="132" spans="1:19" ht="51" x14ac:dyDescent="0.25">
      <c r="A132" s="5"/>
      <c r="B132" s="5"/>
      <c r="C132" s="21" t="s">
        <v>247</v>
      </c>
      <c r="D132" s="24"/>
      <c r="E132" s="24"/>
      <c r="F132" s="25" t="s">
        <v>29</v>
      </c>
      <c r="G132" s="26" t="s">
        <v>23</v>
      </c>
      <c r="H132" s="24"/>
      <c r="I132" s="24"/>
      <c r="J132" s="26" t="s">
        <v>41</v>
      </c>
      <c r="K132" s="5"/>
      <c r="L132" s="5"/>
      <c r="M132" s="5"/>
      <c r="N132" s="5"/>
      <c r="O132" s="5"/>
      <c r="P132" s="5"/>
      <c r="Q132" s="5"/>
      <c r="R132" s="5"/>
      <c r="S132" s="5"/>
    </row>
    <row r="133" spans="1:19" ht="51" x14ac:dyDescent="0.25">
      <c r="A133" s="5"/>
      <c r="B133" s="5"/>
      <c r="C133" s="21" t="s">
        <v>247</v>
      </c>
      <c r="D133" s="24"/>
      <c r="E133" s="24"/>
      <c r="F133" s="25" t="s">
        <v>30</v>
      </c>
      <c r="G133" s="27" t="s">
        <v>43</v>
      </c>
      <c r="H133" s="27"/>
      <c r="I133" s="27"/>
      <c r="J133" s="21" t="s">
        <v>44</v>
      </c>
      <c r="K133" s="5"/>
      <c r="L133" s="5"/>
      <c r="M133" s="5"/>
      <c r="N133" s="5"/>
      <c r="O133" s="5"/>
      <c r="P133" s="5"/>
      <c r="Q133" s="5"/>
      <c r="R133" s="5"/>
      <c r="S133" s="5"/>
    </row>
    <row r="134" spans="1:19" ht="51" x14ac:dyDescent="0.25">
      <c r="A134" s="5"/>
      <c r="B134" s="5"/>
      <c r="C134" s="21" t="s">
        <v>247</v>
      </c>
      <c r="D134" s="24"/>
      <c r="E134" s="24"/>
      <c r="F134" s="25" t="s">
        <v>31</v>
      </c>
      <c r="G134" s="25" t="s">
        <v>25</v>
      </c>
      <c r="H134" s="25"/>
      <c r="I134" s="25"/>
      <c r="J134" s="25" t="s">
        <v>27</v>
      </c>
      <c r="K134" s="5"/>
      <c r="L134" s="5"/>
      <c r="M134" s="5"/>
      <c r="N134" s="5"/>
      <c r="O134" s="5"/>
      <c r="P134" s="5"/>
      <c r="Q134" s="5"/>
      <c r="R134" s="5"/>
      <c r="S134" s="5"/>
    </row>
    <row r="135" spans="1:19" ht="51" x14ac:dyDescent="0.25">
      <c r="A135" s="5"/>
      <c r="B135" s="5"/>
      <c r="C135" s="21" t="s">
        <v>247</v>
      </c>
      <c r="D135" s="23"/>
      <c r="E135" s="23"/>
      <c r="F135" s="25" t="s">
        <v>32</v>
      </c>
      <c r="G135" s="21" t="s">
        <v>52</v>
      </c>
      <c r="H135" s="27"/>
      <c r="I135" s="21"/>
      <c r="J135" s="21" t="s">
        <v>145</v>
      </c>
      <c r="K135" s="5"/>
      <c r="L135" s="5"/>
      <c r="M135" s="5"/>
      <c r="N135" s="5"/>
      <c r="O135" s="5"/>
      <c r="P135" s="5"/>
      <c r="Q135" s="5"/>
      <c r="R135" s="5"/>
      <c r="S135" s="5"/>
    </row>
    <row r="136" spans="1:19" ht="63.75" x14ac:dyDescent="0.25">
      <c r="A136" s="5"/>
      <c r="B136" s="5"/>
      <c r="C136" s="21" t="s">
        <v>247</v>
      </c>
      <c r="D136" s="23"/>
      <c r="E136" s="23"/>
      <c r="F136" s="25" t="s">
        <v>33</v>
      </c>
      <c r="G136" s="22" t="s">
        <v>248</v>
      </c>
      <c r="H136" s="23"/>
      <c r="I136" s="22" t="s">
        <v>249</v>
      </c>
      <c r="J136" s="22" t="s">
        <v>230</v>
      </c>
      <c r="K136" s="5"/>
      <c r="L136" s="5"/>
      <c r="M136" s="5"/>
      <c r="N136" s="5"/>
      <c r="O136" s="5"/>
      <c r="P136" s="5"/>
      <c r="Q136" s="5"/>
      <c r="R136" s="5"/>
      <c r="S136" s="5"/>
    </row>
    <row r="137" spans="1:19" ht="60.75" x14ac:dyDescent="0.25">
      <c r="A137" s="5"/>
      <c r="B137" s="5"/>
      <c r="C137" s="37" t="s">
        <v>618</v>
      </c>
      <c r="D137" s="37" t="s">
        <v>263</v>
      </c>
      <c r="E137" s="63" t="s">
        <v>520</v>
      </c>
      <c r="F137" s="38" t="s">
        <v>17</v>
      </c>
      <c r="G137" s="37" t="s">
        <v>265</v>
      </c>
      <c r="H137" s="39"/>
      <c r="I137" s="39"/>
      <c r="J137" s="37" t="s">
        <v>266</v>
      </c>
      <c r="K137" s="5"/>
      <c r="L137" s="5"/>
      <c r="M137" s="5"/>
      <c r="N137" s="5"/>
      <c r="O137" s="5"/>
      <c r="P137" s="5"/>
      <c r="Q137" s="5"/>
      <c r="R137" s="5"/>
      <c r="S137" s="5"/>
    </row>
    <row r="138" spans="1:19" ht="36.75" x14ac:dyDescent="0.25">
      <c r="A138" s="5"/>
      <c r="B138" s="5"/>
      <c r="C138" s="37" t="s">
        <v>530</v>
      </c>
      <c r="D138" s="39"/>
      <c r="E138" s="39"/>
      <c r="F138" s="40" t="s">
        <v>19</v>
      </c>
      <c r="G138" s="37" t="s">
        <v>267</v>
      </c>
      <c r="H138" s="39"/>
      <c r="I138" s="39"/>
      <c r="J138" s="37" t="s">
        <v>27</v>
      </c>
      <c r="K138" s="5"/>
      <c r="L138" s="5"/>
      <c r="M138" s="5"/>
      <c r="N138" s="5"/>
      <c r="O138" s="5"/>
      <c r="P138" s="5"/>
      <c r="Q138" s="5"/>
      <c r="R138" s="5"/>
      <c r="S138" s="5"/>
    </row>
    <row r="139" spans="1:19" ht="48.75" x14ac:dyDescent="0.25">
      <c r="A139" s="5"/>
      <c r="B139" s="5"/>
      <c r="C139" s="37" t="s">
        <v>530</v>
      </c>
      <c r="D139" s="39"/>
      <c r="E139" s="39"/>
      <c r="F139" s="40" t="s">
        <v>26</v>
      </c>
      <c r="G139" s="40" t="s">
        <v>268</v>
      </c>
      <c r="H139" s="39"/>
      <c r="I139" s="37" t="s">
        <v>269</v>
      </c>
      <c r="J139" s="40" t="s">
        <v>270</v>
      </c>
      <c r="K139" s="5"/>
      <c r="L139" s="5"/>
      <c r="M139" s="5"/>
      <c r="N139" s="5"/>
      <c r="O139" s="5"/>
      <c r="P139" s="5"/>
      <c r="Q139" s="5"/>
      <c r="R139" s="5"/>
      <c r="S139" s="5"/>
    </row>
    <row r="140" spans="1:19" ht="60.75" x14ac:dyDescent="0.25">
      <c r="A140" s="5"/>
      <c r="B140" s="5"/>
      <c r="C140" s="37" t="s">
        <v>530</v>
      </c>
      <c r="D140" s="39"/>
      <c r="E140" s="39"/>
      <c r="F140" s="40" t="s">
        <v>28</v>
      </c>
      <c r="G140" s="40" t="s">
        <v>271</v>
      </c>
      <c r="H140" s="39"/>
      <c r="I140" s="37" t="s">
        <v>272</v>
      </c>
      <c r="J140" s="40" t="s">
        <v>53</v>
      </c>
      <c r="K140" s="5"/>
      <c r="L140" s="5"/>
      <c r="M140" s="5"/>
      <c r="N140" s="5"/>
      <c r="O140" s="5"/>
      <c r="P140" s="5"/>
      <c r="Q140" s="5"/>
      <c r="R140" s="5"/>
      <c r="S140" s="5"/>
    </row>
    <row r="141" spans="1:19" ht="156.75" x14ac:dyDescent="0.25">
      <c r="A141" s="5"/>
      <c r="B141" s="5"/>
      <c r="C141" s="37" t="s">
        <v>530</v>
      </c>
      <c r="D141" s="39"/>
      <c r="E141" s="39"/>
      <c r="F141" s="40" t="s">
        <v>29</v>
      </c>
      <c r="G141" s="40" t="s">
        <v>273</v>
      </c>
      <c r="H141" s="39"/>
      <c r="I141" s="37" t="s">
        <v>274</v>
      </c>
      <c r="J141" s="40" t="s">
        <v>275</v>
      </c>
      <c r="K141" s="5"/>
      <c r="L141" s="5"/>
      <c r="M141" s="5"/>
      <c r="N141" s="5"/>
      <c r="O141" s="5"/>
      <c r="P141" s="5"/>
      <c r="Q141" s="5"/>
      <c r="R141" s="5"/>
      <c r="S141" s="5"/>
    </row>
    <row r="142" spans="1:19" ht="72.75" x14ac:dyDescent="0.25">
      <c r="A142" s="5"/>
      <c r="B142" s="5"/>
      <c r="C142" s="37" t="s">
        <v>530</v>
      </c>
      <c r="D142" s="39"/>
      <c r="E142" s="39"/>
      <c r="F142" s="40" t="s">
        <v>30</v>
      </c>
      <c r="G142" s="40" t="s">
        <v>276</v>
      </c>
      <c r="H142" s="39"/>
      <c r="I142" s="40" t="s">
        <v>277</v>
      </c>
      <c r="J142" s="40" t="s">
        <v>278</v>
      </c>
      <c r="K142" s="5"/>
      <c r="L142" s="5"/>
      <c r="M142" s="5"/>
      <c r="N142" s="5"/>
      <c r="O142" s="5"/>
      <c r="P142" s="5"/>
      <c r="Q142" s="5"/>
      <c r="R142" s="5"/>
      <c r="S142" s="5"/>
    </row>
    <row r="143" spans="1:19" ht="84.75" x14ac:dyDescent="0.25">
      <c r="A143" s="5"/>
      <c r="B143" s="5"/>
      <c r="C143" s="40" t="s">
        <v>531</v>
      </c>
      <c r="D143" s="37" t="s">
        <v>279</v>
      </c>
      <c r="E143" s="37" t="s">
        <v>280</v>
      </c>
      <c r="F143" s="41" t="s">
        <v>281</v>
      </c>
      <c r="G143" s="37" t="s">
        <v>265</v>
      </c>
      <c r="H143" s="39"/>
      <c r="I143" s="39"/>
      <c r="J143" s="37" t="s">
        <v>266</v>
      </c>
      <c r="K143" s="5"/>
      <c r="L143" s="5"/>
      <c r="M143" s="5"/>
      <c r="N143" s="5"/>
      <c r="O143" s="5"/>
      <c r="P143" s="5"/>
      <c r="Q143" s="5"/>
      <c r="R143" s="5"/>
      <c r="S143" s="5"/>
    </row>
    <row r="144" spans="1:19" ht="36.75" x14ac:dyDescent="0.25">
      <c r="A144" s="5"/>
      <c r="B144" s="5"/>
      <c r="C144" s="40" t="s">
        <v>531</v>
      </c>
      <c r="D144" s="39"/>
      <c r="E144" s="39"/>
      <c r="F144" s="39" t="s">
        <v>282</v>
      </c>
      <c r="G144" s="42" t="s">
        <v>25</v>
      </c>
      <c r="H144" s="39"/>
      <c r="I144" s="39"/>
      <c r="J144" s="37" t="s">
        <v>27</v>
      </c>
      <c r="K144" s="5"/>
      <c r="L144" s="5"/>
      <c r="M144" s="5"/>
      <c r="N144" s="5"/>
      <c r="O144" s="5"/>
      <c r="P144" s="5"/>
      <c r="Q144" s="5"/>
      <c r="R144" s="5"/>
      <c r="S144" s="5"/>
    </row>
    <row r="145" spans="1:19" ht="36.75" x14ac:dyDescent="0.25">
      <c r="A145" s="5"/>
      <c r="B145" s="5"/>
      <c r="C145" s="40" t="s">
        <v>531</v>
      </c>
      <c r="D145" s="39"/>
      <c r="E145" s="39"/>
      <c r="F145" s="39" t="s">
        <v>283</v>
      </c>
      <c r="G145" s="42" t="s">
        <v>45</v>
      </c>
      <c r="H145" s="39"/>
      <c r="I145" s="39"/>
      <c r="J145" s="40" t="s">
        <v>284</v>
      </c>
      <c r="K145" s="5"/>
      <c r="L145" s="5"/>
      <c r="M145" s="5"/>
      <c r="N145" s="5"/>
      <c r="O145" s="5"/>
      <c r="P145" s="5"/>
      <c r="Q145" s="5"/>
      <c r="R145" s="5"/>
      <c r="S145" s="5"/>
    </row>
    <row r="146" spans="1:19" ht="60.75" x14ac:dyDescent="0.25">
      <c r="A146" s="5"/>
      <c r="B146" s="5"/>
      <c r="C146" s="40" t="s">
        <v>531</v>
      </c>
      <c r="D146" s="39"/>
      <c r="E146" s="39"/>
      <c r="F146" s="39" t="s">
        <v>285</v>
      </c>
      <c r="G146" s="42" t="s">
        <v>286</v>
      </c>
      <c r="H146" s="39"/>
      <c r="I146" s="37" t="s">
        <v>287</v>
      </c>
      <c r="J146" s="40" t="s">
        <v>288</v>
      </c>
      <c r="K146" s="5"/>
      <c r="L146" s="5"/>
      <c r="M146" s="5"/>
      <c r="N146" s="5"/>
      <c r="O146" s="5"/>
      <c r="P146" s="5"/>
      <c r="Q146" s="5"/>
      <c r="R146" s="5"/>
      <c r="S146" s="5"/>
    </row>
    <row r="147" spans="1:19" ht="72.75" x14ac:dyDescent="0.25">
      <c r="A147" s="5"/>
      <c r="B147" s="5"/>
      <c r="C147" s="40" t="s">
        <v>531</v>
      </c>
      <c r="D147" s="39"/>
      <c r="E147" s="39"/>
      <c r="F147" s="39" t="s">
        <v>289</v>
      </c>
      <c r="G147" s="42" t="s">
        <v>290</v>
      </c>
      <c r="H147" s="39"/>
      <c r="I147" s="37" t="s">
        <v>291</v>
      </c>
      <c r="J147" s="40" t="s">
        <v>292</v>
      </c>
      <c r="K147" s="5"/>
      <c r="L147" s="5"/>
      <c r="M147" s="5"/>
      <c r="N147" s="5"/>
      <c r="O147" s="5"/>
      <c r="P147" s="5"/>
      <c r="Q147" s="5"/>
      <c r="R147" s="5"/>
      <c r="S147" s="5"/>
    </row>
    <row r="148" spans="1:19" ht="36.75" x14ac:dyDescent="0.25">
      <c r="A148" s="5"/>
      <c r="B148" s="5"/>
      <c r="C148" s="40" t="s">
        <v>531</v>
      </c>
      <c r="D148" s="39"/>
      <c r="E148" s="39"/>
      <c r="F148" s="39" t="s">
        <v>293</v>
      </c>
      <c r="G148" s="42" t="s">
        <v>294</v>
      </c>
      <c r="H148" s="39"/>
      <c r="I148" s="37"/>
      <c r="J148" s="40" t="s">
        <v>295</v>
      </c>
      <c r="K148" s="5"/>
      <c r="L148" s="5"/>
      <c r="M148" s="5"/>
      <c r="N148" s="5"/>
      <c r="O148" s="5"/>
      <c r="P148" s="5"/>
      <c r="Q148" s="5"/>
      <c r="R148" s="5"/>
      <c r="S148" s="5"/>
    </row>
    <row r="149" spans="1:19" ht="108.75" x14ac:dyDescent="0.25">
      <c r="A149" s="5"/>
      <c r="B149" s="5"/>
      <c r="C149" s="40" t="s">
        <v>531</v>
      </c>
      <c r="D149" s="39"/>
      <c r="E149" s="39"/>
      <c r="F149" s="39" t="s">
        <v>296</v>
      </c>
      <c r="G149" s="42" t="s">
        <v>584</v>
      </c>
      <c r="H149" s="39"/>
      <c r="I149" s="37" t="s">
        <v>297</v>
      </c>
      <c r="J149" s="40" t="s">
        <v>298</v>
      </c>
      <c r="K149" s="5"/>
      <c r="L149" s="5"/>
      <c r="M149" s="5"/>
      <c r="N149" s="5"/>
      <c r="O149" s="5"/>
      <c r="P149" s="5"/>
      <c r="Q149" s="5"/>
      <c r="R149" s="5"/>
      <c r="S149" s="5"/>
    </row>
    <row r="150" spans="1:19" ht="36.75" x14ac:dyDescent="0.25">
      <c r="A150" s="5"/>
      <c r="B150" s="5"/>
      <c r="C150" s="40" t="s">
        <v>531</v>
      </c>
      <c r="D150" s="39"/>
      <c r="E150" s="39"/>
      <c r="F150" s="39" t="s">
        <v>299</v>
      </c>
      <c r="G150" s="42" t="s">
        <v>300</v>
      </c>
      <c r="H150" s="39"/>
      <c r="I150" s="37"/>
      <c r="J150" s="40" t="s">
        <v>301</v>
      </c>
      <c r="K150" s="5"/>
      <c r="L150" s="5"/>
      <c r="M150" s="5"/>
      <c r="N150" s="5"/>
      <c r="O150" s="5"/>
      <c r="P150" s="5"/>
      <c r="Q150" s="5"/>
      <c r="R150" s="5"/>
      <c r="S150" s="5"/>
    </row>
    <row r="151" spans="1:19" ht="60.75" x14ac:dyDescent="0.25">
      <c r="A151" s="5"/>
      <c r="B151" s="5"/>
      <c r="C151" s="40" t="s">
        <v>531</v>
      </c>
      <c r="D151" s="39"/>
      <c r="E151" s="39"/>
      <c r="F151" s="39" t="s">
        <v>302</v>
      </c>
      <c r="G151" s="42" t="s">
        <v>303</v>
      </c>
      <c r="H151" s="39"/>
      <c r="I151" s="39"/>
      <c r="J151" s="40" t="s">
        <v>304</v>
      </c>
      <c r="K151" s="5"/>
      <c r="L151" s="5"/>
      <c r="M151" s="5"/>
      <c r="N151" s="5"/>
      <c r="O151" s="5"/>
      <c r="P151" s="5"/>
      <c r="Q151" s="5"/>
      <c r="R151" s="5"/>
      <c r="S151" s="5"/>
    </row>
    <row r="152" spans="1:19" ht="36.75" x14ac:dyDescent="0.25">
      <c r="A152" s="5"/>
      <c r="B152" s="5"/>
      <c r="C152" s="40" t="s">
        <v>531</v>
      </c>
      <c r="D152" s="39"/>
      <c r="E152" s="39"/>
      <c r="F152" s="39" t="s">
        <v>305</v>
      </c>
      <c r="G152" s="42" t="s">
        <v>306</v>
      </c>
      <c r="H152" s="39"/>
      <c r="I152" s="37"/>
      <c r="J152" s="40" t="s">
        <v>307</v>
      </c>
      <c r="K152" s="5"/>
      <c r="L152" s="5"/>
      <c r="M152" s="5"/>
      <c r="N152" s="5"/>
      <c r="O152" s="5"/>
      <c r="P152" s="5"/>
      <c r="Q152" s="5"/>
      <c r="R152" s="5"/>
      <c r="S152" s="5"/>
    </row>
    <row r="153" spans="1:19" ht="108.75" x14ac:dyDescent="0.25">
      <c r="A153" s="5"/>
      <c r="B153" s="5"/>
      <c r="C153" s="40" t="s">
        <v>531</v>
      </c>
      <c r="D153" s="39"/>
      <c r="E153" s="39"/>
      <c r="F153" s="39" t="s">
        <v>308</v>
      </c>
      <c r="G153" s="42" t="s">
        <v>584</v>
      </c>
      <c r="H153" s="39"/>
      <c r="I153" s="37" t="s">
        <v>297</v>
      </c>
      <c r="J153" s="40" t="s">
        <v>298</v>
      </c>
      <c r="K153" s="5"/>
      <c r="L153" s="5"/>
      <c r="M153" s="5"/>
      <c r="N153" s="5"/>
      <c r="O153" s="5"/>
      <c r="P153" s="5"/>
      <c r="Q153" s="5"/>
      <c r="R153" s="5"/>
      <c r="S153" s="5"/>
    </row>
    <row r="154" spans="1:19" ht="60.75" x14ac:dyDescent="0.25">
      <c r="A154" s="5"/>
      <c r="B154" s="5"/>
      <c r="C154" s="40" t="s">
        <v>535</v>
      </c>
      <c r="D154" s="37" t="s">
        <v>309</v>
      </c>
      <c r="E154" s="37" t="s">
        <v>310</v>
      </c>
      <c r="F154" s="38" t="s">
        <v>281</v>
      </c>
      <c r="G154" s="37" t="s">
        <v>265</v>
      </c>
      <c r="H154" s="39"/>
      <c r="I154" s="39"/>
      <c r="J154" s="37" t="s">
        <v>266</v>
      </c>
      <c r="K154" s="5"/>
      <c r="L154" s="5"/>
      <c r="M154" s="5"/>
      <c r="N154" s="5"/>
      <c r="O154" s="5"/>
      <c r="P154" s="5"/>
      <c r="Q154" s="5"/>
      <c r="R154" s="5"/>
      <c r="S154" s="5"/>
    </row>
    <row r="155" spans="1:19" ht="36.75" x14ac:dyDescent="0.25">
      <c r="A155" s="5"/>
      <c r="B155" s="5"/>
      <c r="C155" s="40" t="s">
        <v>535</v>
      </c>
      <c r="D155" s="39"/>
      <c r="E155" s="39"/>
      <c r="F155" s="40" t="s">
        <v>282</v>
      </c>
      <c r="G155" s="37" t="s">
        <v>267</v>
      </c>
      <c r="H155" s="39"/>
      <c r="I155" s="39"/>
      <c r="J155" s="37" t="s">
        <v>27</v>
      </c>
      <c r="K155" s="5"/>
      <c r="L155" s="5"/>
      <c r="M155" s="5"/>
      <c r="N155" s="5"/>
      <c r="O155" s="5"/>
      <c r="P155" s="5"/>
      <c r="Q155" s="5"/>
      <c r="R155" s="5"/>
      <c r="S155" s="5"/>
    </row>
    <row r="156" spans="1:19" ht="48.75" x14ac:dyDescent="0.25">
      <c r="A156" s="5"/>
      <c r="B156" s="5"/>
      <c r="C156" s="40" t="s">
        <v>535</v>
      </c>
      <c r="D156" s="39"/>
      <c r="E156" s="39"/>
      <c r="F156" s="40" t="s">
        <v>283</v>
      </c>
      <c r="G156" s="40" t="s">
        <v>268</v>
      </c>
      <c r="H156" s="39"/>
      <c r="I156" s="37" t="s">
        <v>269</v>
      </c>
      <c r="J156" s="40" t="s">
        <v>270</v>
      </c>
      <c r="K156" s="5"/>
      <c r="L156" s="5"/>
      <c r="M156" s="5"/>
      <c r="N156" s="5"/>
      <c r="O156" s="5"/>
      <c r="P156" s="5"/>
      <c r="Q156" s="5"/>
      <c r="R156" s="5"/>
      <c r="S156" s="5"/>
    </row>
    <row r="157" spans="1:19" ht="60.75" x14ac:dyDescent="0.25">
      <c r="A157" s="5"/>
      <c r="B157" s="5"/>
      <c r="C157" s="40" t="s">
        <v>535</v>
      </c>
      <c r="D157" s="39"/>
      <c r="E157" s="39"/>
      <c r="F157" s="40" t="s">
        <v>285</v>
      </c>
      <c r="G157" s="40" t="s">
        <v>311</v>
      </c>
      <c r="H157" s="39"/>
      <c r="I157" s="37" t="s">
        <v>272</v>
      </c>
      <c r="J157" s="40" t="s">
        <v>312</v>
      </c>
      <c r="K157" s="5"/>
      <c r="L157" s="5"/>
      <c r="M157" s="5"/>
      <c r="N157" s="5"/>
      <c r="O157" s="5"/>
      <c r="P157" s="5"/>
      <c r="Q157" s="5"/>
      <c r="R157" s="5"/>
      <c r="S157" s="5"/>
    </row>
    <row r="158" spans="1:19" ht="276.75" x14ac:dyDescent="0.25">
      <c r="A158" s="5"/>
      <c r="B158" s="5"/>
      <c r="C158" s="40" t="s">
        <v>535</v>
      </c>
      <c r="D158" s="39"/>
      <c r="E158" s="39"/>
      <c r="F158" s="40" t="s">
        <v>289</v>
      </c>
      <c r="G158" s="40" t="s">
        <v>313</v>
      </c>
      <c r="H158" s="39"/>
      <c r="I158" s="40" t="s">
        <v>314</v>
      </c>
      <c r="J158" s="40" t="s">
        <v>315</v>
      </c>
      <c r="K158" s="5"/>
      <c r="L158" s="5"/>
      <c r="M158" s="5"/>
      <c r="N158" s="5"/>
      <c r="O158" s="5"/>
      <c r="P158" s="5"/>
      <c r="Q158" s="5"/>
      <c r="R158" s="5"/>
      <c r="S158" s="5"/>
    </row>
    <row r="159" spans="1:19" x14ac:dyDescent="0.25">
      <c r="A159" s="5"/>
      <c r="B159" s="5"/>
      <c r="C159" s="40"/>
      <c r="D159" s="43"/>
      <c r="E159" s="43"/>
      <c r="F159" s="45"/>
      <c r="G159" s="43"/>
      <c r="H159" s="14"/>
      <c r="I159" s="14"/>
      <c r="J159" s="43"/>
      <c r="K159" s="5"/>
      <c r="L159" s="5"/>
      <c r="M159" s="5"/>
      <c r="N159" s="5"/>
      <c r="O159" s="5"/>
      <c r="P159" s="5"/>
      <c r="Q159" s="5"/>
      <c r="R159" s="5"/>
      <c r="S159" s="5"/>
    </row>
    <row r="160" spans="1:19" x14ac:dyDescent="0.25">
      <c r="A160" s="5"/>
      <c r="B160" s="5"/>
      <c r="C160" s="40"/>
      <c r="D160" s="14"/>
      <c r="E160" s="14"/>
      <c r="F160" s="45"/>
      <c r="G160" s="43"/>
      <c r="H160" s="14"/>
      <c r="I160" s="14"/>
      <c r="J160" s="43"/>
      <c r="K160" s="5"/>
      <c r="L160" s="5"/>
      <c r="M160" s="5"/>
      <c r="N160" s="5"/>
      <c r="O160" s="5"/>
      <c r="P160" s="5"/>
      <c r="Q160" s="5"/>
      <c r="R160" s="5"/>
      <c r="S160" s="5"/>
    </row>
    <row r="161" spans="1:19" x14ac:dyDescent="0.25">
      <c r="A161" s="5"/>
      <c r="B161" s="5"/>
      <c r="C161" s="40"/>
      <c r="D161" s="14"/>
      <c r="E161" s="14"/>
      <c r="F161" s="45"/>
      <c r="G161" s="45"/>
      <c r="H161" s="14"/>
      <c r="I161" s="43"/>
      <c r="J161" s="45"/>
      <c r="K161" s="5"/>
      <c r="L161" s="5"/>
      <c r="M161" s="5"/>
      <c r="N161" s="5"/>
      <c r="O161" s="5"/>
      <c r="P161" s="5"/>
      <c r="Q161" s="5"/>
      <c r="R161" s="5"/>
      <c r="S161" s="5"/>
    </row>
    <row r="162" spans="1:19" x14ac:dyDescent="0.25">
      <c r="A162" s="5"/>
      <c r="B162" s="5"/>
      <c r="C162" s="40"/>
      <c r="D162" s="14"/>
      <c r="E162" s="14"/>
      <c r="F162" s="45"/>
      <c r="G162" s="45"/>
      <c r="H162" s="14"/>
      <c r="I162" s="45"/>
      <c r="J162" s="45"/>
      <c r="K162" s="5"/>
      <c r="L162" s="5"/>
      <c r="M162" s="5"/>
      <c r="N162" s="5"/>
      <c r="O162" s="5"/>
      <c r="P162" s="5"/>
      <c r="Q162" s="5"/>
      <c r="R162" s="5"/>
      <c r="S162" s="5"/>
    </row>
    <row r="163" spans="1:19" x14ac:dyDescent="0.25">
      <c r="A163" s="5"/>
      <c r="B163" s="5"/>
      <c r="C163" s="40"/>
      <c r="D163" s="46"/>
      <c r="E163" s="46"/>
      <c r="F163" s="45"/>
      <c r="G163" s="45"/>
      <c r="H163" s="46"/>
      <c r="I163" s="46"/>
      <c r="J163" s="45"/>
      <c r="K163" s="5"/>
      <c r="L163" s="5"/>
      <c r="M163" s="5"/>
      <c r="N163" s="5"/>
      <c r="O163" s="5"/>
      <c r="P163" s="5"/>
      <c r="Q163" s="5"/>
      <c r="R163" s="5"/>
      <c r="S163" s="5"/>
    </row>
    <row r="164" spans="1:19" x14ac:dyDescent="0.25">
      <c r="A164" s="5"/>
      <c r="B164" s="5"/>
      <c r="C164" s="40"/>
      <c r="D164" s="14"/>
      <c r="E164" s="14"/>
      <c r="F164" s="45"/>
      <c r="G164" s="45"/>
      <c r="H164" s="14"/>
      <c r="I164" s="43"/>
      <c r="J164" s="45"/>
      <c r="K164" s="5"/>
      <c r="L164" s="5"/>
      <c r="M164" s="5"/>
      <c r="N164" s="5"/>
      <c r="O164" s="5"/>
      <c r="P164" s="5"/>
      <c r="Q164" s="5"/>
      <c r="R164" s="5"/>
      <c r="S164" s="5"/>
    </row>
    <row r="165" spans="1:19" x14ac:dyDescent="0.25">
      <c r="A165" s="5"/>
      <c r="B165" s="5"/>
      <c r="C165" s="5"/>
      <c r="D165" s="5"/>
      <c r="E165" s="5"/>
      <c r="F165" s="5"/>
      <c r="G165" s="5"/>
      <c r="H165" s="5"/>
      <c r="I165" s="5"/>
      <c r="J165" s="5"/>
      <c r="K165" s="5"/>
      <c r="L165" s="5"/>
      <c r="M165" s="5"/>
      <c r="N165" s="5"/>
      <c r="O165" s="5"/>
      <c r="P165" s="5"/>
      <c r="Q165" s="5"/>
      <c r="R165" s="5"/>
      <c r="S165" s="5"/>
    </row>
    <row r="166" spans="1:19" x14ac:dyDescent="0.25">
      <c r="A166" s="5"/>
      <c r="B166" s="5"/>
      <c r="C166" s="5"/>
      <c r="D166" s="5"/>
      <c r="E166" s="5"/>
      <c r="F166" s="5"/>
      <c r="G166" s="5"/>
      <c r="H166" s="5"/>
      <c r="I166" s="5"/>
      <c r="J166" s="5"/>
      <c r="K166" s="5"/>
      <c r="L166" s="5"/>
      <c r="M166" s="5"/>
      <c r="N166" s="5"/>
      <c r="O166" s="5"/>
      <c r="P166" s="5"/>
      <c r="Q166" s="5"/>
      <c r="R166" s="5"/>
      <c r="S166" s="5"/>
    </row>
    <row r="167" spans="1:19" x14ac:dyDescent="0.25">
      <c r="A167" s="5"/>
      <c r="B167" s="5"/>
      <c r="C167" s="5"/>
      <c r="D167" s="5"/>
      <c r="E167" s="5"/>
      <c r="F167" s="5"/>
      <c r="G167" s="5"/>
      <c r="H167" s="5"/>
      <c r="I167" s="5"/>
      <c r="J167" s="5"/>
      <c r="K167" s="5"/>
      <c r="L167" s="5"/>
      <c r="M167" s="5"/>
      <c r="N167" s="5"/>
      <c r="O167" s="5"/>
      <c r="P167" s="5"/>
      <c r="Q167" s="5"/>
      <c r="R167" s="5"/>
      <c r="S167" s="5"/>
    </row>
    <row r="168" spans="1:19" x14ac:dyDescent="0.25">
      <c r="A168" s="5"/>
      <c r="B168" s="5"/>
      <c r="C168" s="5"/>
      <c r="D168" s="5"/>
      <c r="E168" s="5"/>
      <c r="F168" s="5"/>
      <c r="G168" s="5"/>
      <c r="H168" s="5"/>
      <c r="I168" s="5"/>
      <c r="J168" s="5"/>
      <c r="K168" s="5"/>
      <c r="L168" s="5"/>
      <c r="M168" s="5"/>
      <c r="N168" s="5"/>
      <c r="O168" s="5"/>
      <c r="P168" s="5"/>
      <c r="Q168" s="5"/>
      <c r="R168" s="5"/>
      <c r="S168" s="5"/>
    </row>
    <row r="169" spans="1:19" x14ac:dyDescent="0.25">
      <c r="A169" s="5"/>
      <c r="B169" s="5"/>
      <c r="C169" s="5"/>
      <c r="D169" s="5"/>
      <c r="E169" s="5"/>
      <c r="F169" s="5"/>
      <c r="G169" s="5"/>
      <c r="H169" s="5"/>
      <c r="I169" s="5"/>
      <c r="J169" s="5"/>
      <c r="K169" s="5"/>
      <c r="L169" s="5"/>
      <c r="M169" s="5"/>
      <c r="N169" s="5"/>
      <c r="O169" s="5"/>
      <c r="P169" s="5"/>
      <c r="Q169" s="5"/>
      <c r="R169" s="5"/>
      <c r="S169" s="5"/>
    </row>
    <row r="170" spans="1:19" x14ac:dyDescent="0.25">
      <c r="A170" s="5"/>
      <c r="B170" s="5"/>
      <c r="C170" s="5"/>
      <c r="D170" s="5"/>
      <c r="E170" s="5"/>
      <c r="F170" s="5"/>
      <c r="G170" s="5"/>
      <c r="H170" s="5"/>
      <c r="I170" s="5"/>
      <c r="J170" s="5"/>
      <c r="K170" s="5"/>
      <c r="L170" s="5"/>
      <c r="M170" s="5"/>
      <c r="N170" s="5"/>
      <c r="O170" s="5"/>
      <c r="P170" s="5"/>
      <c r="Q170" s="5"/>
      <c r="R170" s="5"/>
      <c r="S170" s="5"/>
    </row>
    <row r="171" spans="1:19" x14ac:dyDescent="0.25">
      <c r="A171" s="5"/>
      <c r="B171" s="5"/>
      <c r="C171" s="5"/>
      <c r="D171" s="5"/>
      <c r="E171" s="5"/>
      <c r="F171" s="5"/>
      <c r="G171" s="5"/>
      <c r="H171" s="5"/>
      <c r="I171" s="5"/>
      <c r="J171" s="5"/>
      <c r="K171" s="5"/>
      <c r="L171" s="5"/>
      <c r="M171" s="5"/>
      <c r="N171" s="5"/>
      <c r="O171" s="5"/>
      <c r="P171" s="5"/>
      <c r="Q171" s="5"/>
      <c r="R171" s="5"/>
      <c r="S171" s="5"/>
    </row>
    <row r="172" spans="1:19" x14ac:dyDescent="0.25">
      <c r="A172" s="5"/>
      <c r="B172" s="5"/>
      <c r="C172" s="5"/>
      <c r="D172" s="5"/>
      <c r="E172" s="5"/>
      <c r="F172" s="5"/>
      <c r="G172" s="5"/>
      <c r="H172" s="5"/>
      <c r="I172" s="5"/>
      <c r="J172" s="5"/>
      <c r="K172" s="5"/>
      <c r="L172" s="5"/>
      <c r="M172" s="5"/>
      <c r="N172" s="5"/>
      <c r="O172" s="5"/>
      <c r="P172" s="5"/>
      <c r="Q172" s="5"/>
      <c r="R172" s="5"/>
      <c r="S172" s="5"/>
    </row>
    <row r="173" spans="1:19" x14ac:dyDescent="0.25">
      <c r="A173" s="5"/>
      <c r="B173" s="5"/>
      <c r="C173" s="5"/>
      <c r="D173" s="5"/>
      <c r="E173" s="5"/>
      <c r="F173" s="5"/>
      <c r="G173" s="5"/>
      <c r="H173" s="5"/>
      <c r="I173" s="5"/>
      <c r="J173" s="5"/>
      <c r="K173" s="5"/>
      <c r="L173" s="5"/>
      <c r="M173" s="5"/>
      <c r="N173" s="5"/>
      <c r="O173" s="5"/>
      <c r="P173" s="5"/>
      <c r="Q173" s="5"/>
      <c r="R173" s="5"/>
      <c r="S173" s="5"/>
    </row>
    <row r="174" spans="1:19" x14ac:dyDescent="0.25">
      <c r="A174" s="5"/>
      <c r="B174" s="5"/>
      <c r="C174" s="5"/>
      <c r="D174" s="5"/>
      <c r="E174" s="5"/>
      <c r="F174" s="5"/>
      <c r="G174" s="5"/>
      <c r="H174" s="5"/>
      <c r="I174" s="5"/>
      <c r="J174" s="5"/>
      <c r="K174" s="5"/>
      <c r="L174" s="5"/>
      <c r="M174" s="5"/>
      <c r="N174" s="5"/>
      <c r="O174" s="5"/>
      <c r="P174" s="5"/>
      <c r="Q174" s="5"/>
      <c r="R174" s="5"/>
      <c r="S174" s="5"/>
    </row>
    <row r="175" spans="1:19" x14ac:dyDescent="0.25">
      <c r="A175" s="5"/>
      <c r="B175" s="5"/>
      <c r="C175" s="5"/>
      <c r="D175" s="5"/>
      <c r="E175" s="5"/>
      <c r="F175" s="5"/>
      <c r="G175" s="5"/>
      <c r="H175" s="5"/>
      <c r="I175" s="5"/>
      <c r="J175" s="5"/>
      <c r="K175" s="5"/>
      <c r="L175" s="5"/>
      <c r="M175" s="5"/>
      <c r="N175" s="5"/>
      <c r="O175" s="5"/>
      <c r="P175" s="5"/>
      <c r="Q175" s="5"/>
      <c r="R175" s="5"/>
      <c r="S175" s="5"/>
    </row>
    <row r="176" spans="1:19" x14ac:dyDescent="0.25">
      <c r="A176" s="5"/>
      <c r="B176" s="5"/>
      <c r="C176" s="5"/>
      <c r="D176" s="5"/>
      <c r="E176" s="5"/>
      <c r="F176" s="5"/>
      <c r="G176" s="5"/>
      <c r="H176" s="5"/>
      <c r="I176" s="5"/>
      <c r="J176" s="5"/>
      <c r="K176" s="5"/>
      <c r="L176" s="5"/>
      <c r="M176" s="5"/>
      <c r="N176" s="5"/>
      <c r="O176" s="5"/>
      <c r="P176" s="5"/>
      <c r="Q176" s="5"/>
      <c r="R176" s="5"/>
      <c r="S176" s="5"/>
    </row>
    <row r="177" spans="1:19" x14ac:dyDescent="0.25">
      <c r="A177" s="5"/>
      <c r="B177" s="5"/>
      <c r="C177" s="5"/>
      <c r="D177" s="5"/>
      <c r="E177" s="5"/>
      <c r="F177" s="5"/>
      <c r="G177" s="5"/>
      <c r="H177" s="5"/>
      <c r="I177" s="5"/>
      <c r="J177" s="5"/>
      <c r="K177" s="5"/>
      <c r="L177" s="5"/>
      <c r="M177" s="5"/>
      <c r="N177" s="5"/>
      <c r="O177" s="5"/>
      <c r="P177" s="5"/>
      <c r="Q177" s="5"/>
      <c r="R177" s="5"/>
      <c r="S177" s="5"/>
    </row>
    <row r="178" spans="1:19" x14ac:dyDescent="0.25">
      <c r="A178" s="5"/>
      <c r="B178" s="5"/>
      <c r="C178" s="5"/>
      <c r="D178" s="5"/>
      <c r="E178" s="5"/>
      <c r="F178" s="5"/>
      <c r="G178" s="5"/>
      <c r="H178" s="5"/>
      <c r="I178" s="5"/>
      <c r="J178" s="5"/>
      <c r="K178" s="5"/>
      <c r="L178" s="5"/>
      <c r="M178" s="5"/>
      <c r="N178" s="5"/>
      <c r="O178" s="5"/>
      <c r="P178" s="5"/>
      <c r="Q178" s="5"/>
      <c r="R178" s="5"/>
      <c r="S178" s="5"/>
    </row>
    <row r="179" spans="1:19" x14ac:dyDescent="0.25">
      <c r="A179" s="5"/>
      <c r="B179" s="5"/>
      <c r="C179" s="5"/>
      <c r="D179" s="5"/>
      <c r="E179" s="5"/>
      <c r="F179" s="5"/>
      <c r="G179" s="5"/>
      <c r="H179" s="5"/>
      <c r="I179" s="5"/>
      <c r="J179" s="5"/>
      <c r="K179" s="5"/>
      <c r="L179" s="5"/>
      <c r="M179" s="5"/>
      <c r="N179" s="5"/>
      <c r="O179" s="5"/>
      <c r="P179" s="5"/>
      <c r="Q179" s="5"/>
      <c r="R179" s="5"/>
      <c r="S179" s="5"/>
    </row>
    <row r="180" spans="1:19" x14ac:dyDescent="0.25">
      <c r="A180" s="5"/>
      <c r="B180" s="5"/>
      <c r="C180" s="5"/>
      <c r="D180" s="5"/>
      <c r="E180" s="5"/>
      <c r="F180" s="5"/>
      <c r="G180" s="5"/>
      <c r="H180" s="5"/>
      <c r="I180" s="5"/>
      <c r="J180" s="5"/>
      <c r="K180" s="5"/>
      <c r="L180" s="5"/>
      <c r="M180" s="5"/>
      <c r="N180" s="5"/>
      <c r="O180" s="5"/>
      <c r="P180" s="5"/>
      <c r="Q180" s="5"/>
      <c r="R180" s="5"/>
      <c r="S180" s="5"/>
    </row>
    <row r="181" spans="1:19" x14ac:dyDescent="0.25">
      <c r="A181" s="5"/>
      <c r="B181" s="5"/>
      <c r="C181" s="5"/>
      <c r="D181" s="5"/>
      <c r="E181" s="5"/>
      <c r="F181" s="5"/>
      <c r="G181" s="5"/>
      <c r="H181" s="5"/>
      <c r="I181" s="5"/>
      <c r="J181" s="5"/>
      <c r="K181" s="5"/>
      <c r="L181" s="5"/>
      <c r="M181" s="5"/>
      <c r="N181" s="5"/>
      <c r="O181" s="5"/>
      <c r="P181" s="5"/>
      <c r="Q181" s="5"/>
      <c r="R181" s="5"/>
      <c r="S181" s="5"/>
    </row>
    <row r="182" spans="1:19" x14ac:dyDescent="0.25">
      <c r="A182" s="5"/>
      <c r="B182" s="5"/>
      <c r="C182" s="5"/>
      <c r="D182" s="5"/>
      <c r="E182" s="5"/>
      <c r="F182" s="5"/>
      <c r="G182" s="5"/>
      <c r="H182" s="5"/>
      <c r="I182" s="5"/>
      <c r="J182" s="5"/>
      <c r="K182" s="5"/>
      <c r="L182" s="5"/>
      <c r="M182" s="5"/>
      <c r="N182" s="5"/>
      <c r="O182" s="5"/>
      <c r="P182" s="5"/>
      <c r="Q182" s="5"/>
      <c r="R182" s="5"/>
      <c r="S182" s="5"/>
    </row>
    <row r="183" spans="1:19" x14ac:dyDescent="0.25">
      <c r="A183" s="5"/>
      <c r="B183" s="5"/>
      <c r="C183" s="5"/>
      <c r="D183" s="5"/>
      <c r="E183" s="5"/>
      <c r="F183" s="5"/>
      <c r="G183" s="5"/>
      <c r="H183" s="5"/>
      <c r="I183" s="5"/>
      <c r="J183" s="5"/>
      <c r="K183" s="5"/>
      <c r="L183" s="5"/>
      <c r="M183" s="5"/>
      <c r="N183" s="5"/>
      <c r="O183" s="5"/>
      <c r="P183" s="5"/>
      <c r="Q183" s="5"/>
      <c r="R183" s="5"/>
      <c r="S183" s="5"/>
    </row>
    <row r="184" spans="1:19" x14ac:dyDescent="0.25">
      <c r="A184" s="5"/>
      <c r="B184" s="5"/>
      <c r="C184" s="5"/>
      <c r="D184" s="5"/>
      <c r="E184" s="5"/>
      <c r="F184" s="5"/>
      <c r="G184" s="5"/>
      <c r="H184" s="5"/>
      <c r="I184" s="5"/>
      <c r="J184" s="5"/>
      <c r="K184" s="5"/>
      <c r="L184" s="5"/>
      <c r="M184" s="5"/>
      <c r="N184" s="5"/>
      <c r="O184" s="5"/>
      <c r="P184" s="5"/>
      <c r="Q184" s="5"/>
      <c r="R184" s="5"/>
      <c r="S184" s="5"/>
    </row>
    <row r="185" spans="1:19" x14ac:dyDescent="0.25">
      <c r="A185" s="5"/>
      <c r="B185" s="5"/>
      <c r="C185" s="5"/>
      <c r="D185" s="5"/>
      <c r="E185" s="5"/>
      <c r="F185" s="5"/>
      <c r="G185" s="5"/>
      <c r="H185" s="5"/>
      <c r="I185" s="5"/>
      <c r="J185" s="5"/>
      <c r="K185" s="5"/>
      <c r="L185" s="5"/>
      <c r="M185" s="5"/>
      <c r="N185" s="5"/>
      <c r="O185" s="5"/>
      <c r="P185" s="5"/>
      <c r="Q185" s="5"/>
      <c r="R185" s="5"/>
      <c r="S185" s="5"/>
    </row>
    <row r="186" spans="1:19" x14ac:dyDescent="0.25">
      <c r="A186" s="5"/>
      <c r="B186" s="5"/>
      <c r="C186" s="5"/>
      <c r="D186" s="5"/>
      <c r="E186" s="5"/>
      <c r="F186" s="5"/>
      <c r="G186" s="5"/>
      <c r="H186" s="5"/>
      <c r="I186" s="5"/>
      <c r="J186" s="5"/>
      <c r="K186" s="5"/>
      <c r="L186" s="5"/>
      <c r="M186" s="5"/>
      <c r="N186" s="5"/>
      <c r="O186" s="5"/>
      <c r="P186" s="5"/>
      <c r="Q186" s="5"/>
      <c r="R186" s="5"/>
      <c r="S186" s="5"/>
    </row>
    <row r="187" spans="1:19" x14ac:dyDescent="0.25">
      <c r="A187" s="5"/>
      <c r="B187" s="5"/>
      <c r="C187" s="5"/>
      <c r="D187" s="5"/>
      <c r="E187" s="5"/>
      <c r="F187" s="5"/>
      <c r="G187" s="5"/>
      <c r="H187" s="5"/>
      <c r="I187" s="5"/>
      <c r="J187" s="5"/>
      <c r="K187" s="5"/>
      <c r="L187" s="5"/>
      <c r="M187" s="5"/>
      <c r="N187" s="5"/>
      <c r="O187" s="5"/>
      <c r="P187" s="5"/>
      <c r="Q187" s="5"/>
      <c r="R187" s="5"/>
      <c r="S187" s="5"/>
    </row>
    <row r="188" spans="1:19" x14ac:dyDescent="0.25">
      <c r="A188" s="5"/>
      <c r="B188" s="5"/>
      <c r="C188" s="5"/>
      <c r="D188" s="5"/>
      <c r="E188" s="5"/>
      <c r="F188" s="5"/>
      <c r="G188" s="5"/>
      <c r="H188" s="5"/>
      <c r="I188" s="5"/>
      <c r="J188" s="5"/>
      <c r="K188" s="5"/>
      <c r="L188" s="5"/>
      <c r="M188" s="5"/>
      <c r="N188" s="5"/>
      <c r="O188" s="5"/>
      <c r="P188" s="5"/>
      <c r="Q188" s="5"/>
      <c r="R188" s="5"/>
      <c r="S188" s="5"/>
    </row>
    <row r="189" spans="1:19" x14ac:dyDescent="0.25">
      <c r="A189" s="5"/>
      <c r="B189" s="5"/>
      <c r="C189" s="5"/>
      <c r="D189" s="5"/>
      <c r="E189" s="5"/>
      <c r="F189" s="5"/>
      <c r="G189" s="5"/>
      <c r="H189" s="5"/>
      <c r="I189" s="5"/>
      <c r="J189" s="5"/>
      <c r="K189" s="5"/>
      <c r="L189" s="5"/>
      <c r="M189" s="5"/>
      <c r="N189" s="5"/>
      <c r="O189" s="5"/>
      <c r="P189" s="5"/>
      <c r="Q189" s="5"/>
      <c r="R189" s="5"/>
      <c r="S189" s="5"/>
    </row>
    <row r="190" spans="1:19" x14ac:dyDescent="0.25">
      <c r="A190" s="5"/>
      <c r="B190" s="5"/>
      <c r="C190" s="5"/>
      <c r="D190" s="5"/>
      <c r="E190" s="5"/>
      <c r="F190" s="5"/>
      <c r="G190" s="5"/>
      <c r="H190" s="5"/>
      <c r="I190" s="5"/>
      <c r="J190" s="5"/>
      <c r="K190" s="5"/>
      <c r="L190" s="5"/>
      <c r="M190" s="5"/>
      <c r="N190" s="5"/>
      <c r="O190" s="5"/>
      <c r="P190" s="5"/>
      <c r="Q190" s="5"/>
      <c r="R190" s="5"/>
      <c r="S190" s="5"/>
    </row>
    <row r="191" spans="1:19" x14ac:dyDescent="0.25">
      <c r="A191" s="5"/>
      <c r="B191" s="5"/>
      <c r="C191" s="5"/>
      <c r="D191" s="5"/>
      <c r="E191" s="5"/>
      <c r="F191" s="5"/>
      <c r="G191" s="5"/>
      <c r="H191" s="5"/>
      <c r="I191" s="5"/>
      <c r="J191" s="5"/>
      <c r="K191" s="5"/>
      <c r="L191" s="5"/>
      <c r="M191" s="5"/>
      <c r="N191" s="5"/>
      <c r="O191" s="5"/>
      <c r="P191" s="5"/>
      <c r="Q191" s="5"/>
      <c r="R191" s="5"/>
      <c r="S191" s="5"/>
    </row>
    <row r="192" spans="1:19" x14ac:dyDescent="0.25">
      <c r="A192" s="5"/>
      <c r="B192" s="5"/>
      <c r="C192" s="5"/>
      <c r="D192" s="5"/>
      <c r="E192" s="5"/>
      <c r="F192" s="5"/>
      <c r="G192" s="5"/>
      <c r="H192" s="5"/>
      <c r="I192" s="5"/>
      <c r="J192" s="5"/>
      <c r="K192" s="5"/>
      <c r="L192" s="5"/>
      <c r="M192" s="5"/>
      <c r="N192" s="5"/>
      <c r="O192" s="5"/>
      <c r="P192" s="5"/>
      <c r="Q192" s="5"/>
      <c r="R192" s="5"/>
      <c r="S192" s="5"/>
    </row>
    <row r="193" spans="1:19" x14ac:dyDescent="0.25">
      <c r="A193" s="5"/>
      <c r="B193" s="5"/>
      <c r="C193" s="5"/>
      <c r="D193" s="5"/>
      <c r="E193" s="5"/>
      <c r="F193" s="5"/>
      <c r="G193" s="5"/>
      <c r="H193" s="5"/>
      <c r="I193" s="5"/>
      <c r="J193" s="5"/>
      <c r="K193" s="5"/>
      <c r="L193" s="5"/>
      <c r="M193" s="5"/>
      <c r="N193" s="5"/>
      <c r="O193" s="5"/>
      <c r="P193" s="5"/>
      <c r="Q193" s="5"/>
      <c r="R193" s="5"/>
      <c r="S193" s="5"/>
    </row>
    <row r="194" spans="1:19" x14ac:dyDescent="0.25">
      <c r="A194" s="5"/>
      <c r="B194" s="5"/>
      <c r="C194" s="5"/>
      <c r="D194" s="5"/>
      <c r="E194" s="5"/>
      <c r="F194" s="5"/>
      <c r="G194" s="5"/>
      <c r="H194" s="5"/>
      <c r="I194" s="5"/>
      <c r="J194" s="5"/>
      <c r="K194" s="5"/>
      <c r="L194" s="5"/>
      <c r="M194" s="5"/>
      <c r="N194" s="5"/>
      <c r="O194" s="5"/>
      <c r="P194" s="5"/>
      <c r="Q194" s="5"/>
      <c r="R194" s="5"/>
      <c r="S194" s="5"/>
    </row>
    <row r="195" spans="1:19" x14ac:dyDescent="0.25">
      <c r="A195" s="5"/>
      <c r="B195" s="5"/>
      <c r="C195" s="5"/>
      <c r="D195" s="5"/>
      <c r="E195" s="5"/>
      <c r="F195" s="5"/>
      <c r="G195" s="5"/>
      <c r="H195" s="5"/>
      <c r="I195" s="5"/>
      <c r="J195" s="5"/>
      <c r="K195" s="5"/>
      <c r="L195" s="5"/>
      <c r="M195" s="5"/>
      <c r="N195" s="5"/>
      <c r="O195" s="5"/>
      <c r="P195" s="5"/>
      <c r="Q195" s="5"/>
      <c r="R195" s="5"/>
      <c r="S195" s="5"/>
    </row>
    <row r="196" spans="1:19" x14ac:dyDescent="0.25">
      <c r="A196" s="5"/>
      <c r="B196" s="5"/>
      <c r="C196" s="5"/>
      <c r="D196" s="5"/>
      <c r="E196" s="5"/>
      <c r="F196" s="5"/>
      <c r="G196" s="5"/>
      <c r="H196" s="5"/>
      <c r="I196" s="5"/>
      <c r="J196" s="5"/>
      <c r="K196" s="5"/>
      <c r="L196" s="5"/>
      <c r="M196" s="5"/>
      <c r="N196" s="5"/>
      <c r="O196" s="5"/>
      <c r="P196" s="5"/>
      <c r="Q196" s="5"/>
      <c r="R196" s="5"/>
      <c r="S196" s="5"/>
    </row>
    <row r="197" spans="1:19" x14ac:dyDescent="0.25">
      <c r="A197" s="5"/>
      <c r="B197" s="5"/>
      <c r="C197" s="5"/>
      <c r="D197" s="5"/>
      <c r="E197" s="5"/>
      <c r="F197" s="5"/>
      <c r="G197" s="5"/>
      <c r="H197" s="5"/>
      <c r="I197" s="5"/>
      <c r="J197" s="5"/>
      <c r="K197" s="5"/>
      <c r="L197" s="5"/>
      <c r="M197" s="5"/>
      <c r="N197" s="5"/>
      <c r="O197" s="5"/>
      <c r="P197" s="5"/>
      <c r="Q197" s="5"/>
      <c r="R197" s="5"/>
      <c r="S197" s="5"/>
    </row>
    <row r="198" spans="1:19" x14ac:dyDescent="0.25">
      <c r="A198" s="5"/>
      <c r="B198" s="5"/>
      <c r="C198" s="5"/>
      <c r="D198" s="5"/>
      <c r="E198" s="5"/>
      <c r="F198" s="5"/>
      <c r="G198" s="5"/>
      <c r="H198" s="5"/>
      <c r="I198" s="5"/>
      <c r="J198" s="5"/>
      <c r="K198" s="5"/>
      <c r="L198" s="5"/>
      <c r="M198" s="5"/>
      <c r="N198" s="5"/>
      <c r="O198" s="5"/>
      <c r="P198" s="5"/>
      <c r="Q198" s="5"/>
      <c r="R198" s="5"/>
      <c r="S198" s="5"/>
    </row>
    <row r="199" spans="1:19" x14ac:dyDescent="0.25">
      <c r="A199" s="5"/>
      <c r="B199" s="5"/>
      <c r="C199" s="5"/>
      <c r="D199" s="5"/>
      <c r="E199" s="5"/>
      <c r="F199" s="5"/>
      <c r="G199" s="5"/>
      <c r="H199" s="5"/>
      <c r="I199" s="5"/>
      <c r="J199" s="5"/>
      <c r="K199" s="5"/>
      <c r="L199" s="5"/>
      <c r="M199" s="5"/>
      <c r="N199" s="5"/>
      <c r="O199" s="5"/>
      <c r="P199" s="5"/>
      <c r="Q199" s="5"/>
      <c r="R199" s="5"/>
      <c r="S199" s="5"/>
    </row>
    <row r="200" spans="1:19" x14ac:dyDescent="0.25">
      <c r="A200" s="5"/>
      <c r="B200" s="5"/>
      <c r="C200" s="5"/>
      <c r="D200" s="5"/>
      <c r="E200" s="5"/>
      <c r="F200" s="5"/>
      <c r="G200" s="5"/>
      <c r="H200" s="5"/>
      <c r="I200" s="5"/>
      <c r="J200" s="5"/>
      <c r="K200" s="5"/>
      <c r="L200" s="5"/>
      <c r="M200" s="5"/>
      <c r="N200" s="5"/>
      <c r="O200" s="5"/>
      <c r="P200" s="5"/>
      <c r="Q200" s="5"/>
      <c r="R200" s="5"/>
      <c r="S200" s="5"/>
    </row>
    <row r="201" spans="1:19" x14ac:dyDescent="0.25">
      <c r="A201" s="5"/>
      <c r="B201" s="5"/>
      <c r="C201" s="5"/>
      <c r="D201" s="5"/>
      <c r="E201" s="5"/>
      <c r="F201" s="5"/>
      <c r="G201" s="5"/>
      <c r="H201" s="5"/>
      <c r="I201" s="5"/>
      <c r="J201" s="5"/>
      <c r="K201" s="5"/>
      <c r="L201" s="5"/>
      <c r="M201" s="5"/>
      <c r="N201" s="5"/>
      <c r="O201" s="5"/>
      <c r="P201" s="5"/>
      <c r="Q201" s="5"/>
      <c r="R201" s="5"/>
      <c r="S201" s="5"/>
    </row>
    <row r="202" spans="1:19" x14ac:dyDescent="0.25">
      <c r="A202" s="5"/>
      <c r="B202" s="5"/>
      <c r="C202" s="5"/>
      <c r="D202" s="5"/>
      <c r="E202" s="5"/>
      <c r="F202" s="5"/>
      <c r="G202" s="5"/>
      <c r="H202" s="5"/>
      <c r="I202" s="5"/>
      <c r="J202" s="5"/>
      <c r="K202" s="5"/>
      <c r="L202" s="5"/>
      <c r="M202" s="5"/>
      <c r="N202" s="5"/>
      <c r="O202" s="5"/>
      <c r="P202" s="5"/>
      <c r="Q202" s="5"/>
      <c r="R202" s="5"/>
      <c r="S202" s="5"/>
    </row>
    <row r="203" spans="1:19" x14ac:dyDescent="0.25">
      <c r="A203" s="5"/>
      <c r="B203" s="5"/>
      <c r="C203" s="5"/>
      <c r="D203" s="5"/>
      <c r="E203" s="5"/>
      <c r="F203" s="5"/>
      <c r="G203" s="5"/>
      <c r="H203" s="5"/>
      <c r="I203" s="5"/>
      <c r="J203" s="5"/>
      <c r="K203" s="5"/>
      <c r="L203" s="5"/>
      <c r="M203" s="5"/>
      <c r="N203" s="5"/>
      <c r="O203" s="5"/>
      <c r="P203" s="5"/>
      <c r="Q203" s="5"/>
      <c r="R203" s="5"/>
      <c r="S203" s="5"/>
    </row>
    <row r="204" spans="1:19" x14ac:dyDescent="0.25">
      <c r="A204" s="5"/>
      <c r="B204" s="5"/>
      <c r="C204" s="5"/>
      <c r="D204" s="5"/>
      <c r="E204" s="5"/>
      <c r="F204" s="5"/>
      <c r="G204" s="5"/>
      <c r="H204" s="5"/>
      <c r="I204" s="5"/>
      <c r="J204" s="5"/>
      <c r="K204" s="5"/>
      <c r="L204" s="5"/>
      <c r="M204" s="5"/>
      <c r="N204" s="5"/>
      <c r="O204" s="5"/>
      <c r="P204" s="5"/>
      <c r="Q204" s="5"/>
      <c r="R204" s="5"/>
      <c r="S204" s="5"/>
    </row>
    <row r="205" spans="1:19" x14ac:dyDescent="0.25">
      <c r="A205" s="5"/>
      <c r="B205" s="5"/>
      <c r="C205" s="5"/>
      <c r="D205" s="5"/>
      <c r="E205" s="5"/>
      <c r="F205" s="5"/>
      <c r="G205" s="5"/>
      <c r="H205" s="5"/>
      <c r="I205" s="5"/>
      <c r="J205" s="5"/>
      <c r="K205" s="5"/>
      <c r="L205" s="5"/>
      <c r="M205" s="5"/>
      <c r="N205" s="5"/>
      <c r="O205" s="5"/>
      <c r="P205" s="5"/>
      <c r="Q205" s="5"/>
      <c r="R205" s="5"/>
      <c r="S205" s="5"/>
    </row>
    <row r="206" spans="1:19" x14ac:dyDescent="0.25">
      <c r="A206" s="5"/>
      <c r="B206" s="5"/>
      <c r="C206" s="5"/>
      <c r="D206" s="5"/>
      <c r="E206" s="5"/>
      <c r="F206" s="5"/>
      <c r="G206" s="5"/>
      <c r="H206" s="5"/>
      <c r="I206" s="5"/>
      <c r="J206" s="5"/>
      <c r="K206" s="5"/>
      <c r="L206" s="5"/>
      <c r="M206" s="5"/>
      <c r="N206" s="5"/>
      <c r="O206" s="5"/>
      <c r="P206" s="5"/>
      <c r="Q206" s="5"/>
      <c r="R206" s="5"/>
      <c r="S206" s="5"/>
    </row>
    <row r="207" spans="1:19" x14ac:dyDescent="0.25">
      <c r="A207" s="5"/>
      <c r="B207" s="5"/>
      <c r="C207" s="5"/>
      <c r="D207" s="5"/>
      <c r="E207" s="5"/>
      <c r="F207" s="5"/>
      <c r="G207" s="5"/>
      <c r="H207" s="5"/>
      <c r="I207" s="5"/>
      <c r="J207" s="5"/>
      <c r="K207" s="5"/>
      <c r="L207" s="5"/>
      <c r="M207" s="5"/>
      <c r="N207" s="5"/>
      <c r="O207" s="5"/>
      <c r="P207" s="5"/>
      <c r="Q207" s="5"/>
      <c r="R207" s="5"/>
      <c r="S207" s="5"/>
    </row>
    <row r="208" spans="1:19" x14ac:dyDescent="0.25">
      <c r="A208" s="5"/>
      <c r="B208" s="5"/>
      <c r="C208" s="5"/>
      <c r="D208" s="5"/>
      <c r="E208" s="5"/>
      <c r="F208" s="5"/>
      <c r="G208" s="5"/>
      <c r="H208" s="5"/>
      <c r="I208" s="5"/>
      <c r="J208" s="5"/>
      <c r="K208" s="5"/>
      <c r="L208" s="5"/>
      <c r="M208" s="5"/>
      <c r="N208" s="5"/>
      <c r="O208" s="5"/>
      <c r="P208" s="5"/>
      <c r="Q208" s="5"/>
      <c r="R208" s="5"/>
      <c r="S208" s="5"/>
    </row>
    <row r="209" spans="1:19" x14ac:dyDescent="0.25">
      <c r="A209" s="5"/>
      <c r="B209" s="5"/>
      <c r="C209" s="5"/>
      <c r="D209" s="5"/>
      <c r="E209" s="5"/>
      <c r="F209" s="5"/>
      <c r="G209" s="5"/>
      <c r="H209" s="5"/>
      <c r="I209" s="5"/>
      <c r="J209" s="5"/>
      <c r="K209" s="5"/>
      <c r="L209" s="5"/>
      <c r="M209" s="5"/>
      <c r="N209" s="5"/>
      <c r="O209" s="5"/>
      <c r="P209" s="5"/>
      <c r="Q209" s="5"/>
      <c r="R209" s="5"/>
      <c r="S209" s="5"/>
    </row>
    <row r="210" spans="1:19" x14ac:dyDescent="0.25">
      <c r="A210" s="5"/>
      <c r="B210" s="5"/>
      <c r="C210" s="5"/>
      <c r="D210" s="5"/>
      <c r="E210" s="5"/>
      <c r="F210" s="5"/>
      <c r="G210" s="5"/>
      <c r="H210" s="5"/>
      <c r="I210" s="5"/>
      <c r="J210" s="5"/>
      <c r="K210" s="5"/>
      <c r="L210" s="5"/>
      <c r="M210" s="5"/>
      <c r="N210" s="5"/>
      <c r="O210" s="5"/>
      <c r="P210" s="5"/>
      <c r="Q210" s="5"/>
      <c r="R210" s="5"/>
      <c r="S210" s="5"/>
    </row>
    <row r="211" spans="1:19" x14ac:dyDescent="0.25">
      <c r="A211" s="5"/>
      <c r="B211" s="5"/>
      <c r="C211" s="5"/>
      <c r="D211" s="5"/>
      <c r="E211" s="5"/>
      <c r="F211" s="5"/>
      <c r="G211" s="5"/>
      <c r="H211" s="5"/>
      <c r="I211" s="5"/>
      <c r="J211" s="5"/>
      <c r="K211" s="5"/>
      <c r="L211" s="5"/>
      <c r="M211" s="5"/>
      <c r="N211" s="5"/>
      <c r="O211" s="5"/>
      <c r="P211" s="5"/>
      <c r="Q211" s="5"/>
      <c r="R211" s="5"/>
      <c r="S211" s="5"/>
    </row>
    <row r="212" spans="1:19" x14ac:dyDescent="0.25">
      <c r="A212" s="5"/>
      <c r="B212" s="5"/>
      <c r="C212" s="5"/>
      <c r="D212" s="5"/>
      <c r="E212" s="5"/>
      <c r="F212" s="5"/>
      <c r="G212" s="5"/>
      <c r="H212" s="5"/>
      <c r="I212" s="5"/>
      <c r="J212" s="5"/>
      <c r="K212" s="5"/>
      <c r="L212" s="5"/>
      <c r="M212" s="5"/>
      <c r="N212" s="5"/>
      <c r="O212" s="5"/>
      <c r="P212" s="5"/>
      <c r="Q212" s="5"/>
      <c r="R212" s="5"/>
      <c r="S212" s="5"/>
    </row>
    <row r="213" spans="1:19" x14ac:dyDescent="0.25">
      <c r="A213" s="5"/>
      <c r="B213" s="5"/>
      <c r="C213" s="5"/>
      <c r="D213" s="5"/>
      <c r="E213" s="5"/>
      <c r="F213" s="5"/>
      <c r="G213" s="5"/>
      <c r="H213" s="5"/>
      <c r="I213" s="5"/>
      <c r="J213" s="5"/>
      <c r="K213" s="5"/>
      <c r="L213" s="5"/>
      <c r="M213" s="5"/>
      <c r="N213" s="5"/>
      <c r="O213" s="5"/>
      <c r="P213" s="5"/>
      <c r="Q213" s="5"/>
      <c r="R213" s="5"/>
      <c r="S213" s="5"/>
    </row>
    <row r="214" spans="1:19" x14ac:dyDescent="0.25">
      <c r="A214" s="5"/>
      <c r="B214" s="5"/>
      <c r="C214" s="5"/>
      <c r="D214" s="5"/>
      <c r="E214" s="5"/>
      <c r="F214" s="5"/>
      <c r="G214" s="5"/>
      <c r="H214" s="5"/>
      <c r="I214" s="5"/>
      <c r="J214" s="5"/>
      <c r="K214" s="5"/>
      <c r="L214" s="5"/>
      <c r="M214" s="5"/>
      <c r="N214" s="5"/>
      <c r="O214" s="5"/>
      <c r="P214" s="5"/>
      <c r="Q214" s="5"/>
      <c r="R214" s="5"/>
      <c r="S214" s="5"/>
    </row>
    <row r="215" spans="1:19" x14ac:dyDescent="0.25">
      <c r="A215" s="5"/>
      <c r="B215" s="5"/>
      <c r="C215" s="5"/>
      <c r="D215" s="5"/>
      <c r="E215" s="5"/>
      <c r="F215" s="5"/>
      <c r="G215" s="5"/>
      <c r="H215" s="5"/>
      <c r="I215" s="5"/>
      <c r="J215" s="5"/>
      <c r="K215" s="5"/>
      <c r="L215" s="5"/>
      <c r="M215" s="5"/>
      <c r="N215" s="5"/>
      <c r="O215" s="5"/>
      <c r="P215" s="5"/>
      <c r="Q215" s="5"/>
      <c r="R215" s="5"/>
      <c r="S215" s="5"/>
    </row>
    <row r="216" spans="1:19" x14ac:dyDescent="0.25">
      <c r="A216" s="5"/>
      <c r="B216" s="5"/>
      <c r="C216" s="5"/>
      <c r="D216" s="5"/>
      <c r="E216" s="5"/>
      <c r="F216" s="5"/>
      <c r="G216" s="5"/>
      <c r="H216" s="5"/>
      <c r="I216" s="5"/>
      <c r="J216" s="5"/>
      <c r="K216" s="5"/>
      <c r="L216" s="5"/>
      <c r="M216" s="5"/>
      <c r="N216" s="5"/>
      <c r="O216" s="5"/>
      <c r="P216" s="5"/>
      <c r="Q216" s="5"/>
      <c r="R216" s="5"/>
      <c r="S216" s="5"/>
    </row>
    <row r="217" spans="1:19" x14ac:dyDescent="0.25">
      <c r="A217" s="5"/>
      <c r="B217" s="5"/>
      <c r="C217" s="5"/>
      <c r="D217" s="5"/>
      <c r="E217" s="5"/>
      <c r="F217" s="5"/>
      <c r="G217" s="5"/>
      <c r="H217" s="5"/>
      <c r="I217" s="5"/>
      <c r="J217" s="5"/>
      <c r="K217" s="5"/>
      <c r="L217" s="5"/>
      <c r="M217" s="5"/>
      <c r="N217" s="5"/>
      <c r="O217" s="5"/>
      <c r="P217" s="5"/>
      <c r="Q217" s="5"/>
      <c r="R217" s="5"/>
      <c r="S217" s="5"/>
    </row>
    <row r="218" spans="1:19" x14ac:dyDescent="0.25">
      <c r="A218" s="5"/>
      <c r="B218" s="5"/>
      <c r="C218" s="5"/>
      <c r="D218" s="5"/>
      <c r="E218" s="5"/>
      <c r="F218" s="5"/>
      <c r="G218" s="5"/>
      <c r="H218" s="5"/>
      <c r="I218" s="5"/>
      <c r="J218" s="5"/>
      <c r="K218" s="5"/>
      <c r="L218" s="5"/>
      <c r="M218" s="5"/>
      <c r="N218" s="5"/>
      <c r="O218" s="5"/>
      <c r="P218" s="5"/>
      <c r="Q218" s="5"/>
      <c r="R218" s="5"/>
      <c r="S218" s="5"/>
    </row>
    <row r="219" spans="1:19" x14ac:dyDescent="0.25">
      <c r="A219" s="5"/>
      <c r="B219" s="5"/>
      <c r="C219" s="5"/>
      <c r="D219" s="5"/>
      <c r="E219" s="5"/>
      <c r="F219" s="5"/>
      <c r="G219" s="5"/>
      <c r="H219" s="5"/>
      <c r="I219" s="5"/>
      <c r="J219" s="5"/>
      <c r="K219" s="5"/>
      <c r="L219" s="5"/>
      <c r="M219" s="5"/>
      <c r="N219" s="5"/>
      <c r="O219" s="5"/>
      <c r="P219" s="5"/>
      <c r="Q219" s="5"/>
      <c r="R219" s="5"/>
      <c r="S219" s="5"/>
    </row>
    <row r="220" spans="1:19" x14ac:dyDescent="0.25">
      <c r="A220" s="5"/>
      <c r="B220" s="5"/>
      <c r="C220" s="5"/>
      <c r="D220" s="5"/>
      <c r="E220" s="5"/>
      <c r="F220" s="5"/>
      <c r="G220" s="5"/>
      <c r="H220" s="5"/>
      <c r="I220" s="5"/>
      <c r="J220" s="5"/>
      <c r="K220" s="5"/>
      <c r="L220" s="5"/>
      <c r="M220" s="5"/>
      <c r="N220" s="5"/>
      <c r="O220" s="5"/>
      <c r="P220" s="5"/>
      <c r="Q220" s="5"/>
      <c r="R220" s="5"/>
      <c r="S220" s="5"/>
    </row>
    <row r="221" spans="1:19" x14ac:dyDescent="0.25">
      <c r="A221" s="5"/>
      <c r="B221" s="5"/>
      <c r="C221" s="5"/>
      <c r="D221" s="5"/>
      <c r="E221" s="5"/>
      <c r="F221" s="5"/>
      <c r="G221" s="5"/>
      <c r="H221" s="5"/>
      <c r="I221" s="5"/>
      <c r="J221" s="5"/>
      <c r="K221" s="5"/>
      <c r="L221" s="5"/>
      <c r="M221" s="5"/>
      <c r="N221" s="5"/>
      <c r="O221" s="5"/>
      <c r="P221" s="5"/>
      <c r="Q221" s="5"/>
      <c r="R221" s="5"/>
      <c r="S221" s="5"/>
    </row>
    <row r="222" spans="1:19" x14ac:dyDescent="0.25">
      <c r="A222" s="5"/>
      <c r="B222" s="5"/>
      <c r="C222" s="5"/>
      <c r="D222" s="5"/>
      <c r="E222" s="5"/>
      <c r="F222" s="5"/>
      <c r="G222" s="5"/>
      <c r="H222" s="5"/>
      <c r="I222" s="5"/>
      <c r="J222" s="5"/>
      <c r="K222" s="5"/>
      <c r="L222" s="5"/>
      <c r="M222" s="5"/>
      <c r="N222" s="5"/>
      <c r="O222" s="5"/>
      <c r="P222" s="5"/>
      <c r="Q222" s="5"/>
      <c r="R222" s="5"/>
      <c r="S222" s="5"/>
    </row>
    <row r="223" spans="1:19" x14ac:dyDescent="0.25">
      <c r="A223" s="5"/>
      <c r="B223" s="5"/>
      <c r="C223" s="5"/>
      <c r="D223" s="5"/>
      <c r="E223" s="5"/>
      <c r="F223" s="5"/>
      <c r="G223" s="5"/>
      <c r="H223" s="5"/>
      <c r="I223" s="5"/>
      <c r="J223" s="5"/>
      <c r="K223" s="5"/>
      <c r="L223" s="5"/>
      <c r="M223" s="5"/>
      <c r="N223" s="5"/>
      <c r="O223" s="5"/>
      <c r="P223" s="5"/>
      <c r="Q223" s="5"/>
      <c r="R223" s="5"/>
      <c r="S223" s="5"/>
    </row>
    <row r="224" spans="1:19" x14ac:dyDescent="0.25">
      <c r="A224" s="5"/>
      <c r="B224" s="5"/>
      <c r="C224" s="5"/>
      <c r="D224" s="5"/>
      <c r="E224" s="5"/>
      <c r="F224" s="5"/>
      <c r="G224" s="5"/>
      <c r="H224" s="5"/>
      <c r="I224" s="5"/>
      <c r="J224" s="5"/>
      <c r="K224" s="5"/>
      <c r="L224" s="5"/>
      <c r="M224" s="5"/>
      <c r="N224" s="5"/>
      <c r="O224" s="5"/>
      <c r="P224" s="5"/>
      <c r="Q224" s="5"/>
      <c r="R224" s="5"/>
      <c r="S224" s="5"/>
    </row>
    <row r="225" spans="1:19" x14ac:dyDescent="0.25">
      <c r="A225" s="5"/>
      <c r="B225" s="5"/>
      <c r="C225" s="5"/>
      <c r="D225" s="5"/>
      <c r="E225" s="5"/>
      <c r="F225" s="5"/>
      <c r="G225" s="5"/>
      <c r="H225" s="5"/>
      <c r="I225" s="5"/>
      <c r="J225" s="5"/>
      <c r="K225" s="5"/>
      <c r="L225" s="5"/>
      <c r="M225" s="5"/>
      <c r="N225" s="5"/>
      <c r="O225" s="5"/>
      <c r="P225" s="5"/>
      <c r="Q225" s="5"/>
      <c r="R225" s="5"/>
      <c r="S225" s="5"/>
    </row>
    <row r="226" spans="1:19" x14ac:dyDescent="0.25">
      <c r="A226" s="5"/>
      <c r="B226" s="5"/>
      <c r="C226" s="5"/>
      <c r="D226" s="5"/>
      <c r="E226" s="5"/>
      <c r="F226" s="5"/>
      <c r="G226" s="5"/>
      <c r="H226" s="5"/>
      <c r="I226" s="5"/>
      <c r="J226" s="5"/>
      <c r="K226" s="5"/>
      <c r="L226" s="5"/>
      <c r="M226" s="5"/>
      <c r="N226" s="5"/>
      <c r="O226" s="5"/>
      <c r="P226" s="5"/>
      <c r="Q226" s="5"/>
      <c r="R226" s="5"/>
      <c r="S226" s="5"/>
    </row>
    <row r="227" spans="1:19" x14ac:dyDescent="0.25">
      <c r="A227" s="5"/>
      <c r="B227" s="5"/>
      <c r="C227" s="5"/>
      <c r="D227" s="5"/>
      <c r="E227" s="5"/>
      <c r="F227" s="5"/>
      <c r="G227" s="5"/>
      <c r="H227" s="5"/>
      <c r="I227" s="5"/>
      <c r="J227" s="5"/>
      <c r="K227" s="5"/>
      <c r="L227" s="5"/>
      <c r="M227" s="5"/>
      <c r="N227" s="5"/>
      <c r="O227" s="5"/>
      <c r="P227" s="5"/>
      <c r="Q227" s="5"/>
      <c r="R227" s="5"/>
      <c r="S227" s="5"/>
    </row>
    <row r="228" spans="1:19" x14ac:dyDescent="0.25">
      <c r="A228" s="5"/>
      <c r="B228" s="5"/>
      <c r="C228" s="5"/>
      <c r="D228" s="5"/>
      <c r="E228" s="5"/>
      <c r="F228" s="5"/>
      <c r="G228" s="5"/>
      <c r="H228" s="5"/>
      <c r="I228" s="5"/>
      <c r="J228" s="5"/>
      <c r="K228" s="5"/>
      <c r="L228" s="5"/>
      <c r="M228" s="5"/>
      <c r="N228" s="5"/>
      <c r="O228" s="5"/>
      <c r="P228" s="5"/>
      <c r="Q228" s="5"/>
      <c r="R228" s="5"/>
      <c r="S228" s="5"/>
    </row>
    <row r="229" spans="1:19" x14ac:dyDescent="0.25">
      <c r="A229" s="5"/>
      <c r="B229" s="5"/>
      <c r="C229" s="5"/>
      <c r="D229" s="5"/>
      <c r="E229" s="5"/>
      <c r="F229" s="5"/>
      <c r="G229" s="5"/>
      <c r="H229" s="5"/>
      <c r="I229" s="5"/>
      <c r="J229" s="5"/>
      <c r="K229" s="5"/>
      <c r="L229" s="5"/>
      <c r="M229" s="5"/>
      <c r="N229" s="5"/>
      <c r="O229" s="5"/>
      <c r="P229" s="5"/>
      <c r="Q229" s="5"/>
      <c r="R229" s="5"/>
      <c r="S229" s="5"/>
    </row>
    <row r="230" spans="1:19" x14ac:dyDescent="0.25">
      <c r="A230" s="5"/>
      <c r="B230" s="5"/>
      <c r="C230" s="5"/>
      <c r="D230" s="5"/>
      <c r="E230" s="5"/>
      <c r="F230" s="5"/>
      <c r="G230" s="5"/>
      <c r="H230" s="5"/>
      <c r="I230" s="5"/>
      <c r="J230" s="5"/>
      <c r="K230" s="5"/>
      <c r="L230" s="5"/>
      <c r="M230" s="5"/>
      <c r="N230" s="5"/>
      <c r="O230" s="5"/>
      <c r="P230" s="5"/>
      <c r="Q230" s="5"/>
      <c r="R230" s="5"/>
      <c r="S230" s="5"/>
    </row>
    <row r="231" spans="1:19" x14ac:dyDescent="0.25">
      <c r="A231" s="5"/>
      <c r="B231" s="5"/>
      <c r="C231" s="5"/>
      <c r="D231" s="5"/>
      <c r="E231" s="5"/>
      <c r="F231" s="5"/>
      <c r="G231" s="5"/>
      <c r="H231" s="5"/>
      <c r="I231" s="5"/>
      <c r="J231" s="5"/>
      <c r="K231" s="5"/>
      <c r="L231" s="5"/>
      <c r="M231" s="5"/>
      <c r="N231" s="5"/>
      <c r="O231" s="5"/>
      <c r="P231" s="5"/>
      <c r="Q231" s="5"/>
      <c r="R231" s="5"/>
      <c r="S231" s="5"/>
    </row>
    <row r="232" spans="1:19" x14ac:dyDescent="0.25">
      <c r="A232" s="5"/>
      <c r="B232" s="5"/>
      <c r="C232" s="5"/>
      <c r="D232" s="5"/>
      <c r="E232" s="5"/>
      <c r="F232" s="5"/>
      <c r="G232" s="5"/>
      <c r="H232" s="5"/>
      <c r="I232" s="5"/>
      <c r="J232" s="5"/>
      <c r="K232" s="5"/>
      <c r="L232" s="5"/>
      <c r="M232" s="5"/>
      <c r="N232" s="5"/>
      <c r="O232" s="5"/>
      <c r="P232" s="5"/>
      <c r="Q232" s="5"/>
      <c r="R232" s="5"/>
      <c r="S232" s="5"/>
    </row>
    <row r="233" spans="1:19" x14ac:dyDescent="0.25">
      <c r="A233" s="5"/>
      <c r="B233" s="5"/>
      <c r="C233" s="5"/>
      <c r="D233" s="5"/>
      <c r="E233" s="5"/>
      <c r="F233" s="5"/>
      <c r="G233" s="5"/>
      <c r="H233" s="5"/>
      <c r="I233" s="5"/>
      <c r="J233" s="5"/>
      <c r="K233" s="5"/>
      <c r="L233" s="5"/>
      <c r="M233" s="5"/>
      <c r="N233" s="5"/>
      <c r="O233" s="5"/>
      <c r="P233" s="5"/>
      <c r="Q233" s="5"/>
      <c r="R233" s="5"/>
      <c r="S233" s="5"/>
    </row>
    <row r="234" spans="1:19" x14ac:dyDescent="0.25">
      <c r="A234" s="5"/>
      <c r="B234" s="5"/>
      <c r="C234" s="5"/>
      <c r="D234" s="5"/>
      <c r="E234" s="5"/>
      <c r="F234" s="5"/>
      <c r="G234" s="5"/>
      <c r="H234" s="5"/>
      <c r="I234" s="5"/>
      <c r="J234" s="5"/>
      <c r="K234" s="5"/>
      <c r="L234" s="5"/>
      <c r="M234" s="5"/>
      <c r="N234" s="5"/>
      <c r="O234" s="5"/>
      <c r="P234" s="5"/>
      <c r="Q234" s="5"/>
      <c r="R234" s="5"/>
      <c r="S234" s="5"/>
    </row>
    <row r="235" spans="1:19" x14ac:dyDescent="0.25">
      <c r="A235" s="5"/>
      <c r="B235" s="5"/>
      <c r="C235" s="5"/>
      <c r="D235" s="5"/>
      <c r="E235" s="5"/>
      <c r="F235" s="5"/>
      <c r="G235" s="5"/>
      <c r="H235" s="5"/>
      <c r="I235" s="5"/>
      <c r="J235" s="5"/>
      <c r="K235" s="5"/>
      <c r="L235" s="5"/>
      <c r="M235" s="5"/>
      <c r="N235" s="5"/>
      <c r="O235" s="5"/>
      <c r="P235" s="5"/>
      <c r="Q235" s="5"/>
      <c r="R235" s="5"/>
      <c r="S235" s="5"/>
    </row>
    <row r="236" spans="1:19" x14ac:dyDescent="0.25">
      <c r="A236" s="5"/>
      <c r="B236" s="5"/>
      <c r="C236" s="5"/>
      <c r="D236" s="5"/>
      <c r="E236" s="5"/>
      <c r="F236" s="5"/>
      <c r="G236" s="5"/>
      <c r="H236" s="5"/>
      <c r="I236" s="5"/>
      <c r="J236" s="5"/>
      <c r="K236" s="5"/>
      <c r="L236" s="5"/>
      <c r="M236" s="5"/>
      <c r="N236" s="5"/>
      <c r="O236" s="5"/>
      <c r="P236" s="5"/>
      <c r="Q236" s="5"/>
      <c r="R236" s="5"/>
      <c r="S236" s="5"/>
    </row>
    <row r="237" spans="1:19" x14ac:dyDescent="0.25">
      <c r="A237" s="5"/>
      <c r="B237" s="5"/>
      <c r="C237" s="5"/>
      <c r="D237" s="5"/>
      <c r="E237" s="5"/>
      <c r="F237" s="5"/>
      <c r="G237" s="5"/>
      <c r="H237" s="5"/>
      <c r="I237" s="5"/>
      <c r="J237" s="5"/>
      <c r="K237" s="5"/>
      <c r="L237" s="5"/>
      <c r="M237" s="5"/>
      <c r="N237" s="5"/>
      <c r="O237" s="5"/>
      <c r="P237" s="5"/>
      <c r="Q237" s="5"/>
      <c r="R237" s="5"/>
      <c r="S237" s="5"/>
    </row>
    <row r="238" spans="1:19" x14ac:dyDescent="0.25">
      <c r="A238" s="5"/>
      <c r="B238" s="5"/>
      <c r="C238" s="5"/>
      <c r="D238" s="5"/>
      <c r="E238" s="5"/>
      <c r="F238" s="5"/>
      <c r="G238" s="5"/>
      <c r="H238" s="5"/>
      <c r="I238" s="5"/>
      <c r="J238" s="5"/>
      <c r="K238" s="5"/>
      <c r="L238" s="5"/>
      <c r="M238" s="5"/>
      <c r="N238" s="5"/>
      <c r="O238" s="5"/>
      <c r="P238" s="5"/>
      <c r="Q238" s="5"/>
      <c r="R238" s="5"/>
      <c r="S238" s="5"/>
    </row>
    <row r="239" spans="1:19" x14ac:dyDescent="0.25">
      <c r="A239" s="5"/>
      <c r="B239" s="5"/>
      <c r="C239" s="5"/>
      <c r="D239" s="5"/>
      <c r="E239" s="5"/>
      <c r="F239" s="5"/>
      <c r="G239" s="5"/>
      <c r="H239" s="5"/>
      <c r="I239" s="5"/>
      <c r="J239" s="5"/>
      <c r="K239" s="5"/>
      <c r="L239" s="5"/>
      <c r="M239" s="5"/>
      <c r="N239" s="5"/>
      <c r="O239" s="5"/>
      <c r="P239" s="5"/>
      <c r="Q239" s="5"/>
      <c r="R239" s="5"/>
      <c r="S239" s="5"/>
    </row>
    <row r="240" spans="1:19" x14ac:dyDescent="0.25">
      <c r="A240" s="5"/>
      <c r="B240" s="5"/>
      <c r="C240" s="5"/>
      <c r="D240" s="5"/>
      <c r="E240" s="5"/>
      <c r="F240" s="5"/>
      <c r="G240" s="5"/>
      <c r="H240" s="5"/>
      <c r="I240" s="5"/>
      <c r="J240" s="5"/>
      <c r="K240" s="5"/>
      <c r="L240" s="5"/>
      <c r="M240" s="5"/>
      <c r="N240" s="5"/>
      <c r="O240" s="5"/>
      <c r="P240" s="5"/>
      <c r="Q240" s="5"/>
      <c r="R240" s="5"/>
      <c r="S240" s="5"/>
    </row>
    <row r="241" spans="1:19" x14ac:dyDescent="0.25">
      <c r="A241" s="5"/>
      <c r="B241" s="5"/>
      <c r="C241" s="5"/>
      <c r="D241" s="5"/>
      <c r="E241" s="5"/>
      <c r="F241" s="5"/>
      <c r="G241" s="5"/>
      <c r="H241" s="5"/>
      <c r="I241" s="5"/>
      <c r="J241" s="5"/>
      <c r="K241" s="5"/>
      <c r="L241" s="5"/>
      <c r="M241" s="5"/>
      <c r="N241" s="5"/>
      <c r="O241" s="5"/>
      <c r="P241" s="5"/>
      <c r="Q241" s="5"/>
      <c r="R241" s="5"/>
      <c r="S241" s="5"/>
    </row>
    <row r="242" spans="1:19" x14ac:dyDescent="0.25">
      <c r="A242" s="5"/>
      <c r="B242" s="5"/>
      <c r="C242" s="5"/>
      <c r="D242" s="5"/>
      <c r="E242" s="5"/>
      <c r="F242" s="5"/>
      <c r="G242" s="5"/>
      <c r="H242" s="5"/>
      <c r="I242" s="5"/>
      <c r="J242" s="5"/>
      <c r="K242" s="5"/>
      <c r="L242" s="5"/>
      <c r="M242" s="5"/>
      <c r="N242" s="5"/>
      <c r="O242" s="5"/>
      <c r="P242" s="5"/>
      <c r="Q242" s="5"/>
      <c r="R242" s="5"/>
      <c r="S242" s="5"/>
    </row>
    <row r="243" spans="1:19" x14ac:dyDescent="0.25">
      <c r="A243" s="5"/>
      <c r="B243" s="5"/>
      <c r="C243" s="5"/>
      <c r="D243" s="5"/>
      <c r="E243" s="5"/>
      <c r="F243" s="5"/>
      <c r="G243" s="5"/>
      <c r="H243" s="5"/>
      <c r="I243" s="5"/>
      <c r="J243" s="5"/>
      <c r="K243" s="5"/>
      <c r="L243" s="5"/>
      <c r="M243" s="5"/>
      <c r="N243" s="5"/>
      <c r="O243" s="5"/>
      <c r="P243" s="5"/>
      <c r="Q243" s="5"/>
      <c r="R243" s="5"/>
      <c r="S243" s="5"/>
    </row>
    <row r="244" spans="1:19" x14ac:dyDescent="0.25">
      <c r="A244" s="5"/>
      <c r="B244" s="5"/>
      <c r="C244" s="5"/>
      <c r="D244" s="5"/>
      <c r="E244" s="5"/>
      <c r="F244" s="5"/>
      <c r="G244" s="5"/>
      <c r="H244" s="5"/>
      <c r="I244" s="5"/>
      <c r="J244" s="5"/>
      <c r="K244" s="5"/>
      <c r="L244" s="5"/>
      <c r="M244" s="5"/>
      <c r="N244" s="5"/>
      <c r="O244" s="5"/>
      <c r="P244" s="5"/>
      <c r="Q244" s="5"/>
      <c r="R244" s="5"/>
      <c r="S244" s="5"/>
    </row>
    <row r="245" spans="1:19" x14ac:dyDescent="0.25">
      <c r="A245" s="5"/>
      <c r="B245" s="5"/>
      <c r="C245" s="5"/>
      <c r="D245" s="5"/>
      <c r="E245" s="5"/>
      <c r="F245" s="5"/>
      <c r="G245" s="5"/>
      <c r="H245" s="5"/>
      <c r="I245" s="5"/>
      <c r="J245" s="5"/>
      <c r="K245" s="5"/>
      <c r="L245" s="5"/>
      <c r="M245" s="5"/>
      <c r="N245" s="5"/>
      <c r="O245" s="5"/>
      <c r="P245" s="5"/>
      <c r="Q245" s="5"/>
      <c r="R245" s="5"/>
      <c r="S245" s="5"/>
    </row>
    <row r="246" spans="1:19" x14ac:dyDescent="0.25">
      <c r="A246" s="5"/>
      <c r="B246" s="5"/>
      <c r="C246" s="5"/>
      <c r="D246" s="5"/>
      <c r="E246" s="5"/>
      <c r="F246" s="5"/>
      <c r="G246" s="5"/>
      <c r="H246" s="5"/>
      <c r="I246" s="5"/>
      <c r="J246" s="5"/>
      <c r="K246" s="5"/>
      <c r="L246" s="5"/>
      <c r="M246" s="5"/>
      <c r="N246" s="5"/>
      <c r="O246" s="5"/>
      <c r="P246" s="5"/>
      <c r="Q246" s="5"/>
      <c r="R246" s="5"/>
      <c r="S246" s="5"/>
    </row>
    <row r="247" spans="1:19" x14ac:dyDescent="0.25">
      <c r="A247" s="5"/>
      <c r="B247" s="5"/>
      <c r="C247" s="5"/>
      <c r="D247" s="5"/>
      <c r="E247" s="5"/>
      <c r="F247" s="5"/>
      <c r="G247" s="5"/>
      <c r="H247" s="5"/>
      <c r="I247" s="5"/>
      <c r="J247" s="5"/>
      <c r="K247" s="5"/>
      <c r="L247" s="5"/>
      <c r="M247" s="5"/>
      <c r="N247" s="5"/>
      <c r="O247" s="5"/>
      <c r="P247" s="5"/>
      <c r="Q247" s="5"/>
      <c r="R247" s="5"/>
      <c r="S247" s="5"/>
    </row>
    <row r="248" spans="1:19" x14ac:dyDescent="0.25">
      <c r="A248" s="5"/>
      <c r="B248" s="5"/>
      <c r="C248" s="5"/>
      <c r="D248" s="5"/>
      <c r="E248" s="5"/>
      <c r="F248" s="5"/>
      <c r="G248" s="5"/>
      <c r="H248" s="5"/>
      <c r="I248" s="5"/>
      <c r="J248" s="5"/>
      <c r="K248" s="5"/>
      <c r="L248" s="5"/>
      <c r="M248" s="5"/>
      <c r="N248" s="5"/>
      <c r="O248" s="5"/>
      <c r="P248" s="5"/>
      <c r="Q248" s="5"/>
      <c r="R248" s="5"/>
      <c r="S248" s="5"/>
    </row>
    <row r="249" spans="1:19" x14ac:dyDescent="0.25">
      <c r="A249" s="5"/>
      <c r="B249" s="5"/>
      <c r="C249" s="5"/>
      <c r="D249" s="5"/>
      <c r="E249" s="5"/>
      <c r="F249" s="5"/>
      <c r="G249" s="5"/>
      <c r="H249" s="5"/>
      <c r="I249" s="5"/>
      <c r="J249" s="5"/>
      <c r="K249" s="5"/>
      <c r="L249" s="5"/>
      <c r="M249" s="5"/>
      <c r="N249" s="5"/>
      <c r="O249" s="5"/>
      <c r="P249" s="5"/>
      <c r="Q249" s="5"/>
      <c r="R249" s="5"/>
      <c r="S249" s="5"/>
    </row>
    <row r="250" spans="1:19" x14ac:dyDescent="0.25">
      <c r="A250" s="5"/>
      <c r="B250" s="5"/>
      <c r="C250" s="5"/>
      <c r="D250" s="5"/>
      <c r="E250" s="5"/>
      <c r="F250" s="5"/>
      <c r="G250" s="5"/>
      <c r="H250" s="5"/>
      <c r="I250" s="5"/>
      <c r="J250" s="5"/>
      <c r="K250" s="5"/>
      <c r="L250" s="5"/>
      <c r="M250" s="5"/>
      <c r="N250" s="5"/>
      <c r="O250" s="5"/>
      <c r="P250" s="5"/>
      <c r="Q250" s="5"/>
      <c r="R250" s="5"/>
      <c r="S250" s="5"/>
    </row>
    <row r="251" spans="1:19" x14ac:dyDescent="0.25">
      <c r="A251" s="5"/>
      <c r="B251" s="5"/>
      <c r="C251" s="5"/>
      <c r="D251" s="5"/>
      <c r="E251" s="5"/>
      <c r="F251" s="5"/>
      <c r="G251" s="5"/>
      <c r="H251" s="5"/>
      <c r="I251" s="5"/>
      <c r="J251" s="5"/>
      <c r="K251" s="5"/>
      <c r="L251" s="5"/>
      <c r="M251" s="5"/>
      <c r="N251" s="5"/>
      <c r="O251" s="5"/>
      <c r="P251" s="5"/>
      <c r="Q251" s="5"/>
      <c r="R251" s="5"/>
      <c r="S251" s="5"/>
    </row>
    <row r="252" spans="1:19" x14ac:dyDescent="0.25">
      <c r="A252" s="5"/>
      <c r="B252" s="5"/>
      <c r="C252" s="5"/>
      <c r="D252" s="5"/>
      <c r="E252" s="5"/>
      <c r="F252" s="5"/>
      <c r="G252" s="5"/>
      <c r="H252" s="5"/>
      <c r="I252" s="5"/>
      <c r="J252" s="5"/>
      <c r="K252" s="5"/>
      <c r="L252" s="5"/>
      <c r="M252" s="5"/>
      <c r="N252" s="5"/>
      <c r="O252" s="5"/>
      <c r="P252" s="5"/>
      <c r="Q252" s="5"/>
      <c r="R252" s="5"/>
      <c r="S252" s="5"/>
    </row>
    <row r="253" spans="1:19" x14ac:dyDescent="0.25">
      <c r="A253" s="5"/>
      <c r="B253" s="5"/>
      <c r="C253" s="5"/>
      <c r="D253" s="5"/>
      <c r="E253" s="5"/>
      <c r="F253" s="5"/>
      <c r="G253" s="5"/>
      <c r="H253" s="5"/>
      <c r="I253" s="5"/>
      <c r="J253" s="5"/>
      <c r="K253" s="5"/>
      <c r="L253" s="5"/>
      <c r="M253" s="5"/>
      <c r="N253" s="5"/>
      <c r="O253" s="5"/>
      <c r="P253" s="5"/>
      <c r="Q253" s="5"/>
      <c r="R253" s="5"/>
      <c r="S253" s="5"/>
    </row>
    <row r="254" spans="1:19" x14ac:dyDescent="0.25">
      <c r="A254" s="5"/>
      <c r="B254" s="5"/>
      <c r="C254" s="5"/>
      <c r="D254" s="5"/>
      <c r="E254" s="5"/>
      <c r="F254" s="5"/>
      <c r="G254" s="5"/>
      <c r="H254" s="5"/>
      <c r="I254" s="5"/>
      <c r="J254" s="5"/>
      <c r="K254" s="5"/>
      <c r="L254" s="5"/>
      <c r="M254" s="5"/>
      <c r="N254" s="5"/>
      <c r="O254" s="5"/>
      <c r="P254" s="5"/>
      <c r="Q254" s="5"/>
      <c r="R254" s="5"/>
      <c r="S254" s="5"/>
    </row>
    <row r="255" spans="1:19" x14ac:dyDescent="0.25">
      <c r="A255" s="5"/>
      <c r="B255" s="5"/>
      <c r="C255" s="5"/>
      <c r="D255" s="5"/>
      <c r="E255" s="5"/>
      <c r="F255" s="5"/>
      <c r="G255" s="5"/>
      <c r="H255" s="5"/>
      <c r="I255" s="5"/>
      <c r="J255" s="5"/>
      <c r="K255" s="5"/>
      <c r="L255" s="5"/>
      <c r="M255" s="5"/>
      <c r="N255" s="5"/>
      <c r="O255" s="5"/>
      <c r="P255" s="5"/>
      <c r="Q255" s="5"/>
      <c r="R255" s="5"/>
      <c r="S255" s="5"/>
    </row>
    <row r="256" spans="1:19" x14ac:dyDescent="0.25">
      <c r="A256" s="5"/>
      <c r="B256" s="5"/>
      <c r="C256" s="5"/>
      <c r="D256" s="5"/>
      <c r="E256" s="5"/>
      <c r="F256" s="5"/>
      <c r="G256" s="5"/>
      <c r="H256" s="5"/>
      <c r="I256" s="5"/>
      <c r="J256" s="5"/>
      <c r="K256" s="5"/>
      <c r="L256" s="5"/>
      <c r="M256" s="5"/>
      <c r="N256" s="5"/>
      <c r="O256" s="5"/>
      <c r="P256" s="5"/>
      <c r="Q256" s="5"/>
      <c r="R256" s="5"/>
      <c r="S256" s="5"/>
    </row>
    <row r="257" spans="1:19" x14ac:dyDescent="0.25">
      <c r="A257" s="5"/>
      <c r="B257" s="5"/>
      <c r="C257" s="5"/>
      <c r="D257" s="5"/>
      <c r="E257" s="5"/>
      <c r="F257" s="5"/>
      <c r="G257" s="5"/>
      <c r="H257" s="5"/>
      <c r="I257" s="5"/>
      <c r="J257" s="5"/>
      <c r="K257" s="5"/>
      <c r="L257" s="5"/>
      <c r="M257" s="5"/>
      <c r="N257" s="5"/>
      <c r="O257" s="5"/>
      <c r="P257" s="5"/>
      <c r="Q257" s="5"/>
      <c r="R257" s="5"/>
      <c r="S257" s="5"/>
    </row>
    <row r="258" spans="1:19" x14ac:dyDescent="0.25">
      <c r="A258" s="5"/>
      <c r="B258" s="5"/>
      <c r="C258" s="5"/>
      <c r="D258" s="5"/>
      <c r="E258" s="5"/>
      <c r="F258" s="5"/>
      <c r="G258" s="5"/>
      <c r="H258" s="5"/>
      <c r="I258" s="5"/>
      <c r="J258" s="5"/>
      <c r="K258" s="5"/>
      <c r="L258" s="5"/>
      <c r="M258" s="5"/>
      <c r="N258" s="5"/>
      <c r="O258" s="5"/>
      <c r="P258" s="5"/>
      <c r="Q258" s="5"/>
      <c r="R258" s="5"/>
      <c r="S258" s="5"/>
    </row>
    <row r="259" spans="1:19" x14ac:dyDescent="0.25">
      <c r="A259" s="5"/>
      <c r="B259" s="5"/>
      <c r="C259" s="5"/>
      <c r="D259" s="5"/>
      <c r="E259" s="5"/>
      <c r="F259" s="5"/>
      <c r="G259" s="5"/>
      <c r="H259" s="5"/>
      <c r="I259" s="5"/>
      <c r="J259" s="5"/>
      <c r="K259" s="5"/>
      <c r="L259" s="5"/>
      <c r="M259" s="5"/>
      <c r="N259" s="5"/>
      <c r="O259" s="5"/>
      <c r="P259" s="5"/>
      <c r="Q259" s="5"/>
      <c r="R259" s="5"/>
      <c r="S259" s="5"/>
    </row>
    <row r="260" spans="1:19" x14ac:dyDescent="0.25">
      <c r="A260" s="5"/>
      <c r="B260" s="5"/>
      <c r="C260" s="5"/>
      <c r="D260" s="5"/>
      <c r="E260" s="5"/>
      <c r="F260" s="5"/>
      <c r="G260" s="5"/>
      <c r="H260" s="5"/>
      <c r="I260" s="5"/>
      <c r="J260" s="5"/>
      <c r="K260" s="5"/>
      <c r="L260" s="5"/>
      <c r="M260" s="5"/>
      <c r="N260" s="5"/>
      <c r="O260" s="5"/>
      <c r="P260" s="5"/>
      <c r="Q260" s="5"/>
      <c r="R260" s="5"/>
      <c r="S260" s="5"/>
    </row>
    <row r="261" spans="1:19" x14ac:dyDescent="0.25">
      <c r="A261" s="5"/>
      <c r="B261" s="5"/>
      <c r="C261" s="5"/>
      <c r="D261" s="5"/>
      <c r="E261" s="5"/>
      <c r="F261" s="5"/>
      <c r="G261" s="5"/>
      <c r="H261" s="5"/>
      <c r="I261" s="5"/>
      <c r="J261" s="5"/>
      <c r="K261" s="5"/>
      <c r="L261" s="5"/>
      <c r="M261" s="5"/>
      <c r="N261" s="5"/>
      <c r="O261" s="5"/>
      <c r="P261" s="5"/>
      <c r="Q261" s="5"/>
      <c r="R261" s="5"/>
      <c r="S261" s="5"/>
    </row>
    <row r="262" spans="1:19" x14ac:dyDescent="0.25">
      <c r="A262" s="5"/>
      <c r="B262" s="5"/>
      <c r="C262" s="5"/>
      <c r="D262" s="5"/>
      <c r="E262" s="5"/>
      <c r="F262" s="5"/>
      <c r="G262" s="5"/>
      <c r="H262" s="5"/>
      <c r="I262" s="5"/>
      <c r="J262" s="5"/>
      <c r="K262" s="5"/>
      <c r="L262" s="5"/>
      <c r="M262" s="5"/>
      <c r="N262" s="5"/>
      <c r="O262" s="5"/>
      <c r="P262" s="5"/>
      <c r="Q262" s="5"/>
      <c r="R262" s="5"/>
      <c r="S262" s="5"/>
    </row>
    <row r="263" spans="1:19" x14ac:dyDescent="0.25">
      <c r="A263" s="5"/>
      <c r="B263" s="5"/>
      <c r="C263" s="5"/>
      <c r="D263" s="5"/>
      <c r="E263" s="5"/>
      <c r="F263" s="5"/>
      <c r="G263" s="5"/>
      <c r="H263" s="5"/>
      <c r="I263" s="5"/>
      <c r="J263" s="5"/>
      <c r="K263" s="5"/>
      <c r="L263" s="5"/>
      <c r="M263" s="5"/>
      <c r="N263" s="5"/>
      <c r="O263" s="5"/>
      <c r="P263" s="5"/>
      <c r="Q263" s="5"/>
      <c r="R263" s="5"/>
      <c r="S263" s="5"/>
    </row>
    <row r="264" spans="1:19" x14ac:dyDescent="0.25">
      <c r="A264" s="5"/>
      <c r="B264" s="5"/>
      <c r="C264" s="5"/>
      <c r="D264" s="5"/>
      <c r="E264" s="5"/>
      <c r="F264" s="5"/>
      <c r="G264" s="5"/>
      <c r="H264" s="5"/>
      <c r="I264" s="5"/>
      <c r="J264" s="5"/>
      <c r="K264" s="5"/>
      <c r="L264" s="5"/>
      <c r="M264" s="5"/>
      <c r="N264" s="5"/>
      <c r="O264" s="5"/>
      <c r="P264" s="5"/>
      <c r="Q264" s="5"/>
      <c r="R264" s="5"/>
      <c r="S264" s="5"/>
    </row>
    <row r="265" spans="1:19" x14ac:dyDescent="0.25">
      <c r="A265" s="5"/>
      <c r="B265" s="5"/>
      <c r="C265" s="5"/>
      <c r="D265" s="5"/>
      <c r="E265" s="5"/>
      <c r="F265" s="5"/>
      <c r="G265" s="5"/>
      <c r="H265" s="5"/>
      <c r="I265" s="5"/>
      <c r="J265" s="5"/>
      <c r="K265" s="5"/>
      <c r="L265" s="5"/>
      <c r="M265" s="5"/>
      <c r="N265" s="5"/>
      <c r="O265" s="5"/>
      <c r="P265" s="5"/>
      <c r="Q265" s="5"/>
      <c r="R265" s="5"/>
      <c r="S265" s="5"/>
    </row>
    <row r="266" spans="1:19" x14ac:dyDescent="0.25">
      <c r="A266" s="5"/>
      <c r="B266" s="5"/>
      <c r="C266" s="5"/>
      <c r="D266" s="5"/>
      <c r="E266" s="5"/>
      <c r="F266" s="5"/>
      <c r="G266" s="5"/>
      <c r="H266" s="5"/>
      <c r="I266" s="5"/>
      <c r="J266" s="5"/>
      <c r="K266" s="5"/>
      <c r="L266" s="5"/>
      <c r="M266" s="5"/>
      <c r="N266" s="5"/>
      <c r="O266" s="5"/>
      <c r="P266" s="5"/>
      <c r="Q266" s="5"/>
      <c r="R266" s="5"/>
      <c r="S266" s="5"/>
    </row>
    <row r="267" spans="1:19" x14ac:dyDescent="0.25">
      <c r="A267" s="5"/>
      <c r="B267" s="5"/>
      <c r="C267" s="5"/>
      <c r="D267" s="5"/>
      <c r="E267" s="5"/>
      <c r="F267" s="5"/>
      <c r="G267" s="5"/>
      <c r="H267" s="5"/>
      <c r="I267" s="5"/>
      <c r="J267" s="5"/>
      <c r="K267" s="5"/>
      <c r="L267" s="5"/>
      <c r="M267" s="5"/>
      <c r="N267" s="5"/>
      <c r="O267" s="5"/>
      <c r="P267" s="5"/>
      <c r="Q267" s="5"/>
      <c r="R267" s="5"/>
      <c r="S267" s="5"/>
    </row>
    <row r="268" spans="1:19" x14ac:dyDescent="0.25">
      <c r="A268" s="5"/>
      <c r="B268" s="5"/>
      <c r="C268" s="5"/>
      <c r="D268" s="5"/>
      <c r="E268" s="5"/>
      <c r="F268" s="5"/>
      <c r="G268" s="5"/>
      <c r="H268" s="5"/>
      <c r="I268" s="5"/>
      <c r="J268" s="5"/>
      <c r="K268" s="5"/>
      <c r="L268" s="5"/>
      <c r="M268" s="5"/>
      <c r="N268" s="5"/>
      <c r="O268" s="5"/>
      <c r="P268" s="5"/>
      <c r="Q268" s="5"/>
      <c r="R268" s="5"/>
      <c r="S268" s="5"/>
    </row>
    <row r="269" spans="1:19" x14ac:dyDescent="0.25">
      <c r="A269" s="5"/>
      <c r="B269" s="5"/>
      <c r="C269" s="5"/>
      <c r="D269" s="5"/>
      <c r="E269" s="5"/>
      <c r="F269" s="5"/>
      <c r="G269" s="5"/>
      <c r="H269" s="5"/>
      <c r="I269" s="5"/>
      <c r="J269" s="5"/>
      <c r="K269" s="5"/>
      <c r="L269" s="5"/>
      <c r="M269" s="5"/>
      <c r="N269" s="5"/>
      <c r="O269" s="5"/>
      <c r="P269" s="5"/>
      <c r="Q269" s="5"/>
      <c r="R269" s="5"/>
      <c r="S269" s="5"/>
    </row>
    <row r="270" spans="1:19" x14ac:dyDescent="0.25">
      <c r="A270" s="5"/>
      <c r="B270" s="5"/>
      <c r="C270" s="5"/>
      <c r="D270" s="5"/>
      <c r="E270" s="5"/>
      <c r="F270" s="5"/>
      <c r="G270" s="5"/>
      <c r="H270" s="5"/>
      <c r="I270" s="5"/>
      <c r="J270" s="5"/>
      <c r="K270" s="5"/>
      <c r="L270" s="5"/>
      <c r="M270" s="5"/>
      <c r="N270" s="5"/>
      <c r="O270" s="5"/>
      <c r="P270" s="5"/>
      <c r="Q270" s="5"/>
      <c r="R270" s="5"/>
      <c r="S270" s="5"/>
    </row>
    <row r="271" spans="1:19" x14ac:dyDescent="0.25">
      <c r="A271" s="5"/>
      <c r="B271" s="5"/>
      <c r="C271" s="5"/>
      <c r="D271" s="5"/>
      <c r="E271" s="5"/>
      <c r="F271" s="5"/>
      <c r="G271" s="5"/>
      <c r="H271" s="5"/>
      <c r="I271" s="5"/>
      <c r="J271" s="5"/>
      <c r="K271" s="5"/>
      <c r="L271" s="5"/>
      <c r="M271" s="5"/>
      <c r="N271" s="5"/>
      <c r="O271" s="5"/>
      <c r="P271" s="5"/>
      <c r="Q271" s="5"/>
      <c r="R271" s="5"/>
      <c r="S271" s="5"/>
    </row>
    <row r="272" spans="1:19" x14ac:dyDescent="0.25">
      <c r="A272" s="5"/>
      <c r="B272" s="5"/>
      <c r="C272" s="5"/>
      <c r="D272" s="5"/>
      <c r="E272" s="5"/>
      <c r="F272" s="5"/>
      <c r="G272" s="5"/>
      <c r="H272" s="5"/>
      <c r="I272" s="5"/>
      <c r="J272" s="5"/>
      <c r="K272" s="5"/>
      <c r="L272" s="5"/>
      <c r="M272" s="5"/>
      <c r="N272" s="5"/>
      <c r="O272" s="5"/>
      <c r="P272" s="5"/>
      <c r="Q272" s="5"/>
      <c r="R272" s="5"/>
      <c r="S272" s="5"/>
    </row>
    <row r="273" spans="1:19" x14ac:dyDescent="0.25">
      <c r="A273" s="5"/>
      <c r="B273" s="5"/>
      <c r="C273" s="5"/>
      <c r="D273" s="5"/>
      <c r="E273" s="5"/>
      <c r="F273" s="5"/>
      <c r="G273" s="5"/>
      <c r="H273" s="5"/>
      <c r="I273" s="5"/>
      <c r="J273" s="5"/>
      <c r="K273" s="5"/>
      <c r="L273" s="5"/>
      <c r="M273" s="5"/>
      <c r="N273" s="5"/>
      <c r="O273" s="5"/>
      <c r="P273" s="5"/>
      <c r="Q273" s="5"/>
      <c r="R273" s="5"/>
      <c r="S273" s="5"/>
    </row>
    <row r="274" spans="1:19" x14ac:dyDescent="0.25">
      <c r="A274" s="5"/>
      <c r="B274" s="5"/>
      <c r="C274" s="5"/>
      <c r="D274" s="5"/>
      <c r="E274" s="5"/>
      <c r="F274" s="5"/>
      <c r="G274" s="5"/>
      <c r="H274" s="5"/>
      <c r="I274" s="5"/>
      <c r="J274" s="5"/>
      <c r="K274" s="5"/>
      <c r="L274" s="5"/>
      <c r="M274" s="5"/>
      <c r="N274" s="5"/>
      <c r="O274" s="5"/>
      <c r="P274" s="5"/>
      <c r="Q274" s="5"/>
      <c r="R274" s="5"/>
      <c r="S274" s="5"/>
    </row>
    <row r="275" spans="1:19" x14ac:dyDescent="0.25">
      <c r="A275" s="5"/>
      <c r="B275" s="5"/>
      <c r="C275" s="5"/>
      <c r="D275" s="5"/>
      <c r="E275" s="5"/>
      <c r="F275" s="5"/>
      <c r="G275" s="5"/>
      <c r="H275" s="5"/>
      <c r="I275" s="5"/>
      <c r="J275" s="5"/>
      <c r="K275" s="5"/>
      <c r="L275" s="5"/>
      <c r="M275" s="5"/>
      <c r="N275" s="5"/>
      <c r="O275" s="5"/>
      <c r="P275" s="5"/>
      <c r="Q275" s="5"/>
      <c r="R275" s="5"/>
      <c r="S275" s="5"/>
    </row>
    <row r="276" spans="1:19" x14ac:dyDescent="0.25">
      <c r="A276" s="5"/>
      <c r="B276" s="5"/>
      <c r="C276" s="5"/>
      <c r="D276" s="5"/>
      <c r="E276" s="5"/>
      <c r="F276" s="5"/>
      <c r="G276" s="5"/>
      <c r="H276" s="5"/>
      <c r="I276" s="5"/>
      <c r="J276" s="5"/>
      <c r="K276" s="5"/>
      <c r="L276" s="5"/>
      <c r="M276" s="5"/>
      <c r="N276" s="5"/>
      <c r="O276" s="5"/>
      <c r="P276" s="5"/>
      <c r="Q276" s="5"/>
      <c r="R276" s="5"/>
      <c r="S276" s="5"/>
    </row>
    <row r="277" spans="1:19" x14ac:dyDescent="0.25">
      <c r="A277" s="5"/>
      <c r="B277" s="5"/>
      <c r="C277" s="5"/>
      <c r="D277" s="5"/>
      <c r="E277" s="5"/>
      <c r="F277" s="5"/>
      <c r="G277" s="5"/>
      <c r="H277" s="5"/>
      <c r="I277" s="5"/>
      <c r="J277" s="5"/>
      <c r="K277" s="5"/>
      <c r="L277" s="5"/>
      <c r="M277" s="5"/>
      <c r="N277" s="5"/>
      <c r="O277" s="5"/>
      <c r="P277" s="5"/>
      <c r="Q277" s="5"/>
      <c r="R277" s="5"/>
      <c r="S277" s="5"/>
    </row>
    <row r="278" spans="1:19" x14ac:dyDescent="0.25">
      <c r="A278" s="5"/>
      <c r="B278" s="5"/>
      <c r="C278" s="5"/>
      <c r="D278" s="5"/>
      <c r="E278" s="5"/>
      <c r="F278" s="5"/>
      <c r="G278" s="5"/>
      <c r="H278" s="5"/>
      <c r="I278" s="5"/>
      <c r="J278" s="5"/>
      <c r="K278" s="5"/>
      <c r="L278" s="5"/>
      <c r="M278" s="5"/>
      <c r="N278" s="5"/>
      <c r="O278" s="5"/>
      <c r="P278" s="5"/>
      <c r="Q278" s="5"/>
      <c r="R278" s="5"/>
      <c r="S278" s="5"/>
    </row>
    <row r="279" spans="1:19" x14ac:dyDescent="0.25">
      <c r="A279" s="5"/>
      <c r="B279" s="5"/>
      <c r="C279" s="5"/>
      <c r="D279" s="5"/>
      <c r="E279" s="5"/>
      <c r="F279" s="5"/>
      <c r="G279" s="5"/>
      <c r="H279" s="5"/>
      <c r="I279" s="5"/>
      <c r="J279" s="5"/>
      <c r="K279" s="5"/>
      <c r="L279" s="5"/>
      <c r="M279" s="5"/>
      <c r="N279" s="5"/>
      <c r="O279" s="5"/>
      <c r="P279" s="5"/>
      <c r="Q279" s="5"/>
      <c r="R279" s="5"/>
      <c r="S279" s="5"/>
    </row>
    <row r="280" spans="1:19" x14ac:dyDescent="0.25">
      <c r="A280" s="5"/>
      <c r="B280" s="5"/>
      <c r="C280" s="5"/>
      <c r="D280" s="5"/>
      <c r="E280" s="5"/>
      <c r="F280" s="5"/>
      <c r="G280" s="5"/>
      <c r="H280" s="5"/>
      <c r="I280" s="5"/>
      <c r="J280" s="5"/>
      <c r="K280" s="5"/>
      <c r="L280" s="5"/>
      <c r="M280" s="5"/>
      <c r="N280" s="5"/>
      <c r="O280" s="5"/>
      <c r="P280" s="5"/>
      <c r="Q280" s="5"/>
      <c r="R280" s="5"/>
      <c r="S280" s="5"/>
    </row>
    <row r="281" spans="1:19" x14ac:dyDescent="0.25">
      <c r="A281" s="5"/>
      <c r="B281" s="5"/>
      <c r="C281" s="5"/>
      <c r="D281" s="5"/>
      <c r="E281" s="5"/>
      <c r="F281" s="5"/>
      <c r="G281" s="5"/>
      <c r="H281" s="5"/>
      <c r="I281" s="5"/>
      <c r="J281" s="5"/>
      <c r="K281" s="5"/>
      <c r="L281" s="5"/>
      <c r="M281" s="5"/>
      <c r="N281" s="5"/>
      <c r="O281" s="5"/>
      <c r="P281" s="5"/>
      <c r="Q281" s="5"/>
      <c r="R281" s="5"/>
      <c r="S281" s="5"/>
    </row>
    <row r="282" spans="1:19" x14ac:dyDescent="0.25">
      <c r="A282" s="5"/>
      <c r="B282" s="5"/>
      <c r="C282" s="5"/>
      <c r="D282" s="5"/>
      <c r="E282" s="5"/>
      <c r="F282" s="5"/>
      <c r="G282" s="5"/>
      <c r="H282" s="5"/>
      <c r="I282" s="5"/>
      <c r="J282" s="5"/>
      <c r="K282" s="5"/>
      <c r="L282" s="5"/>
      <c r="M282" s="5"/>
      <c r="N282" s="5"/>
      <c r="O282" s="5"/>
      <c r="P282" s="5"/>
      <c r="Q282" s="5"/>
      <c r="R282" s="5"/>
      <c r="S282" s="5"/>
    </row>
    <row r="283" spans="1:19" x14ac:dyDescent="0.25">
      <c r="A283" s="5"/>
      <c r="B283" s="5"/>
      <c r="C283" s="5"/>
      <c r="D283" s="5"/>
      <c r="E283" s="5"/>
      <c r="F283" s="5"/>
      <c r="G283" s="5"/>
      <c r="H283" s="5"/>
      <c r="I283" s="5"/>
      <c r="J283" s="5"/>
      <c r="K283" s="5"/>
      <c r="L283" s="5"/>
      <c r="M283" s="5"/>
      <c r="N283" s="5"/>
      <c r="O283" s="5"/>
      <c r="P283" s="5"/>
      <c r="Q283" s="5"/>
      <c r="R283" s="5"/>
      <c r="S283" s="5"/>
    </row>
    <row r="284" spans="1:19" x14ac:dyDescent="0.25">
      <c r="A284" s="5"/>
      <c r="B284" s="5"/>
      <c r="C284" s="5"/>
      <c r="D284" s="5"/>
      <c r="E284" s="5"/>
      <c r="F284" s="5"/>
      <c r="G284" s="5"/>
      <c r="H284" s="5"/>
      <c r="I284" s="5"/>
      <c r="J284" s="5"/>
      <c r="K284" s="5"/>
      <c r="L284" s="5"/>
      <c r="M284" s="5"/>
      <c r="N284" s="5"/>
      <c r="O284" s="5"/>
      <c r="P284" s="5"/>
      <c r="Q284" s="5"/>
      <c r="R284" s="5"/>
      <c r="S284" s="5"/>
    </row>
    <row r="285" spans="1:19" x14ac:dyDescent="0.25">
      <c r="A285" s="5"/>
      <c r="B285" s="5"/>
      <c r="C285" s="5"/>
      <c r="D285" s="5"/>
      <c r="E285" s="5"/>
      <c r="F285" s="5"/>
      <c r="G285" s="5"/>
      <c r="H285" s="5"/>
      <c r="I285" s="5"/>
      <c r="J285" s="5"/>
      <c r="K285" s="5"/>
      <c r="L285" s="5"/>
      <c r="M285" s="5"/>
      <c r="N285" s="5"/>
      <c r="O285" s="5"/>
      <c r="P285" s="5"/>
      <c r="Q285" s="5"/>
      <c r="R285" s="5"/>
      <c r="S285" s="5"/>
    </row>
    <row r="286" spans="1:19" x14ac:dyDescent="0.25">
      <c r="A286" s="5"/>
      <c r="B286" s="5"/>
      <c r="C286" s="5"/>
      <c r="D286" s="5"/>
      <c r="E286" s="5"/>
      <c r="F286" s="5"/>
      <c r="G286" s="5"/>
      <c r="H286" s="5"/>
      <c r="I286" s="5"/>
      <c r="J286" s="5"/>
      <c r="K286" s="5"/>
      <c r="L286" s="5"/>
      <c r="M286" s="5"/>
      <c r="N286" s="5"/>
      <c r="O286" s="5"/>
      <c r="P286" s="5"/>
      <c r="Q286" s="5"/>
      <c r="R286" s="5"/>
      <c r="S286" s="5"/>
    </row>
    <row r="287" spans="1:19" x14ac:dyDescent="0.25">
      <c r="A287" s="5"/>
      <c r="B287" s="5"/>
      <c r="C287" s="5"/>
      <c r="D287" s="5"/>
      <c r="E287" s="5"/>
      <c r="F287" s="5"/>
      <c r="G287" s="5"/>
      <c r="H287" s="5"/>
      <c r="I287" s="5"/>
      <c r="J287" s="5"/>
      <c r="K287" s="5"/>
      <c r="L287" s="5"/>
      <c r="M287" s="5"/>
      <c r="N287" s="5"/>
      <c r="O287" s="5"/>
      <c r="P287" s="5"/>
      <c r="Q287" s="5"/>
      <c r="R287" s="5"/>
      <c r="S287" s="5"/>
    </row>
    <row r="288" spans="1:19" x14ac:dyDescent="0.25">
      <c r="A288" s="5"/>
      <c r="B288" s="5"/>
      <c r="C288" s="5"/>
      <c r="D288" s="5"/>
      <c r="E288" s="5"/>
      <c r="F288" s="5"/>
      <c r="G288" s="5"/>
      <c r="H288" s="5"/>
      <c r="I288" s="5"/>
      <c r="J288" s="5"/>
      <c r="K288" s="5"/>
      <c r="L288" s="5"/>
      <c r="M288" s="5"/>
      <c r="N288" s="5"/>
      <c r="O288" s="5"/>
      <c r="P288" s="5"/>
      <c r="Q288" s="5"/>
      <c r="R288" s="5"/>
      <c r="S288" s="5"/>
    </row>
    <row r="289" spans="1:19" x14ac:dyDescent="0.25">
      <c r="A289" s="5"/>
      <c r="B289" s="5"/>
      <c r="C289" s="5"/>
      <c r="D289" s="5"/>
      <c r="E289" s="5"/>
      <c r="F289" s="5"/>
      <c r="G289" s="5"/>
      <c r="H289" s="5"/>
      <c r="I289" s="5"/>
      <c r="J289" s="5"/>
      <c r="K289" s="5"/>
      <c r="L289" s="5"/>
      <c r="M289" s="5"/>
      <c r="N289" s="5"/>
      <c r="O289" s="5"/>
      <c r="P289" s="5"/>
      <c r="Q289" s="5"/>
      <c r="R289" s="5"/>
      <c r="S289" s="5"/>
    </row>
    <row r="290" spans="1:19" x14ac:dyDescent="0.25">
      <c r="A290" s="5"/>
      <c r="B290" s="5"/>
      <c r="C290" s="5"/>
      <c r="D290" s="5"/>
      <c r="E290" s="5"/>
      <c r="F290" s="5"/>
      <c r="G290" s="5"/>
      <c r="H290" s="5"/>
      <c r="I290" s="5"/>
      <c r="J290" s="5"/>
      <c r="K290" s="5"/>
      <c r="L290" s="5"/>
      <c r="M290" s="5"/>
      <c r="N290" s="5"/>
      <c r="O290" s="5"/>
      <c r="P290" s="5"/>
      <c r="Q290" s="5"/>
      <c r="R290" s="5"/>
      <c r="S290" s="5"/>
    </row>
    <row r="291" spans="1:19" x14ac:dyDescent="0.25">
      <c r="A291" s="5"/>
      <c r="B291" s="5"/>
      <c r="C291" s="5"/>
      <c r="D291" s="5"/>
      <c r="E291" s="5"/>
      <c r="F291" s="5"/>
      <c r="G291" s="5"/>
      <c r="H291" s="5"/>
      <c r="I291" s="5"/>
      <c r="J291" s="5"/>
      <c r="K291" s="5"/>
      <c r="L291" s="5"/>
      <c r="M291" s="5"/>
      <c r="N291" s="5"/>
      <c r="O291" s="5"/>
      <c r="P291" s="5"/>
      <c r="Q291" s="5"/>
      <c r="R291" s="5"/>
      <c r="S291" s="5"/>
    </row>
    <row r="292" spans="1:19" x14ac:dyDescent="0.25">
      <c r="A292" s="5"/>
      <c r="B292" s="5"/>
      <c r="C292" s="5"/>
      <c r="D292" s="5"/>
      <c r="E292" s="5"/>
      <c r="F292" s="5"/>
      <c r="G292" s="5"/>
      <c r="H292" s="5"/>
      <c r="I292" s="5"/>
      <c r="J292" s="5"/>
      <c r="K292" s="5"/>
      <c r="L292" s="5"/>
      <c r="M292" s="5"/>
      <c r="N292" s="5"/>
      <c r="O292" s="5"/>
      <c r="P292" s="5"/>
      <c r="Q292" s="5"/>
      <c r="R292" s="5"/>
      <c r="S292" s="5"/>
    </row>
    <row r="293" spans="1:19" x14ac:dyDescent="0.25">
      <c r="A293" s="5"/>
      <c r="B293" s="5"/>
      <c r="C293" s="5"/>
      <c r="D293" s="5"/>
      <c r="E293" s="5"/>
      <c r="F293" s="5"/>
      <c r="G293" s="5"/>
      <c r="H293" s="5"/>
      <c r="I293" s="5"/>
      <c r="J293" s="5"/>
      <c r="K293" s="5"/>
      <c r="L293" s="5"/>
      <c r="M293" s="5"/>
      <c r="N293" s="5"/>
      <c r="O293" s="5"/>
      <c r="P293" s="5"/>
      <c r="Q293" s="5"/>
      <c r="R293" s="5"/>
      <c r="S293" s="5"/>
    </row>
    <row r="294" spans="1:19" x14ac:dyDescent="0.25">
      <c r="A294" s="5"/>
      <c r="B294" s="5"/>
      <c r="C294" s="5"/>
      <c r="D294" s="5"/>
      <c r="E294" s="5"/>
      <c r="F294" s="5"/>
      <c r="G294" s="5"/>
      <c r="H294" s="5"/>
      <c r="I294" s="5"/>
      <c r="J294" s="5"/>
      <c r="K294" s="5"/>
      <c r="L294" s="5"/>
      <c r="M294" s="5"/>
      <c r="N294" s="5"/>
      <c r="O294" s="5"/>
      <c r="P294" s="5"/>
      <c r="Q294" s="5"/>
      <c r="R294" s="5"/>
      <c r="S294" s="5"/>
    </row>
    <row r="295" spans="1:19" x14ac:dyDescent="0.25">
      <c r="A295" s="5"/>
      <c r="B295" s="5"/>
      <c r="C295" s="5"/>
      <c r="D295" s="5"/>
      <c r="E295" s="5"/>
      <c r="F295" s="5"/>
      <c r="G295" s="5"/>
      <c r="H295" s="5"/>
      <c r="I295" s="5"/>
      <c r="J295" s="5"/>
      <c r="K295" s="5"/>
      <c r="L295" s="5"/>
      <c r="M295" s="5"/>
      <c r="N295" s="5"/>
      <c r="O295" s="5"/>
      <c r="P295" s="5"/>
      <c r="Q295" s="5"/>
      <c r="R295" s="5"/>
      <c r="S295" s="5"/>
    </row>
    <row r="296" spans="1:19" x14ac:dyDescent="0.25">
      <c r="A296" s="5"/>
      <c r="B296" s="5"/>
      <c r="C296" s="5"/>
      <c r="D296" s="5"/>
      <c r="E296" s="5"/>
      <c r="F296" s="5"/>
      <c r="G296" s="5"/>
      <c r="H296" s="5"/>
      <c r="I296" s="5"/>
      <c r="J296" s="5"/>
      <c r="K296" s="5"/>
      <c r="L296" s="5"/>
      <c r="M296" s="5"/>
      <c r="N296" s="5"/>
      <c r="O296" s="5"/>
      <c r="P296" s="5"/>
      <c r="Q296" s="5"/>
      <c r="R296" s="5"/>
      <c r="S296" s="5"/>
    </row>
    <row r="297" spans="1:19" x14ac:dyDescent="0.25">
      <c r="A297" s="5"/>
      <c r="B297" s="5"/>
      <c r="C297" s="5"/>
      <c r="D297" s="5"/>
      <c r="E297" s="5"/>
      <c r="F297" s="5"/>
      <c r="G297" s="5"/>
      <c r="H297" s="5"/>
      <c r="I297" s="5"/>
      <c r="J297" s="5"/>
      <c r="K297" s="5"/>
      <c r="L297" s="5"/>
      <c r="M297" s="5"/>
      <c r="N297" s="5"/>
      <c r="O297" s="5"/>
      <c r="P297" s="5"/>
      <c r="Q297" s="5"/>
      <c r="R297" s="5"/>
      <c r="S297" s="5"/>
    </row>
    <row r="298" spans="1:19" x14ac:dyDescent="0.25">
      <c r="A298" s="5"/>
      <c r="B298" s="5"/>
      <c r="C298" s="5"/>
      <c r="D298" s="5"/>
      <c r="E298" s="5"/>
      <c r="F298" s="5"/>
      <c r="G298" s="5"/>
      <c r="H298" s="5"/>
      <c r="I298" s="5"/>
      <c r="J298" s="5"/>
      <c r="K298" s="5"/>
      <c r="L298" s="5"/>
      <c r="M298" s="5"/>
      <c r="N298" s="5"/>
      <c r="O298" s="5"/>
      <c r="P298" s="5"/>
      <c r="Q298" s="5"/>
      <c r="R298" s="5"/>
      <c r="S298" s="5"/>
    </row>
    <row r="299" spans="1:19" x14ac:dyDescent="0.25">
      <c r="A299" s="5"/>
      <c r="B299" s="5"/>
      <c r="C299" s="5"/>
      <c r="D299" s="5"/>
      <c r="E299" s="5"/>
      <c r="F299" s="5"/>
      <c r="G299" s="5"/>
      <c r="H299" s="5"/>
      <c r="I299" s="5"/>
      <c r="J299" s="5"/>
      <c r="K299" s="5"/>
      <c r="L299" s="5"/>
      <c r="M299" s="5"/>
      <c r="N299" s="5"/>
      <c r="O299" s="5"/>
      <c r="P299" s="5"/>
      <c r="Q299" s="5"/>
      <c r="R299" s="5"/>
      <c r="S299" s="5"/>
    </row>
    <row r="300" spans="1:19" x14ac:dyDescent="0.25">
      <c r="A300" s="5"/>
      <c r="B300" s="5"/>
      <c r="C300" s="5"/>
      <c r="D300" s="5"/>
      <c r="E300" s="5"/>
      <c r="F300" s="5"/>
      <c r="G300" s="5"/>
      <c r="H300" s="5"/>
      <c r="I300" s="5"/>
      <c r="J300" s="5"/>
      <c r="K300" s="5"/>
      <c r="L300" s="5"/>
      <c r="M300" s="5"/>
      <c r="N300" s="5"/>
      <c r="O300" s="5"/>
      <c r="P300" s="5"/>
      <c r="Q300" s="5"/>
      <c r="R300" s="5"/>
      <c r="S300" s="5"/>
    </row>
    <row r="301" spans="1:19" x14ac:dyDescent="0.25">
      <c r="A301" s="5"/>
      <c r="B301" s="5"/>
      <c r="C301" s="5"/>
      <c r="D301" s="5"/>
      <c r="E301" s="5"/>
      <c r="F301" s="5"/>
      <c r="G301" s="5"/>
      <c r="H301" s="5"/>
      <c r="I301" s="5"/>
      <c r="J301" s="5"/>
      <c r="K301" s="5"/>
      <c r="L301" s="5"/>
      <c r="M301" s="5"/>
      <c r="N301" s="5"/>
      <c r="O301" s="5"/>
      <c r="P301" s="5"/>
      <c r="Q301" s="5"/>
      <c r="R301" s="5"/>
      <c r="S301" s="5"/>
    </row>
    <row r="302" spans="1:19" x14ac:dyDescent="0.25">
      <c r="A302" s="5"/>
      <c r="B302" s="5"/>
      <c r="C302" s="5"/>
      <c r="D302" s="5"/>
      <c r="E302" s="5"/>
      <c r="F302" s="5"/>
      <c r="G302" s="5"/>
      <c r="H302" s="5"/>
      <c r="I302" s="5"/>
      <c r="J302" s="5"/>
      <c r="K302" s="5"/>
      <c r="L302" s="5"/>
      <c r="M302" s="5"/>
      <c r="N302" s="5"/>
      <c r="O302" s="5"/>
      <c r="P302" s="5"/>
      <c r="Q302" s="5"/>
      <c r="R302" s="5"/>
      <c r="S302" s="5"/>
    </row>
    <row r="303" spans="1:19" x14ac:dyDescent="0.25">
      <c r="A303" s="5"/>
      <c r="B303" s="5"/>
      <c r="C303" s="5"/>
      <c r="D303" s="5"/>
      <c r="E303" s="5"/>
      <c r="F303" s="5"/>
      <c r="G303" s="5"/>
      <c r="H303" s="5"/>
      <c r="I303" s="5"/>
      <c r="J303" s="5"/>
      <c r="K303" s="5"/>
      <c r="L303" s="5"/>
      <c r="M303" s="5"/>
      <c r="N303" s="5"/>
      <c r="O303" s="5"/>
      <c r="P303" s="5"/>
      <c r="Q303" s="5"/>
      <c r="R303" s="5"/>
      <c r="S303" s="5"/>
    </row>
    <row r="304" spans="1:19" x14ac:dyDescent="0.25">
      <c r="A304" s="5"/>
      <c r="B304" s="5"/>
      <c r="C304" s="5"/>
      <c r="D304" s="5"/>
      <c r="E304" s="5"/>
      <c r="F304" s="5"/>
      <c r="G304" s="5"/>
      <c r="H304" s="5"/>
      <c r="I304" s="5"/>
      <c r="J304" s="5"/>
      <c r="K304" s="5"/>
      <c r="L304" s="5"/>
      <c r="M304" s="5"/>
      <c r="N304" s="5"/>
      <c r="O304" s="5"/>
      <c r="P304" s="5"/>
      <c r="Q304" s="5"/>
      <c r="R304" s="5"/>
      <c r="S304" s="5"/>
    </row>
    <row r="305" spans="1:19" x14ac:dyDescent="0.25">
      <c r="A305" s="5"/>
      <c r="B305" s="5"/>
      <c r="C305" s="5"/>
      <c r="D305" s="5"/>
      <c r="E305" s="5"/>
      <c r="F305" s="5"/>
      <c r="G305" s="5"/>
      <c r="H305" s="5"/>
      <c r="I305" s="5"/>
      <c r="J305" s="5"/>
      <c r="K305" s="5"/>
      <c r="L305" s="5"/>
      <c r="M305" s="5"/>
      <c r="N305" s="5"/>
      <c r="O305" s="5"/>
      <c r="P305" s="5"/>
      <c r="Q305" s="5"/>
      <c r="R305" s="5"/>
      <c r="S305" s="5"/>
    </row>
    <row r="306" spans="1:19" x14ac:dyDescent="0.25">
      <c r="A306" s="5"/>
      <c r="B306" s="5"/>
      <c r="C306" s="5"/>
      <c r="D306" s="5"/>
      <c r="E306" s="5"/>
      <c r="F306" s="5"/>
      <c r="G306" s="5"/>
      <c r="H306" s="5"/>
      <c r="I306" s="5"/>
      <c r="J306" s="5"/>
      <c r="K306" s="5"/>
      <c r="L306" s="5"/>
      <c r="M306" s="5"/>
      <c r="N306" s="5"/>
      <c r="O306" s="5"/>
      <c r="P306" s="5"/>
      <c r="Q306" s="5"/>
      <c r="R306" s="5"/>
      <c r="S306" s="5"/>
    </row>
    <row r="307" spans="1:19" x14ac:dyDescent="0.25">
      <c r="A307" s="5"/>
      <c r="B307" s="5"/>
      <c r="C307" s="5"/>
      <c r="D307" s="5"/>
      <c r="E307" s="5"/>
      <c r="F307" s="5"/>
      <c r="G307" s="5"/>
      <c r="H307" s="5"/>
      <c r="I307" s="5"/>
      <c r="J307" s="5"/>
      <c r="K307" s="5"/>
      <c r="L307" s="5"/>
      <c r="M307" s="5"/>
      <c r="N307" s="5"/>
      <c r="O307" s="5"/>
      <c r="P307" s="5"/>
      <c r="Q307" s="5"/>
      <c r="R307" s="5"/>
      <c r="S307" s="5"/>
    </row>
    <row r="308" spans="1:19" x14ac:dyDescent="0.25">
      <c r="A308" s="5"/>
      <c r="B308" s="5"/>
      <c r="C308" s="5"/>
      <c r="D308" s="5"/>
      <c r="E308" s="5"/>
      <c r="F308" s="5"/>
      <c r="G308" s="5"/>
      <c r="H308" s="5"/>
      <c r="I308" s="5"/>
      <c r="J308" s="5"/>
      <c r="K308" s="5"/>
      <c r="L308" s="5"/>
      <c r="M308" s="5"/>
      <c r="N308" s="5"/>
      <c r="O308" s="5"/>
      <c r="P308" s="5"/>
      <c r="Q308" s="5"/>
      <c r="R308" s="5"/>
      <c r="S308" s="5"/>
    </row>
    <row r="309" spans="1:19" x14ac:dyDescent="0.25">
      <c r="A309" s="5"/>
      <c r="B309" s="5"/>
      <c r="C309" s="5"/>
      <c r="D309" s="5"/>
      <c r="E309" s="5"/>
      <c r="F309" s="5"/>
      <c r="G309" s="5"/>
      <c r="H309" s="5"/>
      <c r="I309" s="5"/>
      <c r="J309" s="5"/>
      <c r="K309" s="5"/>
      <c r="L309" s="5"/>
      <c r="M309" s="5"/>
      <c r="N309" s="5"/>
      <c r="O309" s="5"/>
      <c r="P309" s="5"/>
      <c r="Q309" s="5"/>
      <c r="R309" s="5"/>
      <c r="S309" s="5"/>
    </row>
    <row r="310" spans="1:19" x14ac:dyDescent="0.25">
      <c r="A310" s="5"/>
      <c r="B310" s="5"/>
      <c r="C310" s="5"/>
      <c r="D310" s="5"/>
      <c r="E310" s="5"/>
      <c r="F310" s="5"/>
      <c r="G310" s="5"/>
      <c r="H310" s="5"/>
      <c r="I310" s="5"/>
      <c r="J310" s="5"/>
      <c r="K310" s="5"/>
      <c r="L310" s="5"/>
      <c r="M310" s="5"/>
      <c r="N310" s="5"/>
      <c r="O310" s="5"/>
      <c r="P310" s="5"/>
      <c r="Q310" s="5"/>
      <c r="R310" s="5"/>
      <c r="S310" s="5"/>
    </row>
    <row r="311" spans="1:19" x14ac:dyDescent="0.25">
      <c r="A311" s="5"/>
      <c r="B311" s="5"/>
      <c r="C311" s="5"/>
      <c r="D311" s="5"/>
      <c r="E311" s="5"/>
      <c r="F311" s="5"/>
      <c r="G311" s="5"/>
      <c r="H311" s="5"/>
      <c r="I311" s="5"/>
      <c r="J311" s="5"/>
      <c r="K311" s="5"/>
      <c r="L311" s="5"/>
      <c r="M311" s="5"/>
      <c r="N311" s="5"/>
      <c r="O311" s="5"/>
      <c r="P311" s="5"/>
      <c r="Q311" s="5"/>
      <c r="R311" s="5"/>
      <c r="S311" s="5"/>
    </row>
    <row r="312" spans="1:19" x14ac:dyDescent="0.25">
      <c r="A312" s="5"/>
      <c r="B312" s="5"/>
      <c r="C312" s="5"/>
      <c r="D312" s="5"/>
      <c r="E312" s="5"/>
      <c r="F312" s="5"/>
      <c r="G312" s="5"/>
      <c r="H312" s="5"/>
      <c r="I312" s="5"/>
      <c r="J312" s="5"/>
      <c r="K312" s="5"/>
      <c r="L312" s="5"/>
      <c r="M312" s="5"/>
      <c r="N312" s="5"/>
      <c r="O312" s="5"/>
      <c r="P312" s="5"/>
      <c r="Q312" s="5"/>
      <c r="R312" s="5"/>
      <c r="S312" s="5"/>
    </row>
    <row r="313" spans="1:19" x14ac:dyDescent="0.25">
      <c r="A313" s="5"/>
      <c r="B313" s="5"/>
      <c r="C313" s="5"/>
      <c r="D313" s="5"/>
      <c r="E313" s="5"/>
      <c r="F313" s="5"/>
      <c r="G313" s="5"/>
      <c r="H313" s="5"/>
      <c r="I313" s="5"/>
      <c r="J313" s="5"/>
      <c r="K313" s="5"/>
      <c r="L313" s="5"/>
      <c r="M313" s="5"/>
      <c r="N313" s="5"/>
      <c r="O313" s="5"/>
      <c r="P313" s="5"/>
      <c r="Q313" s="5"/>
      <c r="R313" s="5"/>
      <c r="S313" s="5"/>
    </row>
    <row r="314" spans="1:19" x14ac:dyDescent="0.25">
      <c r="A314" s="5"/>
      <c r="B314" s="5"/>
      <c r="C314" s="5"/>
      <c r="D314" s="5"/>
      <c r="E314" s="5"/>
      <c r="F314" s="5"/>
      <c r="G314" s="5"/>
      <c r="H314" s="5"/>
      <c r="I314" s="5"/>
      <c r="J314" s="5"/>
      <c r="K314" s="5"/>
      <c r="L314" s="5"/>
      <c r="M314" s="5"/>
      <c r="N314" s="5"/>
      <c r="O314" s="5"/>
      <c r="P314" s="5"/>
      <c r="Q314" s="5"/>
      <c r="R314" s="5"/>
      <c r="S314" s="5"/>
    </row>
    <row r="315" spans="1:19" x14ac:dyDescent="0.25">
      <c r="A315" s="5"/>
      <c r="B315" s="5"/>
      <c r="C315" s="5"/>
      <c r="D315" s="5"/>
      <c r="E315" s="5"/>
      <c r="F315" s="5"/>
      <c r="G315" s="5"/>
      <c r="H315" s="5"/>
      <c r="I315" s="5"/>
      <c r="J315" s="5"/>
      <c r="K315" s="5"/>
      <c r="L315" s="5"/>
      <c r="M315" s="5"/>
      <c r="N315" s="5"/>
      <c r="O315" s="5"/>
      <c r="P315" s="5"/>
      <c r="Q315" s="5"/>
      <c r="R315" s="5"/>
      <c r="S315" s="5"/>
    </row>
    <row r="316" spans="1:19" x14ac:dyDescent="0.25">
      <c r="A316" s="5"/>
      <c r="B316" s="5"/>
      <c r="C316" s="5"/>
      <c r="D316" s="5"/>
      <c r="E316" s="5"/>
      <c r="F316" s="5"/>
      <c r="G316" s="5"/>
      <c r="H316" s="5"/>
      <c r="I316" s="5"/>
      <c r="J316" s="5"/>
      <c r="K316" s="5"/>
      <c r="L316" s="5"/>
      <c r="M316" s="5"/>
      <c r="N316" s="5"/>
      <c r="O316" s="5"/>
      <c r="P316" s="5"/>
      <c r="Q316" s="5"/>
      <c r="R316" s="5"/>
      <c r="S316" s="5"/>
    </row>
    <row r="317" spans="1:19" x14ac:dyDescent="0.25">
      <c r="A317" s="5"/>
      <c r="B317" s="5"/>
      <c r="C317" s="5"/>
      <c r="D317" s="5"/>
      <c r="E317" s="5"/>
      <c r="F317" s="5"/>
      <c r="G317" s="5"/>
      <c r="H317" s="5"/>
      <c r="I317" s="5"/>
      <c r="J317" s="5"/>
      <c r="K317" s="5"/>
      <c r="L317" s="5"/>
      <c r="M317" s="5"/>
      <c r="N317" s="5"/>
      <c r="O317" s="5"/>
      <c r="P317" s="5"/>
      <c r="Q317" s="5"/>
      <c r="R317" s="5"/>
      <c r="S317" s="5"/>
    </row>
    <row r="318" spans="1:19" x14ac:dyDescent="0.25">
      <c r="A318" s="5"/>
      <c r="B318" s="5"/>
      <c r="C318" s="5"/>
      <c r="D318" s="5"/>
      <c r="E318" s="5"/>
      <c r="F318" s="5"/>
      <c r="G318" s="5"/>
      <c r="H318" s="5"/>
      <c r="I318" s="5"/>
      <c r="J318" s="5"/>
      <c r="K318" s="5"/>
      <c r="L318" s="5"/>
      <c r="M318" s="5"/>
      <c r="N318" s="5"/>
      <c r="O318" s="5"/>
      <c r="P318" s="5"/>
      <c r="Q318" s="5"/>
      <c r="R318" s="5"/>
      <c r="S318" s="5"/>
    </row>
    <row r="319" spans="1:19" x14ac:dyDescent="0.25">
      <c r="A319" s="5"/>
      <c r="B319" s="5"/>
      <c r="C319" s="5"/>
      <c r="D319" s="5"/>
      <c r="E319" s="5"/>
      <c r="F319" s="5"/>
      <c r="G319" s="5"/>
      <c r="H319" s="5"/>
      <c r="I319" s="5"/>
      <c r="J319" s="5"/>
      <c r="K319" s="5"/>
      <c r="L319" s="5"/>
      <c r="M319" s="5"/>
      <c r="N319" s="5"/>
      <c r="O319" s="5"/>
      <c r="P319" s="5"/>
      <c r="Q319" s="5"/>
      <c r="R319" s="5"/>
      <c r="S319" s="5"/>
    </row>
    <row r="320" spans="1:19" x14ac:dyDescent="0.25">
      <c r="A320" s="5"/>
      <c r="B320" s="5"/>
      <c r="C320" s="5"/>
      <c r="D320" s="5"/>
      <c r="E320" s="5"/>
      <c r="F320" s="5"/>
      <c r="G320" s="5"/>
      <c r="H320" s="5"/>
      <c r="I320" s="5"/>
      <c r="J320" s="5"/>
      <c r="K320" s="5"/>
      <c r="L320" s="5"/>
      <c r="M320" s="5"/>
      <c r="N320" s="5"/>
      <c r="O320" s="5"/>
      <c r="P320" s="5"/>
      <c r="Q320" s="5"/>
      <c r="R320" s="5"/>
      <c r="S320" s="5"/>
    </row>
    <row r="321" spans="1:19" x14ac:dyDescent="0.25">
      <c r="A321" s="5"/>
      <c r="B321" s="5"/>
      <c r="C321" s="5"/>
      <c r="D321" s="5"/>
      <c r="E321" s="5"/>
      <c r="F321" s="5"/>
      <c r="G321" s="5"/>
      <c r="H321" s="5"/>
      <c r="I321" s="5"/>
      <c r="J321" s="5"/>
      <c r="K321" s="5"/>
      <c r="L321" s="5"/>
      <c r="M321" s="5"/>
      <c r="N321" s="5"/>
      <c r="O321" s="5"/>
      <c r="P321" s="5"/>
      <c r="Q321" s="5"/>
      <c r="R321" s="5"/>
      <c r="S321" s="5"/>
    </row>
    <row r="322" spans="1:19" x14ac:dyDescent="0.25">
      <c r="A322" s="5"/>
      <c r="B322" s="5"/>
      <c r="C322" s="5"/>
      <c r="D322" s="5"/>
      <c r="E322" s="5"/>
      <c r="F322" s="5"/>
      <c r="G322" s="5"/>
      <c r="H322" s="5"/>
      <c r="I322" s="5"/>
      <c r="J322" s="5"/>
      <c r="K322" s="5"/>
      <c r="L322" s="5"/>
      <c r="M322" s="5"/>
      <c r="N322" s="5"/>
      <c r="O322" s="5"/>
      <c r="P322" s="5"/>
      <c r="Q322" s="5"/>
      <c r="R322" s="5"/>
      <c r="S322" s="5"/>
    </row>
    <row r="323" spans="1:19" x14ac:dyDescent="0.25">
      <c r="A323" s="5"/>
      <c r="B323" s="5"/>
      <c r="C323" s="5"/>
      <c r="D323" s="5"/>
      <c r="E323" s="5"/>
      <c r="F323" s="5"/>
      <c r="G323" s="5"/>
      <c r="H323" s="5"/>
      <c r="I323" s="5"/>
      <c r="J323" s="5"/>
      <c r="K323" s="5"/>
      <c r="L323" s="5"/>
      <c r="M323" s="5"/>
      <c r="N323" s="5"/>
      <c r="O323" s="5"/>
      <c r="P323" s="5"/>
      <c r="Q323" s="5"/>
      <c r="R323" s="5"/>
      <c r="S323" s="5"/>
    </row>
    <row r="324" spans="1:19" x14ac:dyDescent="0.25">
      <c r="A324" s="5"/>
      <c r="B324" s="5"/>
      <c r="C324" s="5"/>
      <c r="D324" s="5"/>
      <c r="E324" s="5"/>
      <c r="F324" s="5"/>
      <c r="G324" s="5"/>
      <c r="H324" s="5"/>
      <c r="I324" s="5"/>
      <c r="J324" s="5"/>
      <c r="K324" s="5"/>
      <c r="L324" s="5"/>
      <c r="M324" s="5"/>
      <c r="N324" s="5"/>
      <c r="O324" s="5"/>
      <c r="P324" s="5"/>
      <c r="Q324" s="5"/>
      <c r="R324" s="5"/>
      <c r="S324" s="5"/>
    </row>
    <row r="325" spans="1:19" x14ac:dyDescent="0.25">
      <c r="A325" s="5"/>
      <c r="B325" s="5"/>
      <c r="C325" s="5"/>
      <c r="D325" s="5"/>
      <c r="E325" s="5"/>
      <c r="F325" s="5"/>
      <c r="G325" s="5"/>
      <c r="H325" s="5"/>
      <c r="I325" s="5"/>
      <c r="J325" s="5"/>
      <c r="K325" s="5"/>
      <c r="L325" s="5"/>
      <c r="M325" s="5"/>
      <c r="N325" s="5"/>
      <c r="O325" s="5"/>
      <c r="P325" s="5"/>
      <c r="Q325" s="5"/>
      <c r="R325" s="5"/>
      <c r="S325" s="5"/>
    </row>
    <row r="326" spans="1:19" x14ac:dyDescent="0.25">
      <c r="A326" s="5"/>
      <c r="B326" s="5"/>
      <c r="C326" s="5"/>
      <c r="D326" s="5"/>
      <c r="E326" s="5"/>
      <c r="F326" s="5"/>
      <c r="G326" s="5"/>
      <c r="H326" s="5"/>
      <c r="I326" s="5"/>
      <c r="J326" s="5"/>
      <c r="K326" s="5"/>
      <c r="L326" s="5"/>
      <c r="M326" s="5"/>
      <c r="N326" s="5"/>
      <c r="O326" s="5"/>
      <c r="P326" s="5"/>
      <c r="Q326" s="5"/>
      <c r="R326" s="5"/>
      <c r="S326" s="5"/>
    </row>
    <row r="327" spans="1:19" x14ac:dyDescent="0.25">
      <c r="A327" s="5"/>
      <c r="B327" s="5"/>
      <c r="C327" s="5"/>
      <c r="D327" s="5"/>
      <c r="E327" s="5"/>
      <c r="F327" s="5"/>
      <c r="G327" s="5"/>
      <c r="H327" s="5"/>
      <c r="I327" s="5"/>
      <c r="J327" s="5"/>
      <c r="K327" s="5"/>
      <c r="L327" s="5"/>
      <c r="M327" s="5"/>
      <c r="N327" s="5"/>
      <c r="O327" s="5"/>
      <c r="P327" s="5"/>
      <c r="Q327" s="5"/>
      <c r="R327" s="5"/>
      <c r="S327" s="5"/>
    </row>
    <row r="328" spans="1:19" x14ac:dyDescent="0.25">
      <c r="A328" s="5"/>
      <c r="B328" s="5"/>
      <c r="C328" s="5"/>
      <c r="D328" s="5"/>
      <c r="E328" s="5"/>
      <c r="F328" s="5"/>
      <c r="G328" s="5"/>
      <c r="H328" s="5"/>
      <c r="I328" s="5"/>
      <c r="J328" s="5"/>
      <c r="K328" s="5"/>
      <c r="L328" s="5"/>
      <c r="M328" s="5"/>
      <c r="N328" s="5"/>
      <c r="O328" s="5"/>
      <c r="P328" s="5"/>
      <c r="Q328" s="5"/>
      <c r="R328" s="5"/>
      <c r="S328" s="5"/>
    </row>
    <row r="329" spans="1:19" x14ac:dyDescent="0.25">
      <c r="A329" s="5"/>
      <c r="B329" s="5"/>
      <c r="C329" s="5"/>
      <c r="D329" s="5"/>
      <c r="E329" s="5"/>
      <c r="F329" s="5"/>
      <c r="G329" s="5"/>
      <c r="H329" s="5"/>
      <c r="I329" s="5"/>
      <c r="J329" s="5"/>
      <c r="K329" s="5"/>
      <c r="L329" s="5"/>
      <c r="M329" s="5"/>
      <c r="N329" s="5"/>
      <c r="O329" s="5"/>
      <c r="P329" s="5"/>
      <c r="Q329" s="5"/>
      <c r="R329" s="5"/>
      <c r="S329" s="5"/>
    </row>
    <row r="330" spans="1:19" x14ac:dyDescent="0.25">
      <c r="A330" s="5"/>
      <c r="B330" s="5"/>
      <c r="C330" s="5"/>
      <c r="D330" s="5"/>
      <c r="E330" s="5"/>
      <c r="F330" s="5"/>
      <c r="G330" s="5"/>
      <c r="H330" s="5"/>
      <c r="I330" s="5"/>
      <c r="J330" s="5"/>
      <c r="K330" s="5"/>
      <c r="L330" s="5"/>
      <c r="M330" s="5"/>
      <c r="N330" s="5"/>
      <c r="O330" s="5"/>
      <c r="P330" s="5"/>
      <c r="Q330" s="5"/>
      <c r="R330" s="5"/>
      <c r="S330" s="5"/>
    </row>
    <row r="331" spans="1:19" x14ac:dyDescent="0.25">
      <c r="A331" s="5"/>
      <c r="B331" s="5"/>
      <c r="C331" s="5"/>
      <c r="D331" s="5"/>
      <c r="E331" s="5"/>
      <c r="F331" s="5"/>
      <c r="G331" s="5"/>
      <c r="H331" s="5"/>
      <c r="I331" s="5"/>
      <c r="J331" s="5"/>
      <c r="K331" s="5"/>
      <c r="L331" s="5"/>
      <c r="M331" s="5"/>
      <c r="N331" s="5"/>
      <c r="O331" s="5"/>
      <c r="P331" s="5"/>
      <c r="Q331" s="5"/>
      <c r="R331" s="5"/>
      <c r="S331" s="5"/>
    </row>
    <row r="332" spans="1:19" x14ac:dyDescent="0.25">
      <c r="A332" s="5"/>
      <c r="B332" s="5"/>
      <c r="C332" s="5"/>
      <c r="D332" s="5"/>
      <c r="E332" s="5"/>
      <c r="F332" s="5"/>
      <c r="G332" s="5"/>
      <c r="H332" s="5"/>
      <c r="I332" s="5"/>
      <c r="J332" s="5"/>
      <c r="K332" s="5"/>
      <c r="L332" s="5"/>
      <c r="M332" s="5"/>
      <c r="N332" s="5"/>
      <c r="O332" s="5"/>
      <c r="P332" s="5"/>
      <c r="Q332" s="5"/>
      <c r="R332" s="5"/>
      <c r="S332" s="5"/>
    </row>
    <row r="333" spans="1:19" x14ac:dyDescent="0.25">
      <c r="A333" s="5"/>
      <c r="B333" s="5"/>
      <c r="C333" s="5"/>
      <c r="D333" s="5"/>
      <c r="E333" s="5"/>
      <c r="F333" s="5"/>
      <c r="G333" s="5"/>
      <c r="H333" s="5"/>
      <c r="I333" s="5"/>
      <c r="J333" s="5"/>
      <c r="K333" s="5"/>
      <c r="L333" s="5"/>
      <c r="M333" s="5"/>
      <c r="N333" s="5"/>
      <c r="O333" s="5"/>
      <c r="P333" s="5"/>
      <c r="Q333" s="5"/>
      <c r="R333" s="5"/>
      <c r="S333" s="5"/>
    </row>
    <row r="334" spans="1:19" x14ac:dyDescent="0.25">
      <c r="A334" s="5"/>
      <c r="B334" s="5"/>
      <c r="C334" s="5"/>
      <c r="D334" s="5"/>
      <c r="E334" s="5"/>
      <c r="F334" s="5"/>
      <c r="G334" s="5"/>
      <c r="H334" s="5"/>
      <c r="I334" s="5"/>
      <c r="J334" s="5"/>
      <c r="K334" s="5"/>
      <c r="L334" s="5"/>
      <c r="M334" s="5"/>
      <c r="N334" s="5"/>
      <c r="O334" s="5"/>
      <c r="P334" s="5"/>
      <c r="Q334" s="5"/>
      <c r="R334" s="5"/>
      <c r="S334" s="5"/>
    </row>
    <row r="335" spans="1:19" x14ac:dyDescent="0.25">
      <c r="A335" s="5"/>
      <c r="B335" s="5"/>
      <c r="C335" s="5"/>
      <c r="D335" s="5"/>
      <c r="E335" s="5"/>
      <c r="F335" s="5"/>
      <c r="G335" s="5"/>
      <c r="H335" s="5"/>
      <c r="I335" s="5"/>
      <c r="J335" s="5"/>
      <c r="K335" s="5"/>
      <c r="L335" s="5"/>
      <c r="M335" s="5"/>
      <c r="N335" s="5"/>
      <c r="O335" s="5"/>
      <c r="P335" s="5"/>
      <c r="Q335" s="5"/>
      <c r="R335" s="5"/>
      <c r="S335" s="5"/>
    </row>
    <row r="336" spans="1:19" x14ac:dyDescent="0.25">
      <c r="A336" s="5"/>
      <c r="B336" s="5"/>
      <c r="C336" s="5"/>
      <c r="D336" s="5"/>
      <c r="E336" s="5"/>
      <c r="F336" s="5"/>
      <c r="G336" s="5"/>
      <c r="H336" s="5"/>
      <c r="I336" s="5"/>
      <c r="J336" s="5"/>
      <c r="K336" s="5"/>
      <c r="L336" s="5"/>
      <c r="M336" s="5"/>
      <c r="N336" s="5"/>
      <c r="O336" s="5"/>
      <c r="P336" s="5"/>
      <c r="Q336" s="5"/>
      <c r="R336" s="5"/>
      <c r="S336" s="5"/>
    </row>
    <row r="337" spans="1:19" x14ac:dyDescent="0.25">
      <c r="A337" s="5"/>
      <c r="B337" s="5"/>
      <c r="C337" s="5"/>
      <c r="D337" s="5"/>
      <c r="E337" s="5"/>
      <c r="F337" s="5"/>
      <c r="G337" s="5"/>
      <c r="H337" s="5"/>
      <c r="I337" s="5"/>
      <c r="J337" s="5"/>
      <c r="K337" s="5"/>
      <c r="L337" s="5"/>
      <c r="M337" s="5"/>
      <c r="N337" s="5"/>
      <c r="O337" s="5"/>
      <c r="P337" s="5"/>
      <c r="Q337" s="5"/>
      <c r="R337" s="5"/>
      <c r="S337" s="5"/>
    </row>
    <row r="338" spans="1:19" x14ac:dyDescent="0.25">
      <c r="A338" s="5"/>
      <c r="B338" s="5"/>
      <c r="C338" s="5"/>
      <c r="D338" s="5"/>
      <c r="E338" s="5"/>
      <c r="F338" s="5"/>
      <c r="G338" s="5"/>
      <c r="H338" s="5"/>
      <c r="I338" s="5"/>
      <c r="J338" s="5"/>
      <c r="K338" s="5"/>
      <c r="L338" s="5"/>
      <c r="M338" s="5"/>
      <c r="N338" s="5"/>
      <c r="O338" s="5"/>
      <c r="P338" s="5"/>
      <c r="Q338" s="5"/>
      <c r="R338" s="5"/>
      <c r="S338" s="5"/>
    </row>
    <row r="339" spans="1:19" x14ac:dyDescent="0.25">
      <c r="A339" s="5"/>
      <c r="B339" s="5"/>
      <c r="C339" s="5"/>
      <c r="D339" s="5"/>
      <c r="E339" s="5"/>
      <c r="F339" s="5"/>
      <c r="G339" s="5"/>
      <c r="H339" s="5"/>
      <c r="I339" s="5"/>
      <c r="J339" s="5"/>
      <c r="K339" s="5"/>
      <c r="L339" s="5"/>
      <c r="M339" s="5"/>
      <c r="N339" s="5"/>
      <c r="O339" s="5"/>
      <c r="P339" s="5"/>
      <c r="Q339" s="5"/>
      <c r="R339" s="5"/>
      <c r="S339" s="5"/>
    </row>
    <row r="340" spans="1:19" x14ac:dyDescent="0.25">
      <c r="A340" s="5"/>
      <c r="B340" s="5"/>
      <c r="C340" s="5"/>
      <c r="D340" s="5"/>
      <c r="E340" s="5"/>
      <c r="F340" s="5"/>
      <c r="G340" s="5"/>
      <c r="H340" s="5"/>
      <c r="I340" s="5"/>
      <c r="J340" s="5"/>
      <c r="K340" s="5"/>
      <c r="L340" s="5"/>
      <c r="M340" s="5"/>
      <c r="N340" s="5"/>
      <c r="O340" s="5"/>
      <c r="P340" s="5"/>
      <c r="Q340" s="5"/>
      <c r="R340" s="5"/>
      <c r="S340" s="5"/>
    </row>
    <row r="341" spans="1:19" x14ac:dyDescent="0.25">
      <c r="A341" s="5"/>
      <c r="B341" s="5"/>
      <c r="C341" s="5"/>
      <c r="D341" s="5"/>
      <c r="E341" s="5"/>
      <c r="F341" s="5"/>
      <c r="G341" s="5"/>
      <c r="H341" s="5"/>
      <c r="I341" s="5"/>
      <c r="J341" s="5"/>
      <c r="K341" s="5"/>
      <c r="L341" s="5"/>
      <c r="M341" s="5"/>
      <c r="N341" s="5"/>
      <c r="O341" s="5"/>
      <c r="P341" s="5"/>
      <c r="Q341" s="5"/>
      <c r="R341" s="5"/>
      <c r="S341" s="5"/>
    </row>
    <row r="342" spans="1:19" x14ac:dyDescent="0.25">
      <c r="A342" s="5"/>
      <c r="B342" s="5"/>
      <c r="C342" s="5"/>
      <c r="D342" s="5"/>
      <c r="E342" s="5"/>
      <c r="F342" s="5"/>
      <c r="G342" s="5"/>
      <c r="H342" s="5"/>
      <c r="I342" s="5"/>
      <c r="J342" s="5"/>
      <c r="K342" s="5"/>
      <c r="L342" s="5"/>
      <c r="M342" s="5"/>
      <c r="N342" s="5"/>
      <c r="O342" s="5"/>
      <c r="P342" s="5"/>
      <c r="Q342" s="5"/>
      <c r="R342" s="5"/>
      <c r="S342" s="5"/>
    </row>
    <row r="343" spans="1:19" x14ac:dyDescent="0.25">
      <c r="A343" s="5"/>
      <c r="B343" s="5"/>
      <c r="C343" s="5"/>
      <c r="D343" s="5"/>
      <c r="E343" s="5"/>
      <c r="F343" s="5"/>
      <c r="G343" s="5"/>
      <c r="H343" s="5"/>
      <c r="I343" s="5"/>
      <c r="J343" s="5"/>
      <c r="K343" s="5"/>
      <c r="L343" s="5"/>
      <c r="M343" s="5"/>
      <c r="N343" s="5"/>
      <c r="O343" s="5"/>
      <c r="P343" s="5"/>
      <c r="Q343" s="5"/>
      <c r="R343" s="5"/>
      <c r="S343" s="5"/>
    </row>
    <row r="344" spans="1:19" x14ac:dyDescent="0.25">
      <c r="A344" s="5"/>
      <c r="B344" s="5"/>
      <c r="C344" s="5"/>
      <c r="D344" s="5"/>
      <c r="E344" s="5"/>
      <c r="F344" s="5"/>
      <c r="G344" s="5"/>
      <c r="H344" s="5"/>
      <c r="I344" s="5"/>
      <c r="J344" s="5"/>
      <c r="K344" s="5"/>
      <c r="L344" s="5"/>
      <c r="M344" s="5"/>
      <c r="N344" s="5"/>
      <c r="O344" s="5"/>
      <c r="P344" s="5"/>
      <c r="Q344" s="5"/>
      <c r="R344" s="5"/>
      <c r="S344" s="5"/>
    </row>
    <row r="345" spans="1:19" x14ac:dyDescent="0.25">
      <c r="A345" s="5"/>
      <c r="B345" s="5"/>
      <c r="C345" s="5"/>
      <c r="D345" s="5"/>
      <c r="E345" s="5"/>
      <c r="F345" s="5"/>
      <c r="G345" s="5"/>
      <c r="H345" s="5"/>
      <c r="I345" s="5"/>
      <c r="J345" s="5"/>
      <c r="K345" s="5"/>
      <c r="L345" s="5"/>
      <c r="M345" s="5"/>
      <c r="N345" s="5"/>
      <c r="O345" s="5"/>
      <c r="P345" s="5"/>
      <c r="Q345" s="5"/>
      <c r="R345" s="5"/>
      <c r="S345" s="5"/>
    </row>
    <row r="346" spans="1:19" x14ac:dyDescent="0.25">
      <c r="A346" s="5"/>
      <c r="B346" s="5"/>
      <c r="C346" s="5"/>
      <c r="D346" s="5"/>
      <c r="E346" s="5"/>
      <c r="F346" s="5"/>
      <c r="G346" s="5"/>
      <c r="H346" s="5"/>
      <c r="I346" s="5"/>
      <c r="J346" s="5"/>
      <c r="K346" s="5"/>
      <c r="L346" s="5"/>
      <c r="M346" s="5"/>
      <c r="N346" s="5"/>
      <c r="O346" s="5"/>
      <c r="P346" s="5"/>
      <c r="Q346" s="5"/>
      <c r="R346" s="5"/>
      <c r="S346" s="5"/>
    </row>
    <row r="347" spans="1:19" x14ac:dyDescent="0.25">
      <c r="A347" s="5"/>
      <c r="B347" s="5"/>
      <c r="C347" s="5"/>
      <c r="D347" s="5"/>
      <c r="E347" s="5"/>
      <c r="F347" s="5"/>
      <c r="G347" s="5"/>
      <c r="H347" s="5"/>
      <c r="I347" s="5"/>
      <c r="J347" s="5"/>
      <c r="K347" s="5"/>
      <c r="L347" s="5"/>
      <c r="M347" s="5"/>
      <c r="N347" s="5"/>
      <c r="O347" s="5"/>
      <c r="P347" s="5"/>
      <c r="Q347" s="5"/>
      <c r="R347" s="5"/>
      <c r="S347" s="5"/>
    </row>
    <row r="348" spans="1:19" x14ac:dyDescent="0.25">
      <c r="A348" s="5"/>
      <c r="B348" s="5"/>
      <c r="C348" s="5"/>
      <c r="D348" s="5"/>
      <c r="E348" s="5"/>
      <c r="F348" s="5"/>
      <c r="G348" s="5"/>
      <c r="H348" s="5"/>
      <c r="I348" s="5"/>
      <c r="J348" s="5"/>
      <c r="K348" s="5"/>
      <c r="L348" s="5"/>
      <c r="M348" s="5"/>
      <c r="N348" s="5"/>
      <c r="O348" s="5"/>
      <c r="P348" s="5"/>
      <c r="Q348" s="5"/>
      <c r="R348" s="5"/>
      <c r="S348" s="5"/>
    </row>
    <row r="349" spans="1:19" x14ac:dyDescent="0.25">
      <c r="A349" s="5"/>
      <c r="B349" s="5"/>
      <c r="C349" s="5"/>
      <c r="D349" s="5"/>
      <c r="E349" s="5"/>
      <c r="F349" s="5"/>
      <c r="G349" s="5"/>
      <c r="H349" s="5"/>
      <c r="I349" s="5"/>
      <c r="J349" s="5"/>
      <c r="K349" s="5"/>
      <c r="L349" s="5"/>
      <c r="M349" s="5"/>
      <c r="N349" s="5"/>
      <c r="O349" s="5"/>
      <c r="P349" s="5"/>
      <c r="Q349" s="5"/>
      <c r="R349" s="5"/>
      <c r="S349" s="5"/>
    </row>
    <row r="350" spans="1:19" x14ac:dyDescent="0.25">
      <c r="A350" s="5"/>
      <c r="B350" s="5"/>
      <c r="C350" s="5"/>
      <c r="D350" s="5"/>
      <c r="E350" s="5"/>
      <c r="F350" s="5"/>
      <c r="G350" s="5"/>
      <c r="H350" s="5"/>
      <c r="I350" s="5"/>
      <c r="J350" s="5"/>
      <c r="K350" s="5"/>
      <c r="L350" s="5"/>
      <c r="M350" s="5"/>
      <c r="N350" s="5"/>
      <c r="O350" s="5"/>
      <c r="P350" s="5"/>
      <c r="Q350" s="5"/>
      <c r="R350" s="5"/>
      <c r="S350" s="5"/>
    </row>
    <row r="351" spans="1:19" x14ac:dyDescent="0.25">
      <c r="A351" s="5"/>
      <c r="B351" s="5"/>
      <c r="C351" s="5"/>
      <c r="D351" s="5"/>
      <c r="E351" s="5"/>
      <c r="F351" s="5"/>
      <c r="G351" s="5"/>
      <c r="H351" s="5"/>
      <c r="I351" s="5"/>
      <c r="J351" s="5"/>
      <c r="K351" s="5"/>
      <c r="L351" s="5"/>
      <c r="M351" s="5"/>
      <c r="N351" s="5"/>
      <c r="O351" s="5"/>
      <c r="P351" s="5"/>
      <c r="Q351" s="5"/>
      <c r="R351" s="5"/>
      <c r="S351" s="5"/>
    </row>
    <row r="352" spans="1:19" x14ac:dyDescent="0.25">
      <c r="A352" s="5"/>
      <c r="B352" s="5"/>
      <c r="C352" s="5"/>
      <c r="D352" s="5"/>
      <c r="E352" s="5"/>
      <c r="F352" s="5"/>
      <c r="G352" s="5"/>
      <c r="H352" s="5"/>
      <c r="I352" s="5"/>
      <c r="J352" s="5"/>
      <c r="K352" s="5"/>
      <c r="L352" s="5"/>
      <c r="M352" s="5"/>
      <c r="N352" s="5"/>
      <c r="O352" s="5"/>
      <c r="P352" s="5"/>
      <c r="Q352" s="5"/>
      <c r="R352" s="5"/>
      <c r="S352" s="5"/>
    </row>
    <row r="353" spans="1:19" x14ac:dyDescent="0.25">
      <c r="A353" s="5"/>
      <c r="B353" s="5"/>
      <c r="C353" s="5"/>
      <c r="D353" s="5"/>
      <c r="E353" s="5"/>
      <c r="F353" s="5"/>
      <c r="G353" s="5"/>
      <c r="H353" s="5"/>
      <c r="I353" s="5"/>
      <c r="J353" s="5"/>
      <c r="K353" s="5"/>
      <c r="L353" s="5"/>
      <c r="M353" s="5"/>
      <c r="N353" s="5"/>
      <c r="O353" s="5"/>
      <c r="P353" s="5"/>
      <c r="Q353" s="5"/>
      <c r="R353" s="5"/>
      <c r="S353" s="5"/>
    </row>
    <row r="354" spans="1:19" x14ac:dyDescent="0.25">
      <c r="A354" s="5"/>
      <c r="B354" s="5"/>
      <c r="C354" s="5"/>
      <c r="D354" s="5"/>
      <c r="E354" s="5"/>
      <c r="F354" s="5"/>
      <c r="G354" s="5"/>
      <c r="H354" s="5"/>
      <c r="I354" s="5"/>
      <c r="J354" s="5"/>
      <c r="K354" s="5"/>
      <c r="L354" s="5"/>
      <c r="M354" s="5"/>
      <c r="N354" s="5"/>
      <c r="O354" s="5"/>
      <c r="P354" s="5"/>
      <c r="Q354" s="5"/>
      <c r="R354" s="5"/>
      <c r="S354" s="5"/>
    </row>
    <row r="355" spans="1:19" x14ac:dyDescent="0.25">
      <c r="A355" s="5"/>
      <c r="B355" s="5"/>
      <c r="C355" s="5"/>
      <c r="D355" s="5"/>
      <c r="E355" s="5"/>
      <c r="F355" s="5"/>
      <c r="G355" s="5"/>
      <c r="H355" s="5"/>
      <c r="I355" s="5"/>
      <c r="J355" s="5"/>
      <c r="K355" s="5"/>
      <c r="L355" s="5"/>
      <c r="M355" s="5"/>
      <c r="N355" s="5"/>
      <c r="O355" s="5"/>
      <c r="P355" s="5"/>
      <c r="Q355" s="5"/>
      <c r="R355" s="5"/>
      <c r="S355" s="5"/>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581"/>
  <sheetViews>
    <sheetView workbookViewId="0"/>
  </sheetViews>
  <sheetFormatPr defaultRowHeight="15" x14ac:dyDescent="0.25"/>
  <cols>
    <col min="1" max="1" width="21.5703125" style="3" customWidth="1"/>
    <col min="2" max="2" width="9.140625" style="3"/>
    <col min="3" max="3" width="20.140625" style="3" customWidth="1"/>
    <col min="4" max="4" width="9.140625" style="3"/>
    <col min="5" max="5" width="36.85546875" style="3" customWidth="1"/>
    <col min="6" max="6" width="13.28515625" style="3" customWidth="1"/>
    <col min="7" max="7" width="34.5703125" style="3" customWidth="1"/>
    <col min="8" max="8" width="9.140625" style="3"/>
    <col min="9" max="9" width="14.5703125" style="3" customWidth="1"/>
    <col min="10" max="10" width="29.85546875" style="3" customWidth="1"/>
    <col min="11" max="16384" width="9.140625" style="3"/>
  </cols>
  <sheetData>
    <row r="1" spans="1:17" s="2" customFormat="1" ht="31.5" customHeight="1" x14ac:dyDescent="0.25">
      <c r="A1" s="7" t="s">
        <v>0</v>
      </c>
      <c r="B1" s="8"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row>
    <row r="2" spans="1:17" ht="150" customHeight="1" x14ac:dyDescent="0.25">
      <c r="A2" s="6"/>
      <c r="B2" s="6"/>
      <c r="C2" s="21" t="s">
        <v>121</v>
      </c>
      <c r="D2" s="22" t="s">
        <v>55</v>
      </c>
      <c r="E2" s="22" t="s">
        <v>118</v>
      </c>
      <c r="F2" s="34" t="s">
        <v>17</v>
      </c>
      <c r="G2" s="22" t="s">
        <v>585</v>
      </c>
      <c r="H2" s="23"/>
      <c r="I2" s="22" t="s">
        <v>517</v>
      </c>
      <c r="J2" s="24" t="s">
        <v>80</v>
      </c>
      <c r="K2" s="6"/>
      <c r="L2" s="6"/>
      <c r="M2" s="6"/>
      <c r="N2" s="6"/>
      <c r="O2" s="6"/>
      <c r="P2" s="6"/>
      <c r="Q2" s="6"/>
    </row>
    <row r="3" spans="1:17" ht="38.25" x14ac:dyDescent="0.25">
      <c r="A3" s="6"/>
      <c r="B3" s="6"/>
      <c r="C3" s="21" t="s">
        <v>121</v>
      </c>
      <c r="D3" s="24"/>
      <c r="E3" s="24"/>
      <c r="F3" s="25" t="s">
        <v>26</v>
      </c>
      <c r="G3" s="26" t="s">
        <v>18</v>
      </c>
      <c r="H3" s="24"/>
      <c r="I3" s="24"/>
      <c r="J3" s="26" t="s">
        <v>20</v>
      </c>
      <c r="K3" s="6"/>
      <c r="L3" s="6"/>
      <c r="M3" s="6"/>
      <c r="N3" s="6"/>
      <c r="O3" s="6"/>
      <c r="P3" s="6"/>
      <c r="Q3" s="6"/>
    </row>
    <row r="4" spans="1:17" ht="38.25" x14ac:dyDescent="0.25">
      <c r="A4" s="6"/>
      <c r="B4" s="6"/>
      <c r="C4" s="21" t="s">
        <v>121</v>
      </c>
      <c r="D4" s="24"/>
      <c r="E4" s="24"/>
      <c r="F4" s="25" t="s">
        <v>28</v>
      </c>
      <c r="G4" s="26" t="s">
        <v>21</v>
      </c>
      <c r="H4" s="24"/>
      <c r="I4" s="24"/>
      <c r="J4" s="26" t="s">
        <v>22</v>
      </c>
      <c r="K4" s="6"/>
      <c r="L4" s="6"/>
      <c r="M4" s="6"/>
      <c r="N4" s="6"/>
      <c r="O4" s="6"/>
      <c r="P4" s="6"/>
      <c r="Q4" s="6"/>
    </row>
    <row r="5" spans="1:17" ht="51" x14ac:dyDescent="0.25">
      <c r="A5" s="6"/>
      <c r="B5" s="6"/>
      <c r="C5" s="21" t="s">
        <v>121</v>
      </c>
      <c r="D5" s="24"/>
      <c r="E5" s="24"/>
      <c r="F5" s="25" t="s">
        <v>29</v>
      </c>
      <c r="G5" s="26" t="s">
        <v>23</v>
      </c>
      <c r="H5" s="24"/>
      <c r="I5" s="24"/>
      <c r="J5" s="26" t="s">
        <v>41</v>
      </c>
      <c r="K5" s="6"/>
      <c r="L5" s="6"/>
      <c r="M5" s="6"/>
      <c r="N5" s="6"/>
      <c r="O5" s="6"/>
      <c r="P5" s="6"/>
      <c r="Q5" s="6"/>
    </row>
    <row r="6" spans="1:17" ht="38.25" x14ac:dyDescent="0.25">
      <c r="A6" s="6"/>
      <c r="B6" s="6"/>
      <c r="C6" s="21" t="s">
        <v>121</v>
      </c>
      <c r="D6" s="24"/>
      <c r="E6" s="24"/>
      <c r="F6" s="27" t="s">
        <v>30</v>
      </c>
      <c r="G6" s="27" t="s">
        <v>43</v>
      </c>
      <c r="H6" s="27"/>
      <c r="I6" s="27"/>
      <c r="J6" s="21" t="s">
        <v>44</v>
      </c>
      <c r="K6" s="6"/>
      <c r="L6" s="6"/>
      <c r="M6" s="6"/>
      <c r="N6" s="6"/>
      <c r="O6" s="6"/>
      <c r="P6" s="6"/>
      <c r="Q6" s="6"/>
    </row>
    <row r="7" spans="1:17" ht="38.25" x14ac:dyDescent="0.25">
      <c r="A7" s="6"/>
      <c r="B7" s="6"/>
      <c r="C7" s="21" t="s">
        <v>121</v>
      </c>
      <c r="D7" s="24"/>
      <c r="E7" s="24"/>
      <c r="F7" s="27" t="s">
        <v>31</v>
      </c>
      <c r="G7" s="25" t="s">
        <v>25</v>
      </c>
      <c r="H7" s="25"/>
      <c r="I7" s="25"/>
      <c r="J7" s="25" t="s">
        <v>27</v>
      </c>
      <c r="K7" s="6"/>
      <c r="L7" s="6"/>
      <c r="M7" s="6"/>
      <c r="N7" s="6"/>
      <c r="O7" s="6"/>
      <c r="P7" s="6"/>
      <c r="Q7" s="6"/>
    </row>
    <row r="8" spans="1:17" ht="38.25" x14ac:dyDescent="0.25">
      <c r="A8" s="6"/>
      <c r="B8" s="6"/>
      <c r="C8" s="21" t="s">
        <v>121</v>
      </c>
      <c r="D8" s="24"/>
      <c r="E8" s="24"/>
      <c r="F8" s="27" t="s">
        <v>32</v>
      </c>
      <c r="G8" s="25" t="s">
        <v>521</v>
      </c>
      <c r="H8" s="25"/>
      <c r="I8" s="25"/>
      <c r="J8" s="25" t="s">
        <v>522</v>
      </c>
      <c r="K8" s="6"/>
      <c r="L8" s="6"/>
      <c r="M8" s="6"/>
      <c r="N8" s="6"/>
      <c r="O8" s="6"/>
      <c r="P8" s="6"/>
      <c r="Q8" s="6"/>
    </row>
    <row r="9" spans="1:17" ht="38.25" x14ac:dyDescent="0.25">
      <c r="A9" s="6"/>
      <c r="B9" s="6"/>
      <c r="C9" s="21" t="s">
        <v>121</v>
      </c>
      <c r="D9" s="23"/>
      <c r="E9" s="23"/>
      <c r="F9" s="27" t="s">
        <v>33</v>
      </c>
      <c r="G9" s="21" t="s">
        <v>50</v>
      </c>
      <c r="H9" s="27"/>
      <c r="I9" s="21"/>
      <c r="J9" s="21" t="s">
        <v>51</v>
      </c>
      <c r="K9" s="6"/>
      <c r="L9" s="6"/>
      <c r="M9" s="6"/>
      <c r="N9" s="6"/>
      <c r="O9" s="6"/>
      <c r="P9" s="6"/>
      <c r="Q9" s="6"/>
    </row>
    <row r="10" spans="1:17" ht="102" x14ac:dyDescent="0.25">
      <c r="A10" s="6"/>
      <c r="B10" s="6"/>
      <c r="C10" s="21" t="s">
        <v>121</v>
      </c>
      <c r="D10" s="23"/>
      <c r="E10" s="23"/>
      <c r="F10" s="27" t="s">
        <v>49</v>
      </c>
      <c r="G10" s="22" t="s">
        <v>566</v>
      </c>
      <c r="H10" s="23"/>
      <c r="I10" s="22" t="s">
        <v>119</v>
      </c>
      <c r="J10" s="22" t="s">
        <v>120</v>
      </c>
      <c r="K10" s="6"/>
      <c r="L10" s="6"/>
      <c r="M10" s="6"/>
      <c r="N10" s="6"/>
      <c r="O10" s="6"/>
      <c r="P10" s="6"/>
      <c r="Q10" s="6"/>
    </row>
    <row r="11" spans="1:17" ht="153" x14ac:dyDescent="0.25">
      <c r="A11" s="6"/>
      <c r="B11" s="6"/>
      <c r="C11" s="21" t="s">
        <v>124</v>
      </c>
      <c r="D11" s="22" t="s">
        <v>55</v>
      </c>
      <c r="E11" s="22" t="s">
        <v>125</v>
      </c>
      <c r="F11" s="34" t="s">
        <v>17</v>
      </c>
      <c r="G11" s="22" t="s">
        <v>586</v>
      </c>
      <c r="H11" s="23"/>
      <c r="I11" s="22" t="s">
        <v>517</v>
      </c>
      <c r="J11" s="24" t="s">
        <v>80</v>
      </c>
      <c r="K11" s="6"/>
      <c r="L11" s="6"/>
      <c r="M11" s="6"/>
      <c r="N11" s="6"/>
      <c r="O11" s="6"/>
      <c r="P11" s="6"/>
      <c r="Q11" s="6"/>
    </row>
    <row r="12" spans="1:17" ht="63.75" x14ac:dyDescent="0.25">
      <c r="A12" s="6"/>
      <c r="B12" s="6"/>
      <c r="C12" s="21" t="s">
        <v>124</v>
      </c>
      <c r="D12" s="24"/>
      <c r="E12" s="24"/>
      <c r="F12" s="25" t="s">
        <v>26</v>
      </c>
      <c r="G12" s="26" t="s">
        <v>18</v>
      </c>
      <c r="H12" s="24"/>
      <c r="I12" s="24"/>
      <c r="J12" s="26" t="s">
        <v>20</v>
      </c>
      <c r="K12" s="6"/>
      <c r="L12" s="6"/>
      <c r="M12" s="6"/>
      <c r="N12" s="6"/>
      <c r="O12" s="6"/>
      <c r="P12" s="6"/>
      <c r="Q12" s="6"/>
    </row>
    <row r="13" spans="1:17" ht="63.75" x14ac:dyDescent="0.25">
      <c r="A13" s="6"/>
      <c r="B13" s="6"/>
      <c r="C13" s="21" t="s">
        <v>124</v>
      </c>
      <c r="D13" s="24"/>
      <c r="E13" s="24"/>
      <c r="F13" s="25" t="s">
        <v>28</v>
      </c>
      <c r="G13" s="26" t="s">
        <v>21</v>
      </c>
      <c r="H13" s="24"/>
      <c r="I13" s="24"/>
      <c r="J13" s="26" t="s">
        <v>22</v>
      </c>
      <c r="K13" s="6"/>
      <c r="L13" s="6"/>
      <c r="M13" s="6"/>
      <c r="N13" s="6"/>
      <c r="O13" s="6"/>
      <c r="P13" s="6"/>
      <c r="Q13" s="6"/>
    </row>
    <row r="14" spans="1:17" ht="63.75" x14ac:dyDescent="0.25">
      <c r="A14" s="6"/>
      <c r="B14" s="6"/>
      <c r="C14" s="21" t="s">
        <v>124</v>
      </c>
      <c r="D14" s="24"/>
      <c r="E14" s="24"/>
      <c r="F14" s="25" t="s">
        <v>29</v>
      </c>
      <c r="G14" s="26" t="s">
        <v>23</v>
      </c>
      <c r="H14" s="24"/>
      <c r="I14" s="24"/>
      <c r="J14" s="26" t="s">
        <v>41</v>
      </c>
      <c r="K14" s="6"/>
      <c r="L14" s="6"/>
      <c r="M14" s="6"/>
      <c r="N14" s="6"/>
      <c r="O14" s="6"/>
      <c r="P14" s="6"/>
      <c r="Q14" s="6"/>
    </row>
    <row r="15" spans="1:17" ht="63.75" x14ac:dyDescent="0.25">
      <c r="A15" s="6"/>
      <c r="B15" s="6"/>
      <c r="C15" s="21" t="s">
        <v>124</v>
      </c>
      <c r="D15" s="24"/>
      <c r="E15" s="24"/>
      <c r="F15" s="27" t="s">
        <v>30</v>
      </c>
      <c r="G15" s="27" t="s">
        <v>43</v>
      </c>
      <c r="H15" s="27"/>
      <c r="I15" s="27"/>
      <c r="J15" s="21" t="s">
        <v>44</v>
      </c>
      <c r="K15" s="6"/>
      <c r="L15" s="6"/>
      <c r="M15" s="6"/>
      <c r="N15" s="6"/>
      <c r="O15" s="6"/>
      <c r="P15" s="6"/>
      <c r="Q15" s="6"/>
    </row>
    <row r="16" spans="1:17" ht="63.75" x14ac:dyDescent="0.25">
      <c r="A16" s="6"/>
      <c r="B16" s="6"/>
      <c r="C16" s="21" t="s">
        <v>124</v>
      </c>
      <c r="D16" s="24"/>
      <c r="E16" s="24"/>
      <c r="F16" s="27" t="s">
        <v>31</v>
      </c>
      <c r="G16" s="25" t="s">
        <v>25</v>
      </c>
      <c r="H16" s="25"/>
      <c r="I16" s="25"/>
      <c r="J16" s="25" t="s">
        <v>27</v>
      </c>
      <c r="K16" s="6"/>
      <c r="L16" s="6"/>
      <c r="M16" s="6"/>
      <c r="N16" s="6"/>
      <c r="O16" s="6"/>
      <c r="P16" s="6"/>
      <c r="Q16" s="6"/>
    </row>
    <row r="17" spans="1:17" ht="63.75" x14ac:dyDescent="0.25">
      <c r="A17" s="6"/>
      <c r="B17" s="6"/>
      <c r="C17" s="21" t="s">
        <v>124</v>
      </c>
      <c r="D17" s="24"/>
      <c r="E17" s="24"/>
      <c r="F17" s="27" t="s">
        <v>32</v>
      </c>
      <c r="G17" s="25" t="s">
        <v>521</v>
      </c>
      <c r="H17" s="25"/>
      <c r="I17" s="25"/>
      <c r="J17" s="25" t="s">
        <v>522</v>
      </c>
      <c r="K17" s="6"/>
      <c r="L17" s="6"/>
      <c r="M17" s="6"/>
      <c r="N17" s="6"/>
      <c r="O17" s="6"/>
      <c r="P17" s="6"/>
      <c r="Q17" s="6"/>
    </row>
    <row r="18" spans="1:17" ht="63.75" x14ac:dyDescent="0.25">
      <c r="A18" s="6"/>
      <c r="B18" s="6"/>
      <c r="C18" s="21" t="s">
        <v>124</v>
      </c>
      <c r="D18" s="23"/>
      <c r="E18" s="23"/>
      <c r="F18" s="27" t="s">
        <v>33</v>
      </c>
      <c r="G18" s="21" t="s">
        <v>50</v>
      </c>
      <c r="H18" s="27"/>
      <c r="I18" s="21"/>
      <c r="J18" s="21" t="s">
        <v>51</v>
      </c>
      <c r="K18" s="6"/>
      <c r="L18" s="6"/>
      <c r="M18" s="6"/>
      <c r="N18" s="6"/>
      <c r="O18" s="6"/>
      <c r="P18" s="6"/>
      <c r="Q18" s="6"/>
    </row>
    <row r="19" spans="1:17" ht="102" x14ac:dyDescent="0.25">
      <c r="A19" s="6"/>
      <c r="B19" s="6"/>
      <c r="C19" s="21" t="s">
        <v>124</v>
      </c>
      <c r="D19" s="23"/>
      <c r="E19" s="23"/>
      <c r="F19" s="27" t="s">
        <v>49</v>
      </c>
      <c r="G19" s="22" t="s">
        <v>566</v>
      </c>
      <c r="H19" s="23"/>
      <c r="I19" s="22" t="s">
        <v>119</v>
      </c>
      <c r="J19" s="22" t="s">
        <v>120</v>
      </c>
      <c r="K19" s="6"/>
      <c r="L19" s="6"/>
      <c r="M19" s="6"/>
      <c r="N19" s="6"/>
      <c r="O19" s="6"/>
      <c r="P19" s="6"/>
      <c r="Q19" s="6"/>
    </row>
    <row r="20" spans="1:17" ht="178.5" x14ac:dyDescent="0.25">
      <c r="A20" s="6"/>
      <c r="B20" s="6"/>
      <c r="C20" s="21" t="s">
        <v>127</v>
      </c>
      <c r="D20" s="22" t="s">
        <v>55</v>
      </c>
      <c r="E20" s="22" t="s">
        <v>128</v>
      </c>
      <c r="F20" s="34" t="s">
        <v>17</v>
      </c>
      <c r="G20" s="22" t="s">
        <v>587</v>
      </c>
      <c r="H20" s="23"/>
      <c r="I20" s="22" t="s">
        <v>517</v>
      </c>
      <c r="J20" s="24" t="s">
        <v>80</v>
      </c>
      <c r="K20" s="6"/>
      <c r="L20" s="6"/>
      <c r="M20" s="6"/>
      <c r="N20" s="6"/>
      <c r="O20" s="6"/>
      <c r="P20" s="6"/>
      <c r="Q20" s="6"/>
    </row>
    <row r="21" spans="1:17" ht="63.75" x14ac:dyDescent="0.25">
      <c r="A21" s="6"/>
      <c r="B21" s="6"/>
      <c r="C21" s="21" t="s">
        <v>127</v>
      </c>
      <c r="D21" s="24"/>
      <c r="E21" s="24"/>
      <c r="F21" s="25" t="s">
        <v>26</v>
      </c>
      <c r="G21" s="26" t="s">
        <v>18</v>
      </c>
      <c r="H21" s="24"/>
      <c r="I21" s="24"/>
      <c r="J21" s="26" t="s">
        <v>20</v>
      </c>
      <c r="K21" s="6"/>
      <c r="L21" s="6"/>
      <c r="M21" s="6"/>
      <c r="N21" s="6"/>
      <c r="O21" s="6"/>
      <c r="P21" s="6"/>
      <c r="Q21" s="6"/>
    </row>
    <row r="22" spans="1:17" ht="63.75" x14ac:dyDescent="0.25">
      <c r="A22" s="6"/>
      <c r="B22" s="6"/>
      <c r="C22" s="21" t="s">
        <v>127</v>
      </c>
      <c r="D22" s="24"/>
      <c r="E22" s="24"/>
      <c r="F22" s="25" t="s">
        <v>28</v>
      </c>
      <c r="G22" s="26" t="s">
        <v>21</v>
      </c>
      <c r="H22" s="24"/>
      <c r="I22" s="24"/>
      <c r="J22" s="26" t="s">
        <v>22</v>
      </c>
      <c r="K22" s="6"/>
      <c r="L22" s="6"/>
      <c r="M22" s="6"/>
      <c r="N22" s="6"/>
      <c r="O22" s="6"/>
      <c r="P22" s="6"/>
      <c r="Q22" s="6"/>
    </row>
    <row r="23" spans="1:17" ht="63.75" x14ac:dyDescent="0.25">
      <c r="A23" s="6"/>
      <c r="B23" s="6"/>
      <c r="C23" s="21" t="s">
        <v>127</v>
      </c>
      <c r="D23" s="24"/>
      <c r="E23" s="24"/>
      <c r="F23" s="25" t="s">
        <v>29</v>
      </c>
      <c r="G23" s="26" t="s">
        <v>23</v>
      </c>
      <c r="H23" s="24"/>
      <c r="I23" s="24"/>
      <c r="J23" s="26" t="s">
        <v>41</v>
      </c>
      <c r="K23" s="6"/>
      <c r="L23" s="6"/>
      <c r="M23" s="6"/>
      <c r="N23" s="6"/>
      <c r="O23" s="6"/>
      <c r="P23" s="6"/>
      <c r="Q23" s="6"/>
    </row>
    <row r="24" spans="1:17" ht="63.75" x14ac:dyDescent="0.25">
      <c r="A24" s="6"/>
      <c r="B24" s="6"/>
      <c r="C24" s="21" t="s">
        <v>127</v>
      </c>
      <c r="D24" s="24"/>
      <c r="E24" s="24"/>
      <c r="F24" s="27" t="s">
        <v>30</v>
      </c>
      <c r="G24" s="27" t="s">
        <v>43</v>
      </c>
      <c r="H24" s="27"/>
      <c r="I24" s="27"/>
      <c r="J24" s="21" t="s">
        <v>44</v>
      </c>
      <c r="K24" s="6"/>
      <c r="L24" s="6"/>
      <c r="M24" s="6"/>
      <c r="N24" s="6"/>
      <c r="O24" s="6"/>
      <c r="P24" s="6"/>
      <c r="Q24" s="6"/>
    </row>
    <row r="25" spans="1:17" ht="63.75" x14ac:dyDescent="0.25">
      <c r="A25" s="6"/>
      <c r="B25" s="6"/>
      <c r="C25" s="21" t="s">
        <v>127</v>
      </c>
      <c r="D25" s="24"/>
      <c r="E25" s="24"/>
      <c r="F25" s="27" t="s">
        <v>31</v>
      </c>
      <c r="G25" s="25" t="s">
        <v>25</v>
      </c>
      <c r="H25" s="25"/>
      <c r="I25" s="25"/>
      <c r="J25" s="25" t="s">
        <v>27</v>
      </c>
      <c r="K25" s="6"/>
      <c r="L25" s="6"/>
      <c r="M25" s="6"/>
      <c r="N25" s="6"/>
      <c r="O25" s="6"/>
      <c r="P25" s="6"/>
      <c r="Q25" s="6"/>
    </row>
    <row r="26" spans="1:17" ht="63.75" x14ac:dyDescent="0.25">
      <c r="A26" s="6"/>
      <c r="B26" s="6"/>
      <c r="C26" s="21" t="s">
        <v>127</v>
      </c>
      <c r="D26" s="24"/>
      <c r="E26" s="24"/>
      <c r="F26" s="27" t="s">
        <v>32</v>
      </c>
      <c r="G26" s="25" t="s">
        <v>521</v>
      </c>
      <c r="H26" s="25"/>
      <c r="I26" s="25"/>
      <c r="J26" s="25" t="s">
        <v>522</v>
      </c>
      <c r="K26" s="6"/>
      <c r="L26" s="6"/>
      <c r="M26" s="6"/>
      <c r="N26" s="6"/>
      <c r="O26" s="6"/>
      <c r="P26" s="6"/>
      <c r="Q26" s="6"/>
    </row>
    <row r="27" spans="1:17" ht="63.75" x14ac:dyDescent="0.25">
      <c r="A27" s="6"/>
      <c r="B27" s="6"/>
      <c r="C27" s="21" t="s">
        <v>127</v>
      </c>
      <c r="D27" s="23"/>
      <c r="E27" s="23"/>
      <c r="F27" s="27" t="s">
        <v>33</v>
      </c>
      <c r="G27" s="21" t="s">
        <v>50</v>
      </c>
      <c r="H27" s="27"/>
      <c r="I27" s="21"/>
      <c r="J27" s="21" t="s">
        <v>51</v>
      </c>
      <c r="K27" s="6"/>
      <c r="L27" s="6"/>
      <c r="M27" s="6"/>
      <c r="N27" s="6"/>
      <c r="O27" s="6"/>
      <c r="P27" s="6"/>
      <c r="Q27" s="6"/>
    </row>
    <row r="28" spans="1:17" ht="102" x14ac:dyDescent="0.25">
      <c r="A28" s="6"/>
      <c r="B28" s="6"/>
      <c r="C28" s="21" t="s">
        <v>127</v>
      </c>
      <c r="D28" s="23"/>
      <c r="E28" s="23"/>
      <c r="F28" s="27" t="s">
        <v>49</v>
      </c>
      <c r="G28" s="22" t="s">
        <v>566</v>
      </c>
      <c r="H28" s="23"/>
      <c r="I28" s="22" t="s">
        <v>119</v>
      </c>
      <c r="J28" s="22" t="s">
        <v>120</v>
      </c>
      <c r="K28" s="6"/>
      <c r="L28" s="6"/>
      <c r="M28" s="6"/>
      <c r="N28" s="6"/>
      <c r="O28" s="6"/>
      <c r="P28" s="6"/>
      <c r="Q28" s="6"/>
    </row>
    <row r="29" spans="1:17" ht="140.25" x14ac:dyDescent="0.25">
      <c r="A29" s="6"/>
      <c r="B29" s="6"/>
      <c r="C29" s="21" t="s">
        <v>132</v>
      </c>
      <c r="D29" s="22" t="s">
        <v>55</v>
      </c>
      <c r="E29" s="22" t="s">
        <v>131</v>
      </c>
      <c r="F29" s="34" t="s">
        <v>17</v>
      </c>
      <c r="G29" s="22" t="s">
        <v>588</v>
      </c>
      <c r="H29" s="23"/>
      <c r="I29" s="22" t="s">
        <v>517</v>
      </c>
      <c r="J29" s="24" t="s">
        <v>80</v>
      </c>
      <c r="K29" s="6"/>
      <c r="L29" s="6"/>
      <c r="M29" s="6"/>
      <c r="N29" s="6"/>
      <c r="O29" s="6"/>
      <c r="P29" s="6"/>
      <c r="Q29" s="6"/>
    </row>
    <row r="30" spans="1:17" ht="89.25" x14ac:dyDescent="0.25">
      <c r="A30" s="6"/>
      <c r="B30" s="6"/>
      <c r="C30" s="21" t="s">
        <v>132</v>
      </c>
      <c r="D30" s="24"/>
      <c r="E30" s="24"/>
      <c r="F30" s="25" t="s">
        <v>26</v>
      </c>
      <c r="G30" s="26" t="s">
        <v>18</v>
      </c>
      <c r="H30" s="24"/>
      <c r="I30" s="24"/>
      <c r="J30" s="26" t="s">
        <v>20</v>
      </c>
      <c r="K30" s="6"/>
      <c r="L30" s="6"/>
      <c r="M30" s="6"/>
      <c r="N30" s="6"/>
      <c r="O30" s="6"/>
      <c r="P30" s="6"/>
      <c r="Q30" s="6"/>
    </row>
    <row r="31" spans="1:17" ht="89.25" x14ac:dyDescent="0.25">
      <c r="A31" s="6"/>
      <c r="B31" s="6"/>
      <c r="C31" s="21" t="s">
        <v>132</v>
      </c>
      <c r="D31" s="24"/>
      <c r="E31" s="24"/>
      <c r="F31" s="25" t="s">
        <v>28</v>
      </c>
      <c r="G31" s="26" t="s">
        <v>21</v>
      </c>
      <c r="H31" s="24"/>
      <c r="I31" s="24"/>
      <c r="J31" s="26" t="s">
        <v>22</v>
      </c>
      <c r="K31" s="6"/>
      <c r="L31" s="6"/>
      <c r="M31" s="6"/>
      <c r="N31" s="6"/>
      <c r="O31" s="6"/>
      <c r="P31" s="6"/>
      <c r="Q31" s="6"/>
    </row>
    <row r="32" spans="1:17" ht="89.25" x14ac:dyDescent="0.25">
      <c r="A32" s="6"/>
      <c r="B32" s="6"/>
      <c r="C32" s="21" t="s">
        <v>132</v>
      </c>
      <c r="D32" s="24"/>
      <c r="E32" s="24"/>
      <c r="F32" s="25" t="s">
        <v>29</v>
      </c>
      <c r="G32" s="26" t="s">
        <v>23</v>
      </c>
      <c r="H32" s="24"/>
      <c r="I32" s="24"/>
      <c r="J32" s="26" t="s">
        <v>41</v>
      </c>
      <c r="K32" s="6"/>
      <c r="L32" s="6"/>
      <c r="M32" s="6"/>
      <c r="N32" s="6"/>
      <c r="O32" s="6"/>
      <c r="P32" s="6"/>
      <c r="Q32" s="6"/>
    </row>
    <row r="33" spans="1:17" ht="89.25" x14ac:dyDescent="0.25">
      <c r="A33" s="6"/>
      <c r="B33" s="6"/>
      <c r="C33" s="21" t="s">
        <v>132</v>
      </c>
      <c r="D33" s="24"/>
      <c r="E33" s="24"/>
      <c r="F33" s="27" t="s">
        <v>30</v>
      </c>
      <c r="G33" s="27" t="s">
        <v>43</v>
      </c>
      <c r="H33" s="27"/>
      <c r="I33" s="27"/>
      <c r="J33" s="21" t="s">
        <v>44</v>
      </c>
      <c r="K33" s="6"/>
      <c r="L33" s="6"/>
      <c r="M33" s="6"/>
      <c r="N33" s="6"/>
      <c r="O33" s="6"/>
      <c r="P33" s="6"/>
      <c r="Q33" s="6"/>
    </row>
    <row r="34" spans="1:17" ht="89.25" x14ac:dyDescent="0.25">
      <c r="A34" s="6"/>
      <c r="B34" s="6"/>
      <c r="C34" s="21" t="s">
        <v>132</v>
      </c>
      <c r="D34" s="24"/>
      <c r="E34" s="24"/>
      <c r="F34" s="27" t="s">
        <v>31</v>
      </c>
      <c r="G34" s="25" t="s">
        <v>25</v>
      </c>
      <c r="H34" s="25"/>
      <c r="I34" s="25"/>
      <c r="J34" s="25" t="s">
        <v>27</v>
      </c>
      <c r="K34" s="6"/>
      <c r="L34" s="6"/>
      <c r="M34" s="6"/>
      <c r="N34" s="6"/>
      <c r="O34" s="6"/>
      <c r="P34" s="6"/>
      <c r="Q34" s="6"/>
    </row>
    <row r="35" spans="1:17" ht="89.25" x14ac:dyDescent="0.25">
      <c r="A35" s="6"/>
      <c r="B35" s="6"/>
      <c r="C35" s="21" t="s">
        <v>132</v>
      </c>
      <c r="D35" s="24"/>
      <c r="E35" s="24"/>
      <c r="F35" s="27" t="s">
        <v>32</v>
      </c>
      <c r="G35" s="25" t="s">
        <v>521</v>
      </c>
      <c r="H35" s="25"/>
      <c r="I35" s="25"/>
      <c r="J35" s="25" t="s">
        <v>522</v>
      </c>
      <c r="K35" s="6"/>
      <c r="L35" s="6"/>
      <c r="M35" s="6"/>
      <c r="N35" s="6"/>
      <c r="O35" s="6"/>
      <c r="P35" s="6"/>
      <c r="Q35" s="6"/>
    </row>
    <row r="36" spans="1:17" ht="89.25" x14ac:dyDescent="0.25">
      <c r="A36" s="6"/>
      <c r="B36" s="6"/>
      <c r="C36" s="21" t="s">
        <v>132</v>
      </c>
      <c r="D36" s="23"/>
      <c r="E36" s="23"/>
      <c r="F36" s="27" t="s">
        <v>33</v>
      </c>
      <c r="G36" s="21" t="s">
        <v>50</v>
      </c>
      <c r="H36" s="27"/>
      <c r="I36" s="21"/>
      <c r="J36" s="21" t="s">
        <v>51</v>
      </c>
      <c r="K36" s="6"/>
      <c r="L36" s="6"/>
      <c r="M36" s="6"/>
      <c r="N36" s="6"/>
      <c r="O36" s="6"/>
      <c r="P36" s="6"/>
      <c r="Q36" s="6"/>
    </row>
    <row r="37" spans="1:17" ht="102" x14ac:dyDescent="0.25">
      <c r="A37" s="6"/>
      <c r="B37" s="6"/>
      <c r="C37" s="21" t="s">
        <v>132</v>
      </c>
      <c r="D37" s="23"/>
      <c r="E37" s="23"/>
      <c r="F37" s="27" t="s">
        <v>49</v>
      </c>
      <c r="G37" s="22" t="s">
        <v>566</v>
      </c>
      <c r="H37" s="23"/>
      <c r="I37" s="22" t="s">
        <v>119</v>
      </c>
      <c r="J37" s="22" t="s">
        <v>120</v>
      </c>
      <c r="K37" s="6"/>
      <c r="L37" s="6"/>
      <c r="M37" s="6"/>
      <c r="N37" s="6"/>
      <c r="O37" s="6"/>
      <c r="P37" s="6"/>
      <c r="Q37" s="6"/>
    </row>
    <row r="38" spans="1:17" ht="191.25" x14ac:dyDescent="0.25">
      <c r="A38" s="6"/>
      <c r="B38" s="6"/>
      <c r="C38" s="21" t="s">
        <v>133</v>
      </c>
      <c r="D38" s="22" t="s">
        <v>55</v>
      </c>
      <c r="E38" s="22" t="s">
        <v>134</v>
      </c>
      <c r="F38" s="34" t="s">
        <v>17</v>
      </c>
      <c r="G38" s="22" t="s">
        <v>589</v>
      </c>
      <c r="H38" s="23"/>
      <c r="I38" s="22" t="s">
        <v>517</v>
      </c>
      <c r="J38" s="24" t="s">
        <v>80</v>
      </c>
      <c r="K38" s="6"/>
      <c r="L38" s="6"/>
      <c r="M38" s="6"/>
      <c r="N38" s="6"/>
      <c r="O38" s="6"/>
      <c r="P38" s="6"/>
      <c r="Q38" s="6"/>
    </row>
    <row r="39" spans="1:17" ht="63.75" x14ac:dyDescent="0.25">
      <c r="A39" s="6"/>
      <c r="B39" s="6"/>
      <c r="C39" s="21" t="s">
        <v>133</v>
      </c>
      <c r="D39" s="24"/>
      <c r="E39" s="24"/>
      <c r="F39" s="25" t="s">
        <v>26</v>
      </c>
      <c r="G39" s="26" t="s">
        <v>18</v>
      </c>
      <c r="H39" s="24"/>
      <c r="I39" s="24"/>
      <c r="J39" s="26" t="s">
        <v>20</v>
      </c>
      <c r="K39" s="6"/>
      <c r="L39" s="6"/>
      <c r="M39" s="6"/>
      <c r="N39" s="6"/>
      <c r="O39" s="6"/>
      <c r="P39" s="6"/>
      <c r="Q39" s="6"/>
    </row>
    <row r="40" spans="1:17" ht="63.75" x14ac:dyDescent="0.25">
      <c r="A40" s="6"/>
      <c r="B40" s="6"/>
      <c r="C40" s="21" t="s">
        <v>133</v>
      </c>
      <c r="D40" s="24"/>
      <c r="E40" s="24"/>
      <c r="F40" s="25" t="s">
        <v>28</v>
      </c>
      <c r="G40" s="26" t="s">
        <v>21</v>
      </c>
      <c r="H40" s="24"/>
      <c r="I40" s="24"/>
      <c r="J40" s="26" t="s">
        <v>22</v>
      </c>
      <c r="K40" s="6"/>
      <c r="L40" s="6"/>
      <c r="M40" s="6"/>
      <c r="N40" s="6"/>
      <c r="O40" s="6"/>
      <c r="P40" s="6"/>
      <c r="Q40" s="6"/>
    </row>
    <row r="41" spans="1:17" ht="63.75" x14ac:dyDescent="0.25">
      <c r="A41" s="6"/>
      <c r="B41" s="6"/>
      <c r="C41" s="21" t="s">
        <v>133</v>
      </c>
      <c r="D41" s="24"/>
      <c r="E41" s="24"/>
      <c r="F41" s="25" t="s">
        <v>29</v>
      </c>
      <c r="G41" s="26" t="s">
        <v>23</v>
      </c>
      <c r="H41" s="24"/>
      <c r="I41" s="24"/>
      <c r="J41" s="26" t="s">
        <v>41</v>
      </c>
      <c r="K41" s="6"/>
      <c r="L41" s="6"/>
      <c r="M41" s="6"/>
      <c r="N41" s="6"/>
      <c r="O41" s="6"/>
      <c r="P41" s="6"/>
      <c r="Q41" s="6"/>
    </row>
    <row r="42" spans="1:17" ht="63.75" x14ac:dyDescent="0.25">
      <c r="A42" s="6"/>
      <c r="B42" s="6"/>
      <c r="C42" s="21" t="s">
        <v>133</v>
      </c>
      <c r="D42" s="24"/>
      <c r="E42" s="24"/>
      <c r="F42" s="27" t="s">
        <v>30</v>
      </c>
      <c r="G42" s="27" t="s">
        <v>43</v>
      </c>
      <c r="H42" s="27"/>
      <c r="I42" s="27"/>
      <c r="J42" s="21" t="s">
        <v>44</v>
      </c>
      <c r="K42" s="6"/>
      <c r="L42" s="6"/>
      <c r="M42" s="6"/>
      <c r="N42" s="6"/>
      <c r="O42" s="6"/>
      <c r="P42" s="6"/>
      <c r="Q42" s="6"/>
    </row>
    <row r="43" spans="1:17" ht="63.75" x14ac:dyDescent="0.25">
      <c r="A43" s="6"/>
      <c r="B43" s="6"/>
      <c r="C43" s="21" t="s">
        <v>133</v>
      </c>
      <c r="D43" s="24"/>
      <c r="E43" s="24"/>
      <c r="F43" s="27" t="s">
        <v>31</v>
      </c>
      <c r="G43" s="25" t="s">
        <v>25</v>
      </c>
      <c r="H43" s="25"/>
      <c r="I43" s="25"/>
      <c r="J43" s="25" t="s">
        <v>27</v>
      </c>
      <c r="K43" s="6"/>
      <c r="L43" s="6"/>
      <c r="M43" s="6"/>
      <c r="N43" s="6"/>
      <c r="O43" s="6"/>
      <c r="P43" s="6"/>
      <c r="Q43" s="6"/>
    </row>
    <row r="44" spans="1:17" ht="63.75" x14ac:dyDescent="0.25">
      <c r="A44" s="6"/>
      <c r="B44" s="6"/>
      <c r="C44" s="21" t="s">
        <v>133</v>
      </c>
      <c r="D44" s="24"/>
      <c r="E44" s="24"/>
      <c r="F44" s="27" t="s">
        <v>32</v>
      </c>
      <c r="G44" s="25" t="s">
        <v>521</v>
      </c>
      <c r="H44" s="25"/>
      <c r="I44" s="25"/>
      <c r="J44" s="25" t="s">
        <v>522</v>
      </c>
      <c r="K44" s="6"/>
      <c r="L44" s="6"/>
      <c r="M44" s="6"/>
      <c r="N44" s="6"/>
      <c r="O44" s="6"/>
      <c r="P44" s="6"/>
      <c r="Q44" s="6"/>
    </row>
    <row r="45" spans="1:17" ht="63.75" x14ac:dyDescent="0.25">
      <c r="A45" s="6"/>
      <c r="B45" s="6"/>
      <c r="C45" s="21" t="s">
        <v>133</v>
      </c>
      <c r="D45" s="23"/>
      <c r="E45" s="23"/>
      <c r="F45" s="27" t="s">
        <v>33</v>
      </c>
      <c r="G45" s="21" t="s">
        <v>50</v>
      </c>
      <c r="H45" s="27"/>
      <c r="I45" s="21"/>
      <c r="J45" s="21" t="s">
        <v>51</v>
      </c>
      <c r="K45" s="6"/>
      <c r="L45" s="6"/>
      <c r="M45" s="6"/>
      <c r="N45" s="6"/>
      <c r="O45" s="6"/>
      <c r="P45" s="6"/>
      <c r="Q45" s="6"/>
    </row>
    <row r="46" spans="1:17" ht="102" x14ac:dyDescent="0.25">
      <c r="A46" s="6"/>
      <c r="B46" s="6"/>
      <c r="C46" s="21" t="s">
        <v>133</v>
      </c>
      <c r="D46" s="23"/>
      <c r="E46" s="23"/>
      <c r="F46" s="27" t="s">
        <v>49</v>
      </c>
      <c r="G46" s="22" t="s">
        <v>566</v>
      </c>
      <c r="H46" s="23"/>
      <c r="I46" s="22" t="s">
        <v>119</v>
      </c>
      <c r="J46" s="22" t="s">
        <v>120</v>
      </c>
      <c r="K46" s="6"/>
      <c r="L46" s="6"/>
      <c r="M46" s="6"/>
      <c r="N46" s="6"/>
      <c r="O46" s="6"/>
      <c r="P46" s="6"/>
      <c r="Q46" s="6"/>
    </row>
    <row r="47" spans="1:17" ht="242.25" x14ac:dyDescent="0.25">
      <c r="A47" s="6"/>
      <c r="B47" s="6"/>
      <c r="C47" s="21" t="s">
        <v>135</v>
      </c>
      <c r="D47" s="22" t="s">
        <v>55</v>
      </c>
      <c r="E47" s="22" t="s">
        <v>547</v>
      </c>
      <c r="F47" s="34" t="s">
        <v>17</v>
      </c>
      <c r="G47" s="22" t="s">
        <v>590</v>
      </c>
      <c r="H47" s="23"/>
      <c r="I47" s="22" t="s">
        <v>517</v>
      </c>
      <c r="J47" s="24" t="s">
        <v>80</v>
      </c>
      <c r="K47" s="6"/>
      <c r="L47" s="6"/>
      <c r="M47" s="6"/>
      <c r="N47" s="6"/>
      <c r="O47" s="6"/>
      <c r="P47" s="6"/>
      <c r="Q47" s="6"/>
    </row>
    <row r="48" spans="1:17" ht="51" x14ac:dyDescent="0.25">
      <c r="A48" s="6"/>
      <c r="B48" s="6"/>
      <c r="C48" s="21" t="s">
        <v>135</v>
      </c>
      <c r="D48" s="24"/>
      <c r="E48" s="24"/>
      <c r="F48" s="25" t="s">
        <v>26</v>
      </c>
      <c r="G48" s="26" t="s">
        <v>18</v>
      </c>
      <c r="H48" s="24"/>
      <c r="I48" s="24"/>
      <c r="J48" s="26" t="s">
        <v>20</v>
      </c>
      <c r="K48" s="6"/>
      <c r="L48" s="6"/>
      <c r="M48" s="6"/>
      <c r="N48" s="6"/>
      <c r="O48" s="6"/>
      <c r="P48" s="6"/>
      <c r="Q48" s="6"/>
    </row>
    <row r="49" spans="1:17" ht="51" x14ac:dyDescent="0.25">
      <c r="A49" s="6"/>
      <c r="B49" s="6"/>
      <c r="C49" s="21" t="s">
        <v>135</v>
      </c>
      <c r="D49" s="24"/>
      <c r="E49" s="24"/>
      <c r="F49" s="25" t="s">
        <v>28</v>
      </c>
      <c r="G49" s="26" t="s">
        <v>21</v>
      </c>
      <c r="H49" s="24"/>
      <c r="I49" s="24"/>
      <c r="J49" s="26" t="s">
        <v>22</v>
      </c>
      <c r="K49" s="6"/>
      <c r="L49" s="6"/>
      <c r="M49" s="6"/>
      <c r="N49" s="6"/>
      <c r="O49" s="6"/>
      <c r="P49" s="6"/>
      <c r="Q49" s="6"/>
    </row>
    <row r="50" spans="1:17" ht="51" x14ac:dyDescent="0.25">
      <c r="A50" s="6"/>
      <c r="B50" s="6"/>
      <c r="C50" s="21" t="s">
        <v>135</v>
      </c>
      <c r="D50" s="24"/>
      <c r="E50" s="24"/>
      <c r="F50" s="25" t="s">
        <v>29</v>
      </c>
      <c r="G50" s="26" t="s">
        <v>23</v>
      </c>
      <c r="H50" s="24"/>
      <c r="I50" s="24"/>
      <c r="J50" s="26" t="s">
        <v>41</v>
      </c>
      <c r="K50" s="6"/>
      <c r="L50" s="6"/>
      <c r="M50" s="6"/>
      <c r="N50" s="6"/>
      <c r="O50" s="6"/>
      <c r="P50" s="6"/>
      <c r="Q50" s="6"/>
    </row>
    <row r="51" spans="1:17" ht="51" x14ac:dyDescent="0.25">
      <c r="A51" s="6"/>
      <c r="B51" s="6"/>
      <c r="C51" s="21" t="s">
        <v>135</v>
      </c>
      <c r="D51" s="24"/>
      <c r="E51" s="24"/>
      <c r="F51" s="27" t="s">
        <v>30</v>
      </c>
      <c r="G51" s="27" t="s">
        <v>43</v>
      </c>
      <c r="H51" s="27"/>
      <c r="I51" s="27"/>
      <c r="J51" s="21" t="s">
        <v>44</v>
      </c>
      <c r="K51" s="6"/>
      <c r="L51" s="6"/>
      <c r="M51" s="6"/>
      <c r="N51" s="6"/>
      <c r="O51" s="6"/>
      <c r="P51" s="31"/>
      <c r="Q51" s="6"/>
    </row>
    <row r="52" spans="1:17" ht="51" x14ac:dyDescent="0.25">
      <c r="A52" s="6"/>
      <c r="B52" s="6"/>
      <c r="C52" s="21" t="s">
        <v>135</v>
      </c>
      <c r="D52" s="24"/>
      <c r="E52" s="24"/>
      <c r="F52" s="27" t="s">
        <v>31</v>
      </c>
      <c r="G52" s="25" t="s">
        <v>25</v>
      </c>
      <c r="H52" s="25"/>
      <c r="I52" s="25"/>
      <c r="J52" s="25" t="s">
        <v>27</v>
      </c>
      <c r="K52" s="6"/>
      <c r="L52" s="6"/>
      <c r="M52" s="6"/>
      <c r="N52" s="6"/>
      <c r="O52" s="6"/>
    </row>
    <row r="53" spans="1:17" ht="51" x14ac:dyDescent="0.25">
      <c r="A53" s="6"/>
      <c r="B53" s="6"/>
      <c r="C53" s="21" t="s">
        <v>135</v>
      </c>
      <c r="D53" s="24"/>
      <c r="E53" s="24"/>
      <c r="F53" s="27" t="s">
        <v>32</v>
      </c>
      <c r="G53" s="25" t="s">
        <v>521</v>
      </c>
      <c r="H53" s="25"/>
      <c r="I53" s="25"/>
      <c r="J53" s="25" t="s">
        <v>522</v>
      </c>
      <c r="K53" s="6"/>
      <c r="L53" s="6"/>
      <c r="M53" s="6"/>
      <c r="N53" s="6"/>
      <c r="O53" s="6"/>
    </row>
    <row r="54" spans="1:17" ht="51" x14ac:dyDescent="0.25">
      <c r="A54" s="6"/>
      <c r="B54" s="6"/>
      <c r="C54" s="21" t="s">
        <v>135</v>
      </c>
      <c r="D54" s="23"/>
      <c r="E54" s="23"/>
      <c r="F54" s="27" t="s">
        <v>33</v>
      </c>
      <c r="G54" s="21" t="s">
        <v>50</v>
      </c>
      <c r="H54" s="27"/>
      <c r="I54" s="21"/>
      <c r="J54" s="21" t="s">
        <v>51</v>
      </c>
      <c r="K54" s="6"/>
      <c r="L54" s="6"/>
      <c r="M54" s="6"/>
      <c r="N54" s="6"/>
      <c r="O54" s="6"/>
    </row>
    <row r="55" spans="1:17" ht="102" x14ac:dyDescent="0.25">
      <c r="A55" s="6"/>
      <c r="B55" s="6"/>
      <c r="C55" s="21" t="s">
        <v>135</v>
      </c>
      <c r="D55" s="23"/>
      <c r="E55" s="23"/>
      <c r="F55" s="27" t="s">
        <v>49</v>
      </c>
      <c r="G55" s="22" t="s">
        <v>566</v>
      </c>
      <c r="H55" s="23"/>
      <c r="I55" s="22" t="s">
        <v>119</v>
      </c>
      <c r="J55" s="22" t="s">
        <v>136</v>
      </c>
      <c r="K55" s="6"/>
      <c r="L55" s="6"/>
      <c r="M55" s="6"/>
      <c r="N55" s="6"/>
      <c r="O55" s="6"/>
    </row>
    <row r="56" spans="1:17" ht="140.25" x14ac:dyDescent="0.25">
      <c r="A56" s="6"/>
      <c r="B56" s="6"/>
      <c r="C56" s="21" t="s">
        <v>255</v>
      </c>
      <c r="D56" s="22" t="s">
        <v>55</v>
      </c>
      <c r="E56" s="22" t="s">
        <v>139</v>
      </c>
      <c r="F56" s="34" t="s">
        <v>17</v>
      </c>
      <c r="G56" s="22" t="s">
        <v>591</v>
      </c>
      <c r="H56" s="23"/>
      <c r="I56" s="22" t="s">
        <v>517</v>
      </c>
      <c r="J56" s="24" t="s">
        <v>80</v>
      </c>
      <c r="K56" s="6"/>
      <c r="L56" s="6"/>
      <c r="M56" s="6"/>
      <c r="N56" s="6"/>
      <c r="O56" s="6"/>
    </row>
    <row r="57" spans="1:17" ht="140.25" x14ac:dyDescent="0.25">
      <c r="A57" s="6"/>
      <c r="B57" s="6"/>
      <c r="C57" s="21" t="s">
        <v>255</v>
      </c>
      <c r="D57" s="22"/>
      <c r="E57" s="22"/>
      <c r="F57" s="25" t="s">
        <v>19</v>
      </c>
      <c r="G57" s="22" t="s">
        <v>592</v>
      </c>
      <c r="H57" s="23"/>
      <c r="I57" s="22" t="s">
        <v>517</v>
      </c>
      <c r="J57" s="24"/>
      <c r="K57" s="6"/>
      <c r="L57" s="6"/>
      <c r="M57" s="6"/>
      <c r="N57" s="6"/>
      <c r="O57" s="6"/>
    </row>
    <row r="58" spans="1:17" ht="63.75" x14ac:dyDescent="0.25">
      <c r="A58" s="6"/>
      <c r="B58" s="6"/>
      <c r="C58" s="21" t="s">
        <v>255</v>
      </c>
      <c r="D58" s="24"/>
      <c r="E58" s="24"/>
      <c r="F58" s="25" t="s">
        <v>26</v>
      </c>
      <c r="G58" s="26" t="s">
        <v>18</v>
      </c>
      <c r="H58" s="24"/>
      <c r="I58" s="24"/>
      <c r="J58" s="26" t="s">
        <v>20</v>
      </c>
      <c r="K58" s="6"/>
      <c r="L58" s="6"/>
      <c r="M58" s="6"/>
      <c r="N58" s="6"/>
      <c r="O58" s="6"/>
    </row>
    <row r="59" spans="1:17" ht="63.75" x14ac:dyDescent="0.25">
      <c r="A59" s="6"/>
      <c r="B59" s="6"/>
      <c r="C59" s="21" t="s">
        <v>255</v>
      </c>
      <c r="D59" s="24"/>
      <c r="E59" s="24"/>
      <c r="F59" s="25" t="s">
        <v>28</v>
      </c>
      <c r="G59" s="26" t="s">
        <v>21</v>
      </c>
      <c r="H59" s="24"/>
      <c r="I59" s="24"/>
      <c r="J59" s="26" t="s">
        <v>22</v>
      </c>
      <c r="K59" s="6"/>
      <c r="L59" s="6"/>
      <c r="M59" s="6"/>
      <c r="N59" s="6"/>
      <c r="O59" s="6"/>
    </row>
    <row r="60" spans="1:17" ht="63.75" x14ac:dyDescent="0.25">
      <c r="A60" s="6"/>
      <c r="B60" s="6"/>
      <c r="C60" s="21" t="s">
        <v>255</v>
      </c>
      <c r="D60" s="24"/>
      <c r="E60" s="24"/>
      <c r="F60" s="25" t="s">
        <v>29</v>
      </c>
      <c r="G60" s="26" t="s">
        <v>23</v>
      </c>
      <c r="H60" s="24"/>
      <c r="I60" s="24"/>
      <c r="J60" s="26" t="s">
        <v>41</v>
      </c>
      <c r="K60" s="6"/>
      <c r="L60" s="6"/>
      <c r="M60" s="6"/>
      <c r="N60" s="6"/>
      <c r="O60" s="6"/>
    </row>
    <row r="61" spans="1:17" ht="63.75" x14ac:dyDescent="0.25">
      <c r="A61" s="6"/>
      <c r="B61" s="6"/>
      <c r="C61" s="21" t="s">
        <v>255</v>
      </c>
      <c r="D61" s="24"/>
      <c r="E61" s="24"/>
      <c r="F61" s="25" t="s">
        <v>30</v>
      </c>
      <c r="G61" s="27" t="s">
        <v>43</v>
      </c>
      <c r="H61" s="27"/>
      <c r="I61" s="27"/>
      <c r="J61" s="21" t="s">
        <v>44</v>
      </c>
      <c r="K61" s="6"/>
      <c r="L61" s="6"/>
      <c r="M61" s="6"/>
      <c r="N61" s="6"/>
      <c r="O61" s="6"/>
    </row>
    <row r="62" spans="1:17" ht="63.75" x14ac:dyDescent="0.25">
      <c r="A62" s="6"/>
      <c r="B62" s="6"/>
      <c r="C62" s="21" t="s">
        <v>255</v>
      </c>
      <c r="D62" s="24"/>
      <c r="E62" s="24"/>
      <c r="F62" s="25" t="s">
        <v>31</v>
      </c>
      <c r="G62" s="25" t="s">
        <v>25</v>
      </c>
      <c r="H62" s="25"/>
      <c r="I62" s="25"/>
      <c r="J62" s="25" t="s">
        <v>27</v>
      </c>
      <c r="K62" s="6"/>
      <c r="L62" s="6"/>
      <c r="M62" s="6"/>
      <c r="N62" s="6"/>
      <c r="O62" s="6"/>
    </row>
    <row r="63" spans="1:17" ht="63.75" x14ac:dyDescent="0.25">
      <c r="A63" s="6"/>
      <c r="B63" s="6"/>
      <c r="C63" s="21" t="s">
        <v>255</v>
      </c>
      <c r="D63" s="24"/>
      <c r="E63" s="24"/>
      <c r="F63" s="25" t="s">
        <v>32</v>
      </c>
      <c r="G63" s="25" t="s">
        <v>521</v>
      </c>
      <c r="H63" s="25"/>
      <c r="I63" s="25"/>
      <c r="J63" s="25" t="s">
        <v>522</v>
      </c>
      <c r="K63" s="6"/>
      <c r="L63" s="6"/>
      <c r="M63" s="6"/>
      <c r="N63" s="6"/>
      <c r="O63" s="6"/>
    </row>
    <row r="64" spans="1:17" ht="63.75" x14ac:dyDescent="0.25">
      <c r="A64" s="6"/>
      <c r="B64" s="6"/>
      <c r="C64" s="21" t="s">
        <v>255</v>
      </c>
      <c r="D64" s="23"/>
      <c r="E64" s="23"/>
      <c r="F64" s="25" t="s">
        <v>33</v>
      </c>
      <c r="G64" s="21" t="s">
        <v>50</v>
      </c>
      <c r="H64" s="27"/>
      <c r="I64" s="21"/>
      <c r="J64" s="21" t="s">
        <v>51</v>
      </c>
      <c r="K64" s="6"/>
      <c r="L64" s="6"/>
      <c r="M64" s="6"/>
      <c r="N64" s="6"/>
      <c r="O64" s="6"/>
    </row>
    <row r="65" spans="1:15" ht="114.75" x14ac:dyDescent="0.25">
      <c r="A65" s="6"/>
      <c r="B65" s="6"/>
      <c r="C65" s="21" t="s">
        <v>255</v>
      </c>
      <c r="D65" s="23"/>
      <c r="E65" s="23"/>
      <c r="F65" s="25" t="s">
        <v>49</v>
      </c>
      <c r="G65" s="22" t="s">
        <v>593</v>
      </c>
      <c r="H65" s="23"/>
      <c r="I65" s="22" t="s">
        <v>119</v>
      </c>
      <c r="J65" s="22" t="s">
        <v>140</v>
      </c>
      <c r="K65" s="6"/>
      <c r="L65" s="6"/>
      <c r="M65" s="6"/>
      <c r="N65" s="6"/>
      <c r="O65" s="6"/>
    </row>
    <row r="66" spans="1:15" ht="114.75" x14ac:dyDescent="0.25">
      <c r="A66" s="6"/>
      <c r="B66" s="6"/>
      <c r="C66" s="21" t="s">
        <v>142</v>
      </c>
      <c r="D66" s="22" t="s">
        <v>55</v>
      </c>
      <c r="E66" s="22" t="s">
        <v>143</v>
      </c>
      <c r="F66" s="34" t="s">
        <v>17</v>
      </c>
      <c r="G66" s="22" t="s">
        <v>594</v>
      </c>
      <c r="H66" s="23"/>
      <c r="I66" s="22" t="s">
        <v>517</v>
      </c>
      <c r="J66" s="24" t="s">
        <v>80</v>
      </c>
      <c r="K66" s="6"/>
      <c r="L66" s="6"/>
      <c r="M66" s="6"/>
      <c r="N66" s="6"/>
      <c r="O66" s="6"/>
    </row>
    <row r="67" spans="1:15" ht="114.75" x14ac:dyDescent="0.25">
      <c r="A67" s="6"/>
      <c r="B67" s="6"/>
      <c r="C67" s="21" t="s">
        <v>142</v>
      </c>
      <c r="D67" s="22"/>
      <c r="E67" s="22"/>
      <c r="F67" s="25" t="s">
        <v>19</v>
      </c>
      <c r="G67" s="22" t="s">
        <v>595</v>
      </c>
      <c r="H67" s="23"/>
      <c r="I67" s="22" t="s">
        <v>517</v>
      </c>
      <c r="J67" s="24"/>
      <c r="K67" s="6"/>
      <c r="L67" s="6"/>
      <c r="M67" s="6"/>
      <c r="N67" s="6"/>
      <c r="O67" s="6"/>
    </row>
    <row r="68" spans="1:15" ht="89.25" x14ac:dyDescent="0.25">
      <c r="A68" s="6"/>
      <c r="B68" s="6"/>
      <c r="C68" s="21" t="s">
        <v>142</v>
      </c>
      <c r="D68" s="24"/>
      <c r="E68" s="24"/>
      <c r="F68" s="25" t="s">
        <v>26</v>
      </c>
      <c r="G68" s="26" t="s">
        <v>18</v>
      </c>
      <c r="H68" s="24"/>
      <c r="I68" s="24"/>
      <c r="J68" s="26" t="s">
        <v>20</v>
      </c>
      <c r="K68" s="6"/>
      <c r="L68" s="6"/>
      <c r="M68" s="6"/>
      <c r="N68" s="6"/>
      <c r="O68" s="6"/>
    </row>
    <row r="69" spans="1:15" ht="89.25" x14ac:dyDescent="0.25">
      <c r="A69" s="6"/>
      <c r="B69" s="6"/>
      <c r="C69" s="21" t="s">
        <v>142</v>
      </c>
      <c r="D69" s="24"/>
      <c r="E69" s="24"/>
      <c r="F69" s="25" t="s">
        <v>28</v>
      </c>
      <c r="G69" s="26" t="s">
        <v>21</v>
      </c>
      <c r="H69" s="24"/>
      <c r="I69" s="24"/>
      <c r="J69" s="26" t="s">
        <v>22</v>
      </c>
      <c r="K69" s="6"/>
      <c r="L69" s="6"/>
      <c r="M69" s="6"/>
      <c r="N69" s="6"/>
      <c r="O69" s="6"/>
    </row>
    <row r="70" spans="1:15" ht="89.25" x14ac:dyDescent="0.25">
      <c r="A70" s="6"/>
      <c r="B70" s="6"/>
      <c r="C70" s="21" t="s">
        <v>142</v>
      </c>
      <c r="D70" s="24"/>
      <c r="E70" s="24"/>
      <c r="F70" s="25" t="s">
        <v>29</v>
      </c>
      <c r="G70" s="26" t="s">
        <v>23</v>
      </c>
      <c r="H70" s="24"/>
      <c r="I70" s="24"/>
      <c r="J70" s="26" t="s">
        <v>41</v>
      </c>
      <c r="K70" s="6"/>
      <c r="L70" s="6"/>
      <c r="M70" s="6"/>
      <c r="N70" s="6"/>
      <c r="O70" s="6"/>
    </row>
    <row r="71" spans="1:15" ht="89.25" x14ac:dyDescent="0.25">
      <c r="A71" s="6"/>
      <c r="B71" s="6"/>
      <c r="C71" s="21" t="s">
        <v>142</v>
      </c>
      <c r="D71" s="24"/>
      <c r="E71" s="24"/>
      <c r="F71" s="25" t="s">
        <v>30</v>
      </c>
      <c r="G71" s="27" t="s">
        <v>43</v>
      </c>
      <c r="H71" s="27"/>
      <c r="I71" s="27"/>
      <c r="J71" s="21" t="s">
        <v>44</v>
      </c>
      <c r="K71" s="6"/>
      <c r="L71" s="6"/>
      <c r="M71" s="6"/>
      <c r="N71" s="6"/>
      <c r="O71" s="6"/>
    </row>
    <row r="72" spans="1:15" ht="89.25" x14ac:dyDescent="0.25">
      <c r="A72" s="6"/>
      <c r="B72" s="6"/>
      <c r="C72" s="21" t="s">
        <v>142</v>
      </c>
      <c r="D72" s="24"/>
      <c r="E72" s="24"/>
      <c r="F72" s="25" t="s">
        <v>31</v>
      </c>
      <c r="G72" s="25" t="s">
        <v>25</v>
      </c>
      <c r="H72" s="25"/>
      <c r="I72" s="25"/>
      <c r="J72" s="25" t="s">
        <v>27</v>
      </c>
      <c r="K72" s="6"/>
      <c r="L72" s="6"/>
      <c r="M72" s="6"/>
      <c r="N72" s="6"/>
      <c r="O72" s="6"/>
    </row>
    <row r="73" spans="1:15" ht="89.25" x14ac:dyDescent="0.25">
      <c r="A73" s="6"/>
      <c r="B73" s="6"/>
      <c r="C73" s="21" t="s">
        <v>142</v>
      </c>
      <c r="D73" s="24"/>
      <c r="E73" s="24"/>
      <c r="F73" s="25" t="s">
        <v>32</v>
      </c>
      <c r="G73" s="25" t="s">
        <v>521</v>
      </c>
      <c r="H73" s="25"/>
      <c r="I73" s="25"/>
      <c r="J73" s="25" t="s">
        <v>522</v>
      </c>
      <c r="K73" s="6"/>
      <c r="L73" s="6"/>
      <c r="M73" s="6"/>
      <c r="N73" s="6"/>
      <c r="O73" s="6"/>
    </row>
    <row r="74" spans="1:15" ht="89.25" x14ac:dyDescent="0.25">
      <c r="A74" s="6"/>
      <c r="B74" s="6"/>
      <c r="C74" s="21" t="s">
        <v>142</v>
      </c>
      <c r="D74" s="23"/>
      <c r="E74" s="23"/>
      <c r="F74" s="25" t="s">
        <v>33</v>
      </c>
      <c r="G74" s="21" t="s">
        <v>50</v>
      </c>
      <c r="H74" s="27"/>
      <c r="I74" s="21"/>
      <c r="J74" s="21" t="s">
        <v>51</v>
      </c>
      <c r="K74" s="6"/>
      <c r="L74" s="6"/>
      <c r="M74" s="6"/>
      <c r="N74" s="6"/>
      <c r="O74" s="6"/>
    </row>
    <row r="75" spans="1:15" ht="127.5" x14ac:dyDescent="0.25">
      <c r="A75" s="6"/>
      <c r="B75" s="6"/>
      <c r="C75" s="21" t="s">
        <v>142</v>
      </c>
      <c r="D75" s="23"/>
      <c r="E75" s="23"/>
      <c r="F75" s="25" t="s">
        <v>49</v>
      </c>
      <c r="G75" s="22" t="s">
        <v>576</v>
      </c>
      <c r="H75" s="23"/>
      <c r="I75" s="22" t="s">
        <v>119</v>
      </c>
      <c r="J75" s="22" t="s">
        <v>140</v>
      </c>
      <c r="K75" s="6"/>
      <c r="L75" s="6"/>
      <c r="M75" s="6"/>
      <c r="N75" s="6"/>
      <c r="O75" s="6"/>
    </row>
    <row r="76" spans="1:15" ht="127.5" x14ac:dyDescent="0.25">
      <c r="A76" s="6"/>
      <c r="B76" s="6"/>
      <c r="C76" s="21" t="s">
        <v>224</v>
      </c>
      <c r="D76" s="22" t="s">
        <v>55</v>
      </c>
      <c r="E76" s="22" t="s">
        <v>225</v>
      </c>
      <c r="F76" s="34" t="s">
        <v>17</v>
      </c>
      <c r="G76" s="22" t="s">
        <v>596</v>
      </c>
      <c r="H76" s="23"/>
      <c r="I76" s="22" t="s">
        <v>517</v>
      </c>
      <c r="J76" s="24" t="s">
        <v>80</v>
      </c>
      <c r="K76" s="6"/>
      <c r="L76" s="6"/>
      <c r="M76" s="6"/>
      <c r="N76" s="6"/>
      <c r="O76" s="6"/>
    </row>
    <row r="77" spans="1:15" ht="63.75" x14ac:dyDescent="0.25">
      <c r="A77" s="6"/>
      <c r="B77" s="6"/>
      <c r="C77" s="21" t="s">
        <v>224</v>
      </c>
      <c r="D77" s="24"/>
      <c r="E77" s="24"/>
      <c r="F77" s="25" t="s">
        <v>26</v>
      </c>
      <c r="G77" s="26" t="s">
        <v>18</v>
      </c>
      <c r="H77" s="24"/>
      <c r="I77" s="24"/>
      <c r="J77" s="26" t="s">
        <v>20</v>
      </c>
      <c r="K77" s="6"/>
      <c r="L77" s="6"/>
      <c r="M77" s="6"/>
      <c r="N77" s="6"/>
      <c r="O77" s="6"/>
    </row>
    <row r="78" spans="1:15" ht="63.75" x14ac:dyDescent="0.25">
      <c r="A78" s="6"/>
      <c r="B78" s="6"/>
      <c r="C78" s="21" t="s">
        <v>224</v>
      </c>
      <c r="D78" s="24"/>
      <c r="E78" s="24"/>
      <c r="F78" s="25" t="s">
        <v>28</v>
      </c>
      <c r="G78" s="26" t="s">
        <v>21</v>
      </c>
      <c r="H78" s="24"/>
      <c r="I78" s="24"/>
      <c r="J78" s="26" t="s">
        <v>22</v>
      </c>
      <c r="K78" s="6"/>
      <c r="L78" s="6"/>
      <c r="M78" s="6"/>
      <c r="N78" s="6"/>
      <c r="O78" s="6"/>
    </row>
    <row r="79" spans="1:15" ht="63.75" x14ac:dyDescent="0.25">
      <c r="A79" s="6"/>
      <c r="B79" s="6"/>
      <c r="C79" s="21" t="s">
        <v>224</v>
      </c>
      <c r="D79" s="24"/>
      <c r="E79" s="24"/>
      <c r="F79" s="25" t="s">
        <v>29</v>
      </c>
      <c r="G79" s="26" t="s">
        <v>23</v>
      </c>
      <c r="H79" s="24"/>
      <c r="I79" s="24"/>
      <c r="J79" s="26" t="s">
        <v>41</v>
      </c>
      <c r="K79" s="6"/>
      <c r="L79" s="6"/>
      <c r="M79" s="6"/>
      <c r="N79" s="6"/>
      <c r="O79" s="6"/>
    </row>
    <row r="80" spans="1:15" ht="63.75" x14ac:dyDescent="0.25">
      <c r="A80" s="6"/>
      <c r="B80" s="6"/>
      <c r="C80" s="21" t="s">
        <v>224</v>
      </c>
      <c r="D80" s="24"/>
      <c r="E80" s="24"/>
      <c r="F80" s="25" t="s">
        <v>30</v>
      </c>
      <c r="G80" s="27" t="s">
        <v>43</v>
      </c>
      <c r="H80" s="27"/>
      <c r="I80" s="27"/>
      <c r="J80" s="21" t="s">
        <v>44</v>
      </c>
      <c r="K80" s="6"/>
      <c r="L80" s="6"/>
      <c r="M80" s="6"/>
      <c r="N80" s="6"/>
      <c r="O80" s="6"/>
    </row>
    <row r="81" spans="1:15" ht="63.75" x14ac:dyDescent="0.25">
      <c r="A81" s="6"/>
      <c r="B81" s="6"/>
      <c r="C81" s="21" t="s">
        <v>224</v>
      </c>
      <c r="D81" s="24"/>
      <c r="E81" s="24"/>
      <c r="F81" s="25" t="s">
        <v>31</v>
      </c>
      <c r="G81" s="25" t="s">
        <v>25</v>
      </c>
      <c r="H81" s="25"/>
      <c r="I81" s="25"/>
      <c r="J81" s="25" t="s">
        <v>27</v>
      </c>
      <c r="K81" s="6"/>
      <c r="L81" s="6"/>
      <c r="M81" s="6"/>
      <c r="N81" s="6"/>
      <c r="O81" s="6"/>
    </row>
    <row r="82" spans="1:15" ht="63.75" x14ac:dyDescent="0.25">
      <c r="A82" s="6"/>
      <c r="B82" s="6"/>
      <c r="C82" s="21" t="s">
        <v>224</v>
      </c>
      <c r="D82" s="23"/>
      <c r="E82" s="23"/>
      <c r="F82" s="25" t="s">
        <v>32</v>
      </c>
      <c r="G82" s="21" t="s">
        <v>50</v>
      </c>
      <c r="H82" s="27"/>
      <c r="I82" s="21"/>
      <c r="J82" s="21" t="s">
        <v>226</v>
      </c>
      <c r="K82" s="6"/>
      <c r="L82" s="6"/>
      <c r="M82" s="6"/>
      <c r="N82" s="6"/>
      <c r="O82" s="6"/>
    </row>
    <row r="83" spans="1:15" ht="89.25" x14ac:dyDescent="0.25">
      <c r="A83" s="6"/>
      <c r="B83" s="6"/>
      <c r="C83" s="21" t="s">
        <v>224</v>
      </c>
      <c r="D83" s="23"/>
      <c r="E83" s="23"/>
      <c r="F83" s="25" t="s">
        <v>33</v>
      </c>
      <c r="G83" s="22" t="s">
        <v>578</v>
      </c>
      <c r="H83" s="23"/>
      <c r="I83" s="22" t="s">
        <v>147</v>
      </c>
      <c r="J83" s="22" t="s">
        <v>227</v>
      </c>
      <c r="K83" s="6"/>
      <c r="L83" s="6"/>
      <c r="M83" s="6"/>
      <c r="N83" s="6"/>
      <c r="O83" s="6"/>
    </row>
    <row r="84" spans="1:15" ht="114.75" x14ac:dyDescent="0.25">
      <c r="A84" s="6"/>
      <c r="B84" s="6"/>
      <c r="C84" s="21" t="s">
        <v>235</v>
      </c>
      <c r="D84" s="22" t="s">
        <v>55</v>
      </c>
      <c r="E84" s="22" t="s">
        <v>234</v>
      </c>
      <c r="F84" s="34" t="s">
        <v>17</v>
      </c>
      <c r="G84" s="22" t="s">
        <v>597</v>
      </c>
      <c r="H84" s="23"/>
      <c r="I84" s="22" t="s">
        <v>517</v>
      </c>
      <c r="J84" s="24" t="s">
        <v>80</v>
      </c>
      <c r="K84" s="6"/>
      <c r="L84" s="6"/>
      <c r="M84" s="6"/>
      <c r="N84" s="6"/>
      <c r="O84" s="6"/>
    </row>
    <row r="85" spans="1:15" ht="63.75" x14ac:dyDescent="0.25">
      <c r="A85" s="6"/>
      <c r="B85" s="6"/>
      <c r="C85" s="21" t="s">
        <v>235</v>
      </c>
      <c r="D85" s="24"/>
      <c r="E85" s="24"/>
      <c r="F85" s="25" t="s">
        <v>26</v>
      </c>
      <c r="G85" s="26" t="s">
        <v>18</v>
      </c>
      <c r="H85" s="24"/>
      <c r="I85" s="24"/>
      <c r="J85" s="26" t="s">
        <v>20</v>
      </c>
      <c r="K85" s="6"/>
      <c r="L85" s="6"/>
      <c r="M85" s="6"/>
      <c r="N85" s="6"/>
      <c r="O85" s="6"/>
    </row>
    <row r="86" spans="1:15" ht="63.75" x14ac:dyDescent="0.25">
      <c r="A86" s="6"/>
      <c r="B86" s="6"/>
      <c r="C86" s="21" t="s">
        <v>235</v>
      </c>
      <c r="D86" s="24"/>
      <c r="E86" s="24"/>
      <c r="F86" s="25" t="s">
        <v>28</v>
      </c>
      <c r="G86" s="26" t="s">
        <v>21</v>
      </c>
      <c r="H86" s="24"/>
      <c r="I86" s="24"/>
      <c r="J86" s="26" t="s">
        <v>22</v>
      </c>
      <c r="K86" s="6"/>
      <c r="L86" s="6"/>
      <c r="M86" s="6"/>
      <c r="N86" s="6"/>
      <c r="O86" s="6"/>
    </row>
    <row r="87" spans="1:15" ht="63.75" x14ac:dyDescent="0.25">
      <c r="A87" s="6"/>
      <c r="B87" s="6"/>
      <c r="C87" s="21" t="s">
        <v>235</v>
      </c>
      <c r="D87" s="24"/>
      <c r="E87" s="24"/>
      <c r="F87" s="25" t="s">
        <v>29</v>
      </c>
      <c r="G87" s="26" t="s">
        <v>23</v>
      </c>
      <c r="H87" s="24"/>
      <c r="I87" s="24"/>
      <c r="J87" s="26" t="s">
        <v>41</v>
      </c>
      <c r="K87" s="6"/>
      <c r="L87" s="6"/>
      <c r="M87" s="6"/>
      <c r="N87" s="6"/>
      <c r="O87" s="6"/>
    </row>
    <row r="88" spans="1:15" ht="63.75" x14ac:dyDescent="0.25">
      <c r="A88" s="6"/>
      <c r="B88" s="6"/>
      <c r="C88" s="21" t="s">
        <v>235</v>
      </c>
      <c r="D88" s="24"/>
      <c r="E88" s="24"/>
      <c r="F88" s="25" t="s">
        <v>30</v>
      </c>
      <c r="G88" s="27" t="s">
        <v>43</v>
      </c>
      <c r="H88" s="27"/>
      <c r="I88" s="27"/>
      <c r="J88" s="21" t="s">
        <v>44</v>
      </c>
      <c r="K88" s="6"/>
      <c r="L88" s="6"/>
      <c r="M88" s="6"/>
      <c r="N88" s="6"/>
      <c r="O88" s="6"/>
    </row>
    <row r="89" spans="1:15" ht="63.75" x14ac:dyDescent="0.25">
      <c r="A89" s="6"/>
      <c r="B89" s="6"/>
      <c r="C89" s="21" t="s">
        <v>235</v>
      </c>
      <c r="D89" s="24"/>
      <c r="E89" s="24"/>
      <c r="F89" s="25" t="s">
        <v>31</v>
      </c>
      <c r="G89" s="25" t="s">
        <v>25</v>
      </c>
      <c r="H89" s="25"/>
      <c r="I89" s="25"/>
      <c r="J89" s="25" t="s">
        <v>27</v>
      </c>
      <c r="K89" s="6"/>
      <c r="L89" s="6"/>
      <c r="M89" s="6"/>
      <c r="N89" s="6"/>
      <c r="O89" s="6"/>
    </row>
    <row r="90" spans="1:15" ht="63.75" x14ac:dyDescent="0.25">
      <c r="A90" s="6"/>
      <c r="B90" s="6"/>
      <c r="C90" s="21" t="s">
        <v>235</v>
      </c>
      <c r="D90" s="23"/>
      <c r="E90" s="23"/>
      <c r="F90" s="25" t="s">
        <v>32</v>
      </c>
      <c r="G90" s="21" t="s">
        <v>50</v>
      </c>
      <c r="H90" s="27"/>
      <c r="I90" s="21"/>
      <c r="J90" s="21" t="s">
        <v>226</v>
      </c>
      <c r="K90" s="6"/>
      <c r="L90" s="6"/>
      <c r="M90" s="6"/>
      <c r="N90" s="6"/>
      <c r="O90" s="6"/>
    </row>
    <row r="91" spans="1:15" ht="89.25" x14ac:dyDescent="0.25">
      <c r="A91" s="6"/>
      <c r="B91" s="6"/>
      <c r="C91" s="21" t="s">
        <v>235</v>
      </c>
      <c r="D91" s="23"/>
      <c r="E91" s="23"/>
      <c r="F91" s="25" t="s">
        <v>33</v>
      </c>
      <c r="G91" s="22" t="s">
        <v>578</v>
      </c>
      <c r="H91" s="23"/>
      <c r="I91" s="22" t="s">
        <v>147</v>
      </c>
      <c r="J91" s="22" t="s">
        <v>227</v>
      </c>
      <c r="K91" s="6"/>
      <c r="L91" s="6"/>
      <c r="M91" s="6"/>
      <c r="N91" s="6"/>
      <c r="O91" s="6"/>
    </row>
    <row r="92" spans="1:15" ht="178.5" x14ac:dyDescent="0.25">
      <c r="A92" s="6"/>
      <c r="B92" s="6"/>
      <c r="C92" s="21" t="s">
        <v>250</v>
      </c>
      <c r="D92" s="22" t="s">
        <v>55</v>
      </c>
      <c r="E92" s="22" t="s">
        <v>548</v>
      </c>
      <c r="F92" s="34" t="s">
        <v>17</v>
      </c>
      <c r="G92" s="22" t="s">
        <v>598</v>
      </c>
      <c r="H92" s="23"/>
      <c r="I92" s="22" t="s">
        <v>517</v>
      </c>
      <c r="J92" s="24" t="s">
        <v>80</v>
      </c>
      <c r="K92" s="6"/>
      <c r="L92" s="6"/>
      <c r="M92" s="6"/>
      <c r="N92" s="6"/>
      <c r="O92" s="6"/>
    </row>
    <row r="93" spans="1:15" ht="63.75" x14ac:dyDescent="0.25">
      <c r="A93" s="6"/>
      <c r="B93" s="6"/>
      <c r="C93" s="21" t="s">
        <v>250</v>
      </c>
      <c r="D93" s="24"/>
      <c r="E93" s="24"/>
      <c r="F93" s="25" t="s">
        <v>26</v>
      </c>
      <c r="G93" s="26" t="s">
        <v>18</v>
      </c>
      <c r="H93" s="24"/>
      <c r="I93" s="24"/>
      <c r="J93" s="26" t="s">
        <v>20</v>
      </c>
      <c r="K93" s="6"/>
      <c r="L93" s="6"/>
      <c r="M93" s="6"/>
      <c r="N93" s="6"/>
      <c r="O93" s="6"/>
    </row>
    <row r="94" spans="1:15" ht="63.75" x14ac:dyDescent="0.25">
      <c r="A94" s="6"/>
      <c r="B94" s="6"/>
      <c r="C94" s="21" t="s">
        <v>250</v>
      </c>
      <c r="D94" s="24"/>
      <c r="E94" s="24"/>
      <c r="F94" s="25" t="s">
        <v>28</v>
      </c>
      <c r="G94" s="26" t="s">
        <v>21</v>
      </c>
      <c r="H94" s="24"/>
      <c r="I94" s="24"/>
      <c r="J94" s="26" t="s">
        <v>22</v>
      </c>
      <c r="K94" s="6"/>
      <c r="L94" s="6"/>
      <c r="M94" s="6"/>
      <c r="N94" s="6"/>
      <c r="O94" s="6"/>
    </row>
    <row r="95" spans="1:15" ht="63.75" x14ac:dyDescent="0.25">
      <c r="A95" s="6"/>
      <c r="B95" s="6"/>
      <c r="C95" s="21" t="s">
        <v>250</v>
      </c>
      <c r="D95" s="24"/>
      <c r="E95" s="24"/>
      <c r="F95" s="25" t="s">
        <v>29</v>
      </c>
      <c r="G95" s="26" t="s">
        <v>23</v>
      </c>
      <c r="H95" s="24"/>
      <c r="I95" s="24"/>
      <c r="J95" s="26" t="s">
        <v>41</v>
      </c>
      <c r="K95" s="6"/>
      <c r="L95" s="6"/>
      <c r="M95" s="6"/>
      <c r="N95" s="6"/>
      <c r="O95" s="6"/>
    </row>
    <row r="96" spans="1:15" ht="63.75" x14ac:dyDescent="0.25">
      <c r="A96" s="6"/>
      <c r="B96" s="6"/>
      <c r="C96" s="21" t="s">
        <v>250</v>
      </c>
      <c r="D96" s="24"/>
      <c r="E96" s="24"/>
      <c r="F96" s="25" t="s">
        <v>30</v>
      </c>
      <c r="G96" s="27" t="s">
        <v>43</v>
      </c>
      <c r="H96" s="27"/>
      <c r="I96" s="27"/>
      <c r="J96" s="21" t="s">
        <v>44</v>
      </c>
      <c r="K96" s="6"/>
      <c r="L96" s="6"/>
      <c r="M96" s="6"/>
      <c r="N96" s="6"/>
      <c r="O96" s="6"/>
    </row>
    <row r="97" spans="1:15" ht="63.75" x14ac:dyDescent="0.25">
      <c r="A97" s="6"/>
      <c r="B97" s="6"/>
      <c r="C97" s="21" t="s">
        <v>250</v>
      </c>
      <c r="D97" s="24"/>
      <c r="E97" s="24"/>
      <c r="F97" s="25" t="s">
        <v>31</v>
      </c>
      <c r="G97" s="25" t="s">
        <v>25</v>
      </c>
      <c r="H97" s="25"/>
      <c r="I97" s="25"/>
      <c r="J97" s="25" t="s">
        <v>27</v>
      </c>
      <c r="K97" s="6"/>
      <c r="L97" s="6"/>
      <c r="M97" s="6"/>
      <c r="N97" s="6"/>
      <c r="O97" s="6"/>
    </row>
    <row r="98" spans="1:15" ht="63.75" x14ac:dyDescent="0.25">
      <c r="A98" s="6"/>
      <c r="B98" s="6"/>
      <c r="C98" s="21" t="s">
        <v>250</v>
      </c>
      <c r="D98" s="23"/>
      <c r="E98" s="23"/>
      <c r="F98" s="25" t="s">
        <v>32</v>
      </c>
      <c r="G98" s="21" t="s">
        <v>50</v>
      </c>
      <c r="H98" s="27"/>
      <c r="I98" s="21"/>
      <c r="J98" s="21" t="s">
        <v>226</v>
      </c>
      <c r="K98" s="6"/>
      <c r="L98" s="6"/>
      <c r="M98" s="6"/>
      <c r="N98" s="6"/>
      <c r="O98" s="6"/>
    </row>
    <row r="99" spans="1:15" ht="63.75" x14ac:dyDescent="0.25">
      <c r="A99" s="6"/>
      <c r="B99" s="6"/>
      <c r="C99" s="21" t="s">
        <v>250</v>
      </c>
      <c r="D99" s="23"/>
      <c r="E99" s="23"/>
      <c r="F99" s="25" t="s">
        <v>33</v>
      </c>
      <c r="G99" s="22" t="s">
        <v>248</v>
      </c>
      <c r="H99" s="23"/>
      <c r="I99" s="22" t="s">
        <v>249</v>
      </c>
      <c r="J99" s="22" t="s">
        <v>251</v>
      </c>
      <c r="K99" s="6"/>
      <c r="L99" s="6"/>
      <c r="M99" s="6"/>
      <c r="N99" s="6"/>
      <c r="O99" s="6"/>
    </row>
    <row r="100" spans="1:15" ht="48.75" x14ac:dyDescent="0.25">
      <c r="A100" s="6"/>
      <c r="B100" s="6"/>
      <c r="C100" s="43" t="s">
        <v>544</v>
      </c>
      <c r="D100" s="43" t="s">
        <v>351</v>
      </c>
      <c r="E100" s="43" t="s">
        <v>264</v>
      </c>
      <c r="F100" s="44" t="s">
        <v>17</v>
      </c>
      <c r="G100" s="43" t="s">
        <v>265</v>
      </c>
      <c r="H100" s="14"/>
      <c r="I100" s="14"/>
      <c r="J100" s="43" t="s">
        <v>266</v>
      </c>
      <c r="K100" s="6"/>
      <c r="L100" s="6"/>
      <c r="M100" s="6"/>
      <c r="N100" s="6"/>
      <c r="O100" s="6"/>
    </row>
    <row r="101" spans="1:15" ht="36.75" x14ac:dyDescent="0.25">
      <c r="A101" s="6"/>
      <c r="B101" s="6"/>
      <c r="C101" s="43" t="s">
        <v>544</v>
      </c>
      <c r="D101" s="14"/>
      <c r="E101" s="14"/>
      <c r="F101" s="45" t="s">
        <v>19</v>
      </c>
      <c r="G101" s="43" t="s">
        <v>267</v>
      </c>
      <c r="H101" s="14"/>
      <c r="I101" s="14"/>
      <c r="J101" s="43" t="s">
        <v>27</v>
      </c>
      <c r="K101" s="6"/>
      <c r="L101" s="6"/>
      <c r="M101" s="6"/>
      <c r="N101" s="6"/>
      <c r="O101" s="6"/>
    </row>
    <row r="102" spans="1:15" ht="48.75" x14ac:dyDescent="0.25">
      <c r="A102" s="6"/>
      <c r="B102" s="6"/>
      <c r="C102" s="43" t="s">
        <v>544</v>
      </c>
      <c r="D102" s="14"/>
      <c r="E102" s="14"/>
      <c r="F102" s="45" t="s">
        <v>26</v>
      </c>
      <c r="G102" s="45" t="s">
        <v>268</v>
      </c>
      <c r="H102" s="14"/>
      <c r="I102" s="43" t="s">
        <v>269</v>
      </c>
      <c r="J102" s="45" t="s">
        <v>270</v>
      </c>
      <c r="K102" s="6"/>
      <c r="L102" s="6"/>
      <c r="M102" s="6"/>
      <c r="N102" s="6"/>
      <c r="O102" s="6"/>
    </row>
    <row r="103" spans="1:15" ht="60.75" x14ac:dyDescent="0.25">
      <c r="A103" s="6"/>
      <c r="B103" s="6"/>
      <c r="C103" s="43" t="s">
        <v>544</v>
      </c>
      <c r="D103" s="14"/>
      <c r="E103" s="14"/>
      <c r="F103" s="45" t="s">
        <v>28</v>
      </c>
      <c r="G103" s="45" t="s">
        <v>352</v>
      </c>
      <c r="H103" s="14"/>
      <c r="I103" s="43" t="s">
        <v>272</v>
      </c>
      <c r="J103" s="45" t="s">
        <v>51</v>
      </c>
      <c r="K103" s="6"/>
      <c r="L103" s="6"/>
      <c r="M103" s="6"/>
      <c r="N103" s="6"/>
      <c r="O103" s="6"/>
    </row>
    <row r="104" spans="1:15" ht="108.75" x14ac:dyDescent="0.25">
      <c r="A104" s="6"/>
      <c r="B104" s="6"/>
      <c r="C104" s="43" t="s">
        <v>544</v>
      </c>
      <c r="D104" s="14"/>
      <c r="E104" s="14"/>
      <c r="F104" s="45" t="s">
        <v>29</v>
      </c>
      <c r="G104" s="45" t="s">
        <v>353</v>
      </c>
      <c r="H104" s="14"/>
      <c r="I104" s="43" t="s">
        <v>274</v>
      </c>
      <c r="J104" s="45" t="s">
        <v>354</v>
      </c>
      <c r="K104" s="6"/>
      <c r="L104" s="6"/>
      <c r="M104" s="6"/>
      <c r="N104" s="6"/>
      <c r="O104" s="6"/>
    </row>
    <row r="105" spans="1:15" ht="48.75" x14ac:dyDescent="0.25">
      <c r="A105" s="6"/>
      <c r="B105" s="6"/>
      <c r="C105" s="43" t="s">
        <v>545</v>
      </c>
      <c r="D105" s="43" t="s">
        <v>351</v>
      </c>
      <c r="E105" s="43" t="s">
        <v>356</v>
      </c>
      <c r="F105" s="44" t="s">
        <v>281</v>
      </c>
      <c r="G105" s="43" t="s">
        <v>265</v>
      </c>
      <c r="H105" s="14"/>
      <c r="I105" s="14"/>
      <c r="J105" s="43" t="s">
        <v>266</v>
      </c>
      <c r="K105" s="6"/>
      <c r="L105" s="6"/>
      <c r="M105" s="6"/>
      <c r="N105" s="6"/>
      <c r="O105" s="6"/>
    </row>
    <row r="106" spans="1:15" ht="36.75" x14ac:dyDescent="0.25">
      <c r="A106" s="6"/>
      <c r="B106" s="6"/>
      <c r="C106" s="43" t="s">
        <v>545</v>
      </c>
      <c r="D106" s="14"/>
      <c r="E106" s="14"/>
      <c r="F106" s="45" t="s">
        <v>282</v>
      </c>
      <c r="G106" s="43" t="s">
        <v>267</v>
      </c>
      <c r="H106" s="14"/>
      <c r="I106" s="14"/>
      <c r="J106" s="43" t="s">
        <v>27</v>
      </c>
      <c r="K106" s="6"/>
      <c r="L106" s="6"/>
      <c r="M106" s="6"/>
      <c r="N106" s="6"/>
      <c r="O106" s="6"/>
    </row>
    <row r="107" spans="1:15" ht="48.75" x14ac:dyDescent="0.25">
      <c r="A107" s="6"/>
      <c r="B107" s="6"/>
      <c r="C107" s="43" t="s">
        <v>545</v>
      </c>
      <c r="D107" s="14"/>
      <c r="E107" s="14"/>
      <c r="F107" s="45" t="s">
        <v>283</v>
      </c>
      <c r="G107" s="45" t="s">
        <v>268</v>
      </c>
      <c r="H107" s="14"/>
      <c r="I107" s="43" t="s">
        <v>269</v>
      </c>
      <c r="J107" s="45" t="s">
        <v>270</v>
      </c>
      <c r="K107" s="6"/>
      <c r="L107" s="6"/>
      <c r="M107" s="6"/>
      <c r="N107" s="6"/>
      <c r="O107" s="6"/>
    </row>
    <row r="108" spans="1:15" ht="60.75" x14ac:dyDescent="0.25">
      <c r="A108" s="6"/>
      <c r="B108" s="6"/>
      <c r="C108" s="43" t="s">
        <v>545</v>
      </c>
      <c r="D108" s="14"/>
      <c r="E108" s="14"/>
      <c r="F108" s="45" t="s">
        <v>285</v>
      </c>
      <c r="G108" s="45" t="s">
        <v>352</v>
      </c>
      <c r="H108" s="14"/>
      <c r="I108" s="43" t="s">
        <v>272</v>
      </c>
      <c r="J108" s="45" t="s">
        <v>51</v>
      </c>
      <c r="K108" s="6"/>
      <c r="L108" s="6"/>
      <c r="M108" s="6"/>
      <c r="N108" s="6"/>
      <c r="O108" s="6"/>
    </row>
    <row r="109" spans="1:15" ht="204.75" x14ac:dyDescent="0.25">
      <c r="A109" s="6"/>
      <c r="B109" s="6"/>
      <c r="C109" s="43" t="s">
        <v>545</v>
      </c>
      <c r="D109" s="14"/>
      <c r="E109" s="14"/>
      <c r="F109" s="45" t="s">
        <v>289</v>
      </c>
      <c r="G109" s="45" t="s">
        <v>357</v>
      </c>
      <c r="H109" s="14"/>
      <c r="I109" s="45" t="s">
        <v>314</v>
      </c>
      <c r="J109" s="43" t="s">
        <v>358</v>
      </c>
      <c r="K109" s="6"/>
      <c r="L109" s="6"/>
      <c r="M109" s="6"/>
      <c r="N109" s="6"/>
      <c r="O109" s="6"/>
    </row>
    <row r="110" spans="1:15" ht="60.75" x14ac:dyDescent="0.25">
      <c r="A110" s="6"/>
      <c r="B110" s="6"/>
      <c r="C110" s="43" t="s">
        <v>546</v>
      </c>
      <c r="D110" s="43" t="s">
        <v>359</v>
      </c>
      <c r="E110" s="43" t="s">
        <v>360</v>
      </c>
      <c r="F110" s="47" t="s">
        <v>281</v>
      </c>
      <c r="G110" s="43" t="s">
        <v>265</v>
      </c>
      <c r="H110" s="14"/>
      <c r="I110" s="14"/>
      <c r="J110" s="43" t="s">
        <v>266</v>
      </c>
      <c r="K110" s="6"/>
      <c r="L110" s="6"/>
      <c r="M110" s="6"/>
      <c r="N110" s="6"/>
      <c r="O110" s="6"/>
    </row>
    <row r="111" spans="1:15" ht="48.75" x14ac:dyDescent="0.25">
      <c r="A111" s="6"/>
      <c r="B111" s="6"/>
      <c r="C111" s="43" t="s">
        <v>546</v>
      </c>
      <c r="D111" s="14"/>
      <c r="E111" s="14"/>
      <c r="F111" s="14" t="s">
        <v>282</v>
      </c>
      <c r="G111" s="48" t="s">
        <v>25</v>
      </c>
      <c r="H111" s="14"/>
      <c r="I111" s="14"/>
      <c r="J111" s="43" t="s">
        <v>27</v>
      </c>
      <c r="K111" s="6"/>
      <c r="L111" s="6"/>
      <c r="M111" s="6"/>
      <c r="N111" s="6"/>
      <c r="O111" s="6"/>
    </row>
    <row r="112" spans="1:15" ht="48.75" x14ac:dyDescent="0.25">
      <c r="A112" s="6"/>
      <c r="B112" s="6"/>
      <c r="C112" s="43" t="s">
        <v>546</v>
      </c>
      <c r="D112" s="14"/>
      <c r="E112" s="14"/>
      <c r="F112" s="14" t="s">
        <v>283</v>
      </c>
      <c r="G112" s="48" t="s">
        <v>45</v>
      </c>
      <c r="H112" s="14"/>
      <c r="I112" s="14"/>
      <c r="J112" s="45" t="s">
        <v>284</v>
      </c>
      <c r="K112" s="6"/>
      <c r="L112" s="6"/>
      <c r="M112" s="6"/>
      <c r="N112" s="6"/>
      <c r="O112" s="6"/>
    </row>
    <row r="113" spans="1:15" ht="60.75" x14ac:dyDescent="0.25">
      <c r="A113" s="6"/>
      <c r="B113" s="6"/>
      <c r="C113" s="43" t="s">
        <v>546</v>
      </c>
      <c r="D113" s="14"/>
      <c r="E113" s="14"/>
      <c r="F113" s="14" t="s">
        <v>285</v>
      </c>
      <c r="G113" s="48" t="s">
        <v>361</v>
      </c>
      <c r="H113" s="14"/>
      <c r="I113" s="43" t="s">
        <v>287</v>
      </c>
      <c r="J113" s="45" t="s">
        <v>362</v>
      </c>
      <c r="K113" s="6"/>
      <c r="L113" s="6"/>
      <c r="M113" s="6"/>
      <c r="N113" s="6"/>
      <c r="O113" s="6"/>
    </row>
    <row r="114" spans="1:15" ht="72.75" x14ac:dyDescent="0.25">
      <c r="A114" s="6"/>
      <c r="B114" s="6"/>
      <c r="C114" s="43" t="s">
        <v>546</v>
      </c>
      <c r="D114" s="14"/>
      <c r="E114" s="14"/>
      <c r="F114" s="14" t="s">
        <v>289</v>
      </c>
      <c r="G114" s="86" t="s">
        <v>290</v>
      </c>
      <c r="H114" s="14"/>
      <c r="I114" s="43" t="s">
        <v>291</v>
      </c>
      <c r="J114" s="45" t="s">
        <v>543</v>
      </c>
      <c r="K114" s="6"/>
      <c r="L114" s="6"/>
      <c r="M114" s="6"/>
      <c r="N114" s="6"/>
      <c r="O114" s="6"/>
    </row>
    <row r="115" spans="1:15" ht="48.75" x14ac:dyDescent="0.25">
      <c r="A115" s="6"/>
      <c r="B115" s="6"/>
      <c r="C115" s="43" t="s">
        <v>546</v>
      </c>
      <c r="D115" s="14"/>
      <c r="E115" s="14"/>
      <c r="F115" s="14" t="s">
        <v>293</v>
      </c>
      <c r="G115" s="48" t="s">
        <v>294</v>
      </c>
      <c r="H115" s="14"/>
      <c r="I115" s="43"/>
      <c r="J115" s="45" t="s">
        <v>295</v>
      </c>
      <c r="K115" s="6"/>
      <c r="L115" s="6"/>
      <c r="M115" s="6"/>
      <c r="N115" s="6"/>
      <c r="O115" s="6"/>
    </row>
    <row r="116" spans="1:15" ht="108.75" x14ac:dyDescent="0.25">
      <c r="A116" s="6"/>
      <c r="B116" s="6"/>
      <c r="C116" s="43" t="s">
        <v>546</v>
      </c>
      <c r="D116" s="14"/>
      <c r="E116" s="14"/>
      <c r="F116" s="14" t="s">
        <v>296</v>
      </c>
      <c r="G116" s="48" t="s">
        <v>584</v>
      </c>
      <c r="H116" s="14"/>
      <c r="I116" s="43" t="s">
        <v>363</v>
      </c>
      <c r="J116" s="45" t="s">
        <v>298</v>
      </c>
      <c r="K116" s="6"/>
      <c r="L116" s="6"/>
      <c r="M116" s="6"/>
      <c r="N116" s="6"/>
      <c r="O116" s="6"/>
    </row>
    <row r="117" spans="1:15" x14ac:dyDescent="0.25">
      <c r="A117" s="6"/>
      <c r="B117" s="6"/>
      <c r="C117" s="6"/>
      <c r="D117" s="6"/>
      <c r="E117" s="6"/>
      <c r="F117" s="6"/>
      <c r="G117" s="6"/>
      <c r="H117" s="6"/>
      <c r="I117" s="6"/>
      <c r="J117" s="6"/>
      <c r="K117" s="6"/>
      <c r="L117" s="6"/>
      <c r="M117" s="6"/>
      <c r="N117" s="6"/>
      <c r="O117" s="6"/>
    </row>
    <row r="118" spans="1:15" x14ac:dyDescent="0.25">
      <c r="A118" s="6"/>
      <c r="B118" s="6"/>
      <c r="C118" s="6"/>
      <c r="D118" s="6"/>
      <c r="E118" s="6"/>
      <c r="F118" s="6"/>
      <c r="G118" s="6"/>
      <c r="H118" s="6"/>
      <c r="I118" s="6"/>
      <c r="J118" s="6"/>
      <c r="K118" s="6"/>
      <c r="L118" s="6"/>
      <c r="M118" s="6"/>
      <c r="N118" s="6"/>
      <c r="O118" s="6"/>
    </row>
    <row r="119" spans="1:15" x14ac:dyDescent="0.25">
      <c r="A119" s="6"/>
      <c r="B119" s="6"/>
      <c r="C119" s="6"/>
      <c r="D119" s="6"/>
      <c r="E119" s="6"/>
      <c r="F119" s="6"/>
      <c r="G119" s="6"/>
      <c r="H119" s="6"/>
      <c r="I119" s="6"/>
      <c r="J119" s="6"/>
      <c r="K119" s="6"/>
      <c r="L119" s="6"/>
      <c r="M119" s="6"/>
      <c r="N119" s="6"/>
      <c r="O119" s="6"/>
    </row>
    <row r="120" spans="1:15" x14ac:dyDescent="0.25">
      <c r="A120" s="6"/>
      <c r="B120" s="6"/>
      <c r="C120" s="6"/>
      <c r="D120" s="6"/>
      <c r="E120" s="6"/>
      <c r="F120" s="6"/>
      <c r="G120" s="6"/>
      <c r="H120" s="6"/>
      <c r="I120" s="6"/>
      <c r="J120" s="6"/>
      <c r="K120" s="6"/>
      <c r="L120" s="6"/>
      <c r="M120" s="6"/>
      <c r="N120" s="6"/>
      <c r="O120" s="6"/>
    </row>
    <row r="121" spans="1:15" x14ac:dyDescent="0.25">
      <c r="A121" s="6"/>
      <c r="B121" s="6"/>
      <c r="C121" s="6"/>
      <c r="D121" s="6"/>
      <c r="E121" s="6"/>
      <c r="F121" s="6"/>
      <c r="G121" s="6"/>
      <c r="H121" s="6"/>
      <c r="I121" s="6"/>
      <c r="J121" s="6"/>
      <c r="K121" s="6"/>
      <c r="L121" s="6"/>
      <c r="M121" s="6"/>
      <c r="N121" s="6"/>
      <c r="O121" s="6"/>
    </row>
    <row r="122" spans="1:15" x14ac:dyDescent="0.25">
      <c r="A122" s="6"/>
      <c r="B122" s="6"/>
      <c r="C122" s="6"/>
      <c r="D122" s="6"/>
      <c r="E122" s="6"/>
      <c r="F122" s="6"/>
      <c r="G122" s="6"/>
      <c r="H122" s="6"/>
      <c r="I122" s="6"/>
      <c r="J122" s="6"/>
      <c r="K122" s="6"/>
      <c r="L122" s="6"/>
      <c r="M122" s="6"/>
      <c r="N122" s="6"/>
      <c r="O122" s="6"/>
    </row>
    <row r="123" spans="1:15" x14ac:dyDescent="0.25">
      <c r="A123" s="6"/>
      <c r="B123" s="6"/>
      <c r="C123" s="6"/>
      <c r="D123" s="6"/>
      <c r="E123" s="6"/>
      <c r="F123" s="6"/>
      <c r="G123" s="6"/>
      <c r="H123" s="6"/>
      <c r="I123" s="6"/>
      <c r="J123" s="6"/>
      <c r="K123" s="6"/>
      <c r="L123" s="6"/>
      <c r="M123" s="6"/>
      <c r="N123" s="6"/>
      <c r="O123" s="6"/>
    </row>
    <row r="124" spans="1:15" x14ac:dyDescent="0.25">
      <c r="A124" s="6"/>
      <c r="B124" s="6"/>
      <c r="C124" s="6"/>
      <c r="D124" s="6"/>
      <c r="E124" s="6"/>
      <c r="F124" s="6"/>
      <c r="G124" s="6"/>
      <c r="H124" s="6"/>
      <c r="I124" s="6"/>
      <c r="J124" s="6"/>
      <c r="K124" s="6"/>
      <c r="L124" s="6"/>
      <c r="M124" s="6"/>
      <c r="N124" s="6"/>
      <c r="O124" s="6"/>
    </row>
    <row r="125" spans="1:15" x14ac:dyDescent="0.25">
      <c r="A125" s="6"/>
      <c r="B125" s="6"/>
      <c r="C125" s="6"/>
      <c r="D125" s="6"/>
      <c r="E125" s="6"/>
      <c r="F125" s="6"/>
      <c r="G125" s="6"/>
      <c r="H125" s="6"/>
      <c r="I125" s="6"/>
      <c r="J125" s="6"/>
      <c r="K125" s="6"/>
      <c r="L125" s="6"/>
      <c r="M125" s="6"/>
      <c r="N125" s="6"/>
      <c r="O125" s="6"/>
    </row>
    <row r="126" spans="1:15" x14ac:dyDescent="0.25">
      <c r="A126" s="6"/>
      <c r="B126" s="6"/>
      <c r="C126" s="6"/>
      <c r="D126" s="6"/>
      <c r="E126" s="6"/>
      <c r="F126" s="6"/>
      <c r="G126" s="6"/>
      <c r="H126" s="6"/>
      <c r="I126" s="6"/>
      <c r="J126" s="6"/>
      <c r="K126" s="6"/>
      <c r="L126" s="6"/>
      <c r="M126" s="6"/>
      <c r="N126" s="6"/>
      <c r="O126" s="6"/>
    </row>
    <row r="127" spans="1:15" x14ac:dyDescent="0.25">
      <c r="A127" s="6"/>
      <c r="B127" s="6"/>
      <c r="C127" s="6"/>
      <c r="D127" s="6"/>
      <c r="E127" s="6"/>
      <c r="F127" s="6"/>
      <c r="G127" s="6"/>
      <c r="H127" s="6"/>
      <c r="I127" s="6"/>
      <c r="J127" s="6"/>
      <c r="K127" s="6"/>
      <c r="L127" s="6"/>
      <c r="M127" s="6"/>
      <c r="N127" s="6"/>
      <c r="O127" s="6"/>
    </row>
    <row r="128" spans="1:15" x14ac:dyDescent="0.25">
      <c r="A128" s="6"/>
      <c r="B128" s="6"/>
      <c r="C128" s="6"/>
      <c r="D128" s="6"/>
      <c r="E128" s="6"/>
      <c r="F128" s="6"/>
      <c r="G128" s="6"/>
      <c r="H128" s="6"/>
      <c r="I128" s="6"/>
      <c r="J128" s="6"/>
      <c r="K128" s="6"/>
      <c r="L128" s="6"/>
      <c r="M128" s="6"/>
      <c r="N128" s="6"/>
      <c r="O128" s="6"/>
    </row>
    <row r="129" spans="1:15" x14ac:dyDescent="0.25">
      <c r="A129" s="6"/>
      <c r="B129" s="6"/>
      <c r="C129" s="6"/>
      <c r="D129" s="6"/>
      <c r="E129" s="6"/>
      <c r="F129" s="6"/>
      <c r="G129" s="6"/>
      <c r="H129" s="6"/>
      <c r="I129" s="6"/>
      <c r="J129" s="6"/>
      <c r="K129" s="6"/>
      <c r="L129" s="6"/>
      <c r="M129" s="6"/>
      <c r="N129" s="6"/>
      <c r="O129" s="6"/>
    </row>
    <row r="130" spans="1:15" x14ac:dyDescent="0.25">
      <c r="A130" s="6"/>
      <c r="B130" s="6"/>
      <c r="C130" s="6"/>
      <c r="D130" s="6"/>
      <c r="E130" s="6"/>
      <c r="F130" s="6"/>
      <c r="G130" s="6"/>
      <c r="H130" s="6"/>
      <c r="I130" s="6"/>
      <c r="J130" s="6"/>
      <c r="K130" s="6"/>
      <c r="L130" s="6"/>
      <c r="M130" s="6"/>
      <c r="N130" s="6"/>
      <c r="O130" s="6"/>
    </row>
    <row r="131" spans="1:15" x14ac:dyDescent="0.25">
      <c r="A131" s="6"/>
      <c r="B131" s="6"/>
      <c r="C131" s="6"/>
      <c r="D131" s="6"/>
      <c r="E131" s="6"/>
      <c r="F131" s="6"/>
      <c r="G131" s="6"/>
      <c r="H131" s="6"/>
      <c r="I131" s="6"/>
      <c r="J131" s="6"/>
      <c r="K131" s="6"/>
      <c r="L131" s="6"/>
      <c r="M131" s="6"/>
      <c r="N131" s="6"/>
      <c r="O131" s="6"/>
    </row>
    <row r="132" spans="1:15" x14ac:dyDescent="0.25">
      <c r="A132" s="6"/>
      <c r="B132" s="6"/>
      <c r="C132" s="6"/>
      <c r="D132" s="6"/>
      <c r="E132" s="6"/>
      <c r="F132" s="6"/>
      <c r="G132" s="6"/>
      <c r="H132" s="6"/>
      <c r="I132" s="6"/>
      <c r="J132" s="6"/>
      <c r="K132" s="6"/>
      <c r="L132" s="6"/>
      <c r="M132" s="6"/>
      <c r="N132" s="6"/>
      <c r="O132" s="6"/>
    </row>
    <row r="133" spans="1:15" x14ac:dyDescent="0.25">
      <c r="A133" s="6"/>
      <c r="B133" s="6"/>
      <c r="C133" s="6"/>
      <c r="D133" s="6"/>
      <c r="E133" s="6"/>
      <c r="F133" s="6"/>
      <c r="G133" s="6"/>
      <c r="H133" s="6"/>
      <c r="I133" s="6"/>
      <c r="J133" s="6"/>
      <c r="K133" s="6"/>
      <c r="L133" s="6"/>
      <c r="M133" s="6"/>
      <c r="N133" s="6"/>
      <c r="O133" s="6"/>
    </row>
    <row r="134" spans="1:15" x14ac:dyDescent="0.25">
      <c r="A134" s="6"/>
      <c r="B134" s="6"/>
      <c r="C134" s="6"/>
      <c r="D134" s="6"/>
      <c r="E134" s="6"/>
      <c r="F134" s="6"/>
      <c r="G134" s="6"/>
      <c r="H134" s="6"/>
      <c r="I134" s="6"/>
      <c r="J134" s="6"/>
      <c r="K134" s="6"/>
      <c r="L134" s="6"/>
      <c r="M134" s="6"/>
      <c r="N134" s="6"/>
      <c r="O134" s="6"/>
    </row>
    <row r="135" spans="1:15" x14ac:dyDescent="0.25">
      <c r="A135" s="6"/>
      <c r="B135" s="6"/>
      <c r="C135" s="6"/>
      <c r="D135" s="6"/>
      <c r="E135" s="6"/>
      <c r="F135" s="6"/>
      <c r="G135" s="6"/>
      <c r="H135" s="6"/>
      <c r="I135" s="6"/>
      <c r="J135" s="6"/>
      <c r="K135" s="6"/>
      <c r="L135" s="6"/>
      <c r="M135" s="6"/>
      <c r="N135" s="6"/>
      <c r="O135" s="6"/>
    </row>
    <row r="136" spans="1:15" x14ac:dyDescent="0.25">
      <c r="A136" s="6"/>
      <c r="B136" s="6"/>
      <c r="C136" s="6"/>
      <c r="D136" s="6"/>
      <c r="E136" s="6"/>
      <c r="F136" s="6"/>
      <c r="G136" s="6"/>
      <c r="H136" s="6"/>
      <c r="I136" s="6"/>
      <c r="J136" s="6"/>
      <c r="K136" s="6"/>
      <c r="L136" s="6"/>
      <c r="M136" s="6"/>
      <c r="N136" s="6"/>
      <c r="O136" s="6"/>
    </row>
    <row r="137" spans="1:15" x14ac:dyDescent="0.25">
      <c r="A137" s="6"/>
      <c r="B137" s="6"/>
      <c r="C137" s="6"/>
      <c r="D137" s="6"/>
      <c r="E137" s="6"/>
      <c r="F137" s="6"/>
      <c r="G137" s="6"/>
      <c r="H137" s="6"/>
      <c r="I137" s="6"/>
      <c r="J137" s="6"/>
      <c r="K137" s="6"/>
      <c r="L137" s="6"/>
      <c r="M137" s="6"/>
      <c r="N137" s="6"/>
      <c r="O137" s="6"/>
    </row>
    <row r="138" spans="1:15" x14ac:dyDescent="0.25">
      <c r="A138" s="6"/>
      <c r="B138" s="6"/>
      <c r="C138" s="6"/>
      <c r="D138" s="6"/>
      <c r="E138" s="6"/>
      <c r="F138" s="6"/>
      <c r="G138" s="6"/>
      <c r="H138" s="6"/>
      <c r="I138" s="6"/>
      <c r="J138" s="6"/>
      <c r="K138" s="6"/>
      <c r="L138" s="6"/>
      <c r="M138" s="6"/>
      <c r="N138" s="6"/>
      <c r="O138" s="6"/>
    </row>
    <row r="139" spans="1:15" x14ac:dyDescent="0.25">
      <c r="A139" s="6"/>
      <c r="B139" s="6"/>
      <c r="C139" s="6"/>
      <c r="D139" s="6"/>
      <c r="E139" s="6"/>
      <c r="F139" s="6"/>
      <c r="G139" s="6"/>
      <c r="H139" s="6"/>
      <c r="I139" s="6"/>
      <c r="J139" s="6"/>
      <c r="K139" s="6"/>
      <c r="L139" s="6"/>
      <c r="M139" s="6"/>
      <c r="N139" s="6"/>
      <c r="O139" s="6"/>
    </row>
    <row r="140" spans="1:15" x14ac:dyDescent="0.25">
      <c r="A140" s="6"/>
      <c r="B140" s="6"/>
      <c r="C140" s="6"/>
      <c r="D140" s="6"/>
      <c r="E140" s="6"/>
      <c r="F140" s="6"/>
      <c r="G140" s="6"/>
      <c r="H140" s="6"/>
      <c r="I140" s="6"/>
      <c r="J140" s="6"/>
      <c r="K140" s="6"/>
      <c r="L140" s="6"/>
      <c r="M140" s="6"/>
      <c r="N140" s="6"/>
      <c r="O140" s="6"/>
    </row>
    <row r="141" spans="1:15" x14ac:dyDescent="0.25">
      <c r="A141" s="6"/>
      <c r="B141" s="6"/>
      <c r="C141" s="6"/>
      <c r="D141" s="6"/>
      <c r="E141" s="6"/>
      <c r="F141" s="6"/>
      <c r="G141" s="6"/>
      <c r="H141" s="6"/>
      <c r="I141" s="6"/>
      <c r="J141" s="6"/>
      <c r="K141" s="6"/>
      <c r="L141" s="6"/>
      <c r="M141" s="6"/>
      <c r="N141" s="6"/>
      <c r="O141" s="6"/>
    </row>
    <row r="142" spans="1:15" x14ac:dyDescent="0.25">
      <c r="A142" s="6"/>
      <c r="B142" s="6"/>
      <c r="C142" s="6"/>
      <c r="D142" s="6"/>
      <c r="E142" s="6"/>
      <c r="F142" s="6"/>
      <c r="G142" s="6"/>
      <c r="H142" s="6"/>
      <c r="I142" s="6"/>
      <c r="J142" s="6"/>
      <c r="K142" s="6"/>
      <c r="L142" s="6"/>
      <c r="M142" s="6"/>
      <c r="N142" s="6"/>
      <c r="O142" s="6"/>
    </row>
    <row r="143" spans="1:15" x14ac:dyDescent="0.25">
      <c r="A143" s="6"/>
      <c r="B143" s="6"/>
      <c r="C143" s="6"/>
      <c r="D143" s="6"/>
      <c r="E143" s="6"/>
      <c r="F143" s="6"/>
      <c r="G143" s="6"/>
      <c r="H143" s="6"/>
      <c r="I143" s="6"/>
      <c r="J143" s="6"/>
      <c r="K143" s="6"/>
      <c r="L143" s="6"/>
      <c r="M143" s="6"/>
      <c r="N143" s="6"/>
      <c r="O143" s="6"/>
    </row>
    <row r="144" spans="1:15" x14ac:dyDescent="0.25">
      <c r="A144" s="6"/>
      <c r="B144" s="6"/>
      <c r="C144" s="6"/>
      <c r="D144" s="6"/>
      <c r="E144" s="6"/>
      <c r="F144" s="6"/>
      <c r="G144" s="6"/>
      <c r="H144" s="6"/>
      <c r="I144" s="6"/>
      <c r="J144" s="6"/>
      <c r="K144" s="6"/>
      <c r="L144" s="6"/>
      <c r="M144" s="6"/>
      <c r="N144" s="6"/>
      <c r="O144" s="6"/>
    </row>
    <row r="145" spans="1:15" x14ac:dyDescent="0.25">
      <c r="A145" s="6"/>
      <c r="B145" s="6"/>
      <c r="C145" s="6"/>
      <c r="D145" s="6"/>
      <c r="E145" s="6"/>
      <c r="F145" s="6"/>
      <c r="G145" s="6"/>
      <c r="H145" s="6"/>
      <c r="I145" s="6"/>
      <c r="J145" s="6"/>
      <c r="K145" s="6"/>
      <c r="L145" s="6"/>
      <c r="M145" s="6"/>
      <c r="N145" s="6"/>
      <c r="O145" s="6"/>
    </row>
    <row r="146" spans="1:15" x14ac:dyDescent="0.25">
      <c r="A146" s="6"/>
      <c r="B146" s="6"/>
      <c r="C146" s="6"/>
      <c r="D146" s="6"/>
      <c r="E146" s="6"/>
      <c r="F146" s="6"/>
      <c r="G146" s="6"/>
      <c r="H146" s="6"/>
      <c r="I146" s="6"/>
      <c r="J146" s="6"/>
      <c r="K146" s="6"/>
      <c r="L146" s="6"/>
      <c r="M146" s="6"/>
      <c r="N146" s="6"/>
      <c r="O146" s="6"/>
    </row>
    <row r="147" spans="1:15" x14ac:dyDescent="0.25">
      <c r="A147" s="6"/>
      <c r="B147" s="6"/>
      <c r="C147" s="6"/>
      <c r="D147" s="6"/>
      <c r="E147" s="6"/>
      <c r="F147" s="6"/>
      <c r="G147" s="6"/>
      <c r="H147" s="6"/>
      <c r="I147" s="6"/>
      <c r="J147" s="6"/>
      <c r="K147" s="6"/>
      <c r="L147" s="6"/>
      <c r="M147" s="6"/>
      <c r="N147" s="6"/>
      <c r="O147" s="6"/>
    </row>
    <row r="148" spans="1:15" x14ac:dyDescent="0.25">
      <c r="A148" s="6"/>
      <c r="B148" s="6"/>
      <c r="C148" s="6"/>
      <c r="D148" s="6"/>
      <c r="E148" s="6"/>
      <c r="F148" s="6"/>
      <c r="G148" s="6"/>
      <c r="H148" s="6"/>
      <c r="I148" s="6"/>
      <c r="J148" s="6"/>
      <c r="K148" s="6"/>
      <c r="L148" s="6"/>
      <c r="M148" s="6"/>
      <c r="N148" s="6"/>
      <c r="O148" s="6"/>
    </row>
    <row r="149" spans="1:15" x14ac:dyDescent="0.25">
      <c r="A149" s="6"/>
      <c r="B149" s="6"/>
      <c r="C149" s="6"/>
      <c r="D149" s="6"/>
      <c r="E149" s="6"/>
      <c r="F149" s="6"/>
      <c r="G149" s="6"/>
      <c r="H149" s="6"/>
      <c r="I149" s="6"/>
      <c r="J149" s="6"/>
      <c r="K149" s="6"/>
      <c r="L149" s="6"/>
      <c r="M149" s="6"/>
      <c r="N149" s="6"/>
      <c r="O149" s="6"/>
    </row>
    <row r="150" spans="1:15" x14ac:dyDescent="0.25">
      <c r="A150" s="6"/>
      <c r="B150" s="6"/>
      <c r="C150" s="6"/>
      <c r="D150" s="6"/>
      <c r="E150" s="6"/>
      <c r="F150" s="6"/>
      <c r="G150" s="6"/>
      <c r="H150" s="6"/>
      <c r="I150" s="6"/>
      <c r="J150" s="6"/>
      <c r="K150" s="6"/>
      <c r="L150" s="6"/>
      <c r="M150" s="6"/>
      <c r="N150" s="6"/>
      <c r="O150" s="6"/>
    </row>
    <row r="151" spans="1:15" x14ac:dyDescent="0.25">
      <c r="A151" s="6"/>
      <c r="B151" s="6"/>
      <c r="C151" s="6"/>
      <c r="D151" s="6"/>
      <c r="E151" s="6"/>
      <c r="F151" s="6"/>
      <c r="G151" s="6"/>
      <c r="H151" s="6"/>
      <c r="I151" s="6"/>
      <c r="J151" s="6"/>
      <c r="K151" s="6"/>
      <c r="L151" s="6"/>
      <c r="M151" s="6"/>
      <c r="N151" s="6"/>
      <c r="O151" s="6"/>
    </row>
    <row r="152" spans="1:15" x14ac:dyDescent="0.25">
      <c r="A152" s="6"/>
      <c r="B152" s="6"/>
      <c r="C152" s="6"/>
      <c r="D152" s="6"/>
      <c r="E152" s="6"/>
      <c r="F152" s="6"/>
      <c r="G152" s="6"/>
      <c r="H152" s="6"/>
      <c r="I152" s="6"/>
      <c r="J152" s="6"/>
      <c r="K152" s="6"/>
      <c r="L152" s="6"/>
      <c r="M152" s="6"/>
      <c r="N152" s="6"/>
      <c r="O152" s="6"/>
    </row>
    <row r="153" spans="1:15" x14ac:dyDescent="0.25">
      <c r="A153" s="6"/>
      <c r="B153" s="6"/>
      <c r="C153" s="6"/>
      <c r="D153" s="6"/>
      <c r="E153" s="6"/>
      <c r="F153" s="6"/>
      <c r="G153" s="6"/>
      <c r="H153" s="6"/>
      <c r="I153" s="6"/>
      <c r="J153" s="6"/>
      <c r="K153" s="6"/>
      <c r="L153" s="6"/>
      <c r="M153" s="6"/>
      <c r="N153" s="6"/>
      <c r="O153" s="6"/>
    </row>
    <row r="154" spans="1:15" x14ac:dyDescent="0.25">
      <c r="A154" s="6"/>
      <c r="B154" s="6"/>
      <c r="C154" s="6"/>
      <c r="D154" s="6"/>
      <c r="E154" s="6"/>
      <c r="F154" s="6"/>
      <c r="G154" s="6"/>
      <c r="H154" s="6"/>
      <c r="I154" s="6"/>
      <c r="J154" s="6"/>
      <c r="K154" s="6"/>
      <c r="L154" s="6"/>
      <c r="M154" s="6"/>
      <c r="N154" s="6"/>
      <c r="O154" s="6"/>
    </row>
    <row r="155" spans="1:15" x14ac:dyDescent="0.25">
      <c r="A155" s="6"/>
      <c r="B155" s="6"/>
      <c r="C155" s="6"/>
      <c r="D155" s="6"/>
      <c r="E155" s="6"/>
      <c r="F155" s="6"/>
      <c r="G155" s="6"/>
      <c r="H155" s="6"/>
      <c r="I155" s="6"/>
      <c r="J155" s="6"/>
      <c r="K155" s="6"/>
      <c r="L155" s="6"/>
      <c r="M155" s="6"/>
      <c r="N155" s="6"/>
      <c r="O155" s="6"/>
    </row>
    <row r="156" spans="1:15" x14ac:dyDescent="0.25">
      <c r="A156" s="6"/>
      <c r="B156" s="6"/>
      <c r="C156" s="6"/>
      <c r="D156" s="6"/>
      <c r="E156" s="6"/>
      <c r="F156" s="6"/>
      <c r="G156" s="6"/>
      <c r="H156" s="6"/>
      <c r="I156" s="6"/>
      <c r="J156" s="6"/>
      <c r="K156" s="6"/>
      <c r="L156" s="6"/>
      <c r="M156" s="6"/>
      <c r="N156" s="6"/>
      <c r="O156" s="6"/>
    </row>
    <row r="157" spans="1:15" x14ac:dyDescent="0.25">
      <c r="A157" s="6"/>
      <c r="B157" s="6"/>
      <c r="C157" s="6"/>
      <c r="D157" s="6"/>
      <c r="E157" s="6"/>
      <c r="F157" s="6"/>
      <c r="G157" s="6"/>
      <c r="H157" s="6"/>
      <c r="I157" s="6"/>
      <c r="J157" s="6"/>
      <c r="K157" s="6"/>
      <c r="L157" s="6"/>
      <c r="M157" s="6"/>
      <c r="N157" s="6"/>
      <c r="O157" s="6"/>
    </row>
    <row r="158" spans="1:15" x14ac:dyDescent="0.25">
      <c r="A158" s="6"/>
      <c r="B158" s="6"/>
      <c r="C158" s="6"/>
      <c r="D158" s="6"/>
      <c r="E158" s="6"/>
      <c r="F158" s="6"/>
      <c r="G158" s="6"/>
      <c r="H158" s="6"/>
      <c r="I158" s="6"/>
      <c r="J158" s="6"/>
      <c r="K158" s="6"/>
      <c r="L158" s="6"/>
      <c r="M158" s="6"/>
      <c r="N158" s="6"/>
      <c r="O158" s="6"/>
    </row>
    <row r="159" spans="1:15" x14ac:dyDescent="0.25">
      <c r="A159" s="6"/>
      <c r="B159" s="6"/>
      <c r="C159" s="6"/>
      <c r="D159" s="6"/>
      <c r="E159" s="6"/>
      <c r="F159" s="6"/>
      <c r="G159" s="6"/>
      <c r="H159" s="6"/>
      <c r="I159" s="6"/>
      <c r="J159" s="6"/>
      <c r="K159" s="6"/>
      <c r="L159" s="6"/>
      <c r="M159" s="6"/>
      <c r="N159" s="6"/>
      <c r="O159" s="6"/>
    </row>
    <row r="160" spans="1:15" x14ac:dyDescent="0.25">
      <c r="A160" s="6"/>
      <c r="B160" s="6"/>
      <c r="C160" s="6"/>
      <c r="D160" s="6"/>
      <c r="E160" s="6"/>
      <c r="F160" s="6"/>
      <c r="G160" s="6"/>
      <c r="H160" s="6"/>
      <c r="I160" s="6"/>
      <c r="J160" s="6"/>
      <c r="K160" s="6"/>
      <c r="L160" s="6"/>
      <c r="M160" s="6"/>
      <c r="N160" s="6"/>
      <c r="O160" s="6"/>
    </row>
    <row r="161" spans="1:15" x14ac:dyDescent="0.25">
      <c r="A161" s="6"/>
      <c r="B161" s="6"/>
      <c r="C161" s="6"/>
      <c r="D161" s="6"/>
      <c r="E161" s="6"/>
      <c r="F161" s="6"/>
      <c r="G161" s="6"/>
      <c r="H161" s="6"/>
      <c r="I161" s="6"/>
      <c r="J161" s="6"/>
      <c r="K161" s="6"/>
      <c r="L161" s="6"/>
      <c r="M161" s="6"/>
      <c r="N161" s="6"/>
      <c r="O161" s="6"/>
    </row>
    <row r="162" spans="1:15" x14ac:dyDescent="0.25">
      <c r="A162" s="6"/>
      <c r="B162" s="6"/>
      <c r="C162" s="6"/>
      <c r="D162" s="6"/>
      <c r="E162" s="6"/>
      <c r="F162" s="6"/>
      <c r="G162" s="6"/>
      <c r="H162" s="6"/>
      <c r="I162" s="6"/>
      <c r="J162" s="6"/>
      <c r="K162" s="6"/>
      <c r="L162" s="6"/>
      <c r="M162" s="6"/>
      <c r="N162" s="6"/>
      <c r="O162" s="6"/>
    </row>
    <row r="163" spans="1:15" x14ac:dyDescent="0.25">
      <c r="A163" s="6"/>
      <c r="B163" s="6"/>
      <c r="C163" s="6"/>
      <c r="D163" s="6"/>
      <c r="E163" s="6"/>
      <c r="F163" s="6"/>
      <c r="G163" s="6"/>
      <c r="H163" s="6"/>
      <c r="I163" s="6"/>
      <c r="J163" s="6"/>
      <c r="K163" s="6"/>
      <c r="L163" s="6"/>
      <c r="M163" s="6"/>
      <c r="N163" s="6"/>
      <c r="O163" s="6"/>
    </row>
    <row r="164" spans="1:15" x14ac:dyDescent="0.25">
      <c r="A164" s="6"/>
      <c r="B164" s="6"/>
      <c r="C164" s="6"/>
      <c r="D164" s="6"/>
      <c r="E164" s="6"/>
      <c r="F164" s="6"/>
      <c r="G164" s="6"/>
      <c r="H164" s="6"/>
      <c r="I164" s="6"/>
      <c r="J164" s="6"/>
      <c r="K164" s="6"/>
      <c r="L164" s="6"/>
      <c r="M164" s="6"/>
      <c r="N164" s="6"/>
      <c r="O164" s="6"/>
    </row>
    <row r="165" spans="1:15" x14ac:dyDescent="0.25">
      <c r="A165" s="6"/>
      <c r="B165" s="6"/>
      <c r="C165" s="6"/>
      <c r="D165" s="6"/>
      <c r="E165" s="6"/>
      <c r="F165" s="6"/>
      <c r="G165" s="6"/>
      <c r="H165" s="6"/>
      <c r="I165" s="6"/>
      <c r="J165" s="6"/>
      <c r="K165" s="6"/>
      <c r="L165" s="6"/>
      <c r="M165" s="6"/>
      <c r="N165" s="6"/>
      <c r="O165" s="6"/>
    </row>
    <row r="166" spans="1:15" x14ac:dyDescent="0.25">
      <c r="A166" s="6"/>
      <c r="B166" s="6"/>
      <c r="C166" s="6"/>
      <c r="D166" s="6"/>
      <c r="E166" s="6"/>
      <c r="F166" s="6"/>
      <c r="G166" s="6"/>
      <c r="H166" s="6"/>
      <c r="I166" s="6"/>
      <c r="J166" s="6"/>
      <c r="K166" s="6"/>
      <c r="L166" s="6"/>
      <c r="M166" s="6"/>
      <c r="N166" s="6"/>
      <c r="O166" s="6"/>
    </row>
    <row r="167" spans="1:15" x14ac:dyDescent="0.25">
      <c r="A167" s="6"/>
      <c r="B167" s="6"/>
      <c r="C167" s="6"/>
      <c r="D167" s="6"/>
      <c r="E167" s="6"/>
      <c r="F167" s="6"/>
      <c r="G167" s="6"/>
      <c r="H167" s="6"/>
      <c r="I167" s="6"/>
      <c r="J167" s="6"/>
      <c r="K167" s="6"/>
      <c r="L167" s="6"/>
      <c r="M167" s="6"/>
      <c r="N167" s="6"/>
      <c r="O167" s="6"/>
    </row>
    <row r="168" spans="1:15" x14ac:dyDescent="0.25">
      <c r="A168" s="6"/>
      <c r="B168" s="6"/>
      <c r="C168" s="6"/>
      <c r="D168" s="6"/>
      <c r="E168" s="6"/>
      <c r="F168" s="6"/>
      <c r="G168" s="6"/>
      <c r="H168" s="6"/>
      <c r="I168" s="6"/>
      <c r="J168" s="6"/>
      <c r="K168" s="6"/>
      <c r="L168" s="6"/>
      <c r="M168" s="6"/>
      <c r="N168" s="6"/>
      <c r="O168" s="6"/>
    </row>
    <row r="169" spans="1:15" x14ac:dyDescent="0.25">
      <c r="A169" s="6"/>
      <c r="B169" s="6"/>
      <c r="C169" s="6"/>
      <c r="D169" s="6"/>
      <c r="E169" s="6"/>
      <c r="F169" s="6"/>
      <c r="G169" s="6"/>
      <c r="H169" s="6"/>
      <c r="I169" s="6"/>
      <c r="J169" s="6"/>
      <c r="K169" s="6"/>
      <c r="L169" s="6"/>
      <c r="M169" s="6"/>
      <c r="N169" s="6"/>
      <c r="O169" s="6"/>
    </row>
    <row r="170" spans="1:15" x14ac:dyDescent="0.25">
      <c r="A170" s="6"/>
      <c r="B170" s="6"/>
      <c r="C170" s="6"/>
      <c r="D170" s="6"/>
      <c r="E170" s="6"/>
      <c r="F170" s="6"/>
      <c r="G170" s="6"/>
      <c r="H170" s="6"/>
      <c r="I170" s="6"/>
      <c r="J170" s="6"/>
      <c r="K170" s="6"/>
      <c r="L170" s="6"/>
      <c r="M170" s="6"/>
      <c r="N170" s="6"/>
      <c r="O170" s="6"/>
    </row>
    <row r="171" spans="1:15" x14ac:dyDescent="0.25">
      <c r="A171" s="6"/>
      <c r="B171" s="6"/>
      <c r="C171" s="6"/>
      <c r="D171" s="6"/>
      <c r="E171" s="6"/>
      <c r="F171" s="6"/>
      <c r="G171" s="6"/>
      <c r="H171" s="6"/>
      <c r="I171" s="6"/>
      <c r="J171" s="6"/>
      <c r="K171" s="6"/>
      <c r="L171" s="6"/>
      <c r="M171" s="6"/>
      <c r="N171" s="6"/>
      <c r="O171" s="6"/>
    </row>
    <row r="172" spans="1:15" x14ac:dyDescent="0.25">
      <c r="A172" s="6"/>
      <c r="B172" s="6"/>
      <c r="C172" s="6"/>
      <c r="D172" s="6"/>
      <c r="E172" s="6"/>
      <c r="F172" s="6"/>
      <c r="G172" s="6"/>
      <c r="H172" s="6"/>
      <c r="I172" s="6"/>
      <c r="J172" s="6"/>
      <c r="K172" s="6"/>
      <c r="L172" s="6"/>
      <c r="M172" s="6"/>
      <c r="N172" s="6"/>
      <c r="O172" s="6"/>
    </row>
    <row r="173" spans="1:15" x14ac:dyDescent="0.25">
      <c r="A173" s="6"/>
      <c r="B173" s="6"/>
      <c r="C173" s="6"/>
      <c r="D173" s="6"/>
      <c r="E173" s="6"/>
      <c r="F173" s="6"/>
      <c r="G173" s="6"/>
      <c r="H173" s="6"/>
      <c r="I173" s="6"/>
      <c r="J173" s="6"/>
      <c r="K173" s="6"/>
      <c r="L173" s="6"/>
      <c r="M173" s="6"/>
      <c r="N173" s="6"/>
      <c r="O173" s="6"/>
    </row>
    <row r="174" spans="1:15" x14ac:dyDescent="0.25">
      <c r="A174" s="6"/>
      <c r="B174" s="6"/>
      <c r="C174" s="6"/>
      <c r="D174" s="6"/>
      <c r="E174" s="6"/>
      <c r="F174" s="6"/>
      <c r="G174" s="6"/>
      <c r="H174" s="6"/>
      <c r="I174" s="6"/>
      <c r="J174" s="6"/>
      <c r="K174" s="6"/>
      <c r="L174" s="6"/>
      <c r="M174" s="6"/>
      <c r="N174" s="6"/>
      <c r="O174" s="6"/>
    </row>
    <row r="175" spans="1:15" x14ac:dyDescent="0.25">
      <c r="A175" s="6"/>
      <c r="B175" s="6"/>
      <c r="C175" s="6"/>
      <c r="D175" s="6"/>
      <c r="E175" s="6"/>
      <c r="F175" s="6"/>
      <c r="G175" s="6"/>
      <c r="H175" s="6"/>
      <c r="I175" s="6"/>
      <c r="J175" s="6"/>
      <c r="K175" s="6"/>
      <c r="L175" s="6"/>
      <c r="M175" s="6"/>
      <c r="N175" s="6"/>
      <c r="O175" s="6"/>
    </row>
    <row r="176" spans="1:15" x14ac:dyDescent="0.25">
      <c r="A176" s="6"/>
      <c r="B176" s="6"/>
      <c r="C176" s="6"/>
      <c r="D176" s="6"/>
      <c r="E176" s="6"/>
      <c r="F176" s="6"/>
      <c r="G176" s="6"/>
      <c r="H176" s="6"/>
      <c r="I176" s="6"/>
      <c r="J176" s="6"/>
      <c r="K176" s="6"/>
      <c r="L176" s="6"/>
      <c r="M176" s="6"/>
      <c r="N176" s="6"/>
      <c r="O176" s="6"/>
    </row>
    <row r="177" spans="1:15" x14ac:dyDescent="0.25">
      <c r="A177" s="6"/>
      <c r="B177" s="6"/>
      <c r="C177" s="6"/>
      <c r="D177" s="6"/>
      <c r="E177" s="6"/>
      <c r="F177" s="6"/>
      <c r="G177" s="6"/>
      <c r="H177" s="6"/>
      <c r="I177" s="6"/>
      <c r="J177" s="6"/>
      <c r="K177" s="6"/>
      <c r="L177" s="6"/>
      <c r="M177" s="6"/>
      <c r="N177" s="6"/>
      <c r="O177" s="6"/>
    </row>
    <row r="178" spans="1:15" x14ac:dyDescent="0.25">
      <c r="A178" s="6"/>
      <c r="B178" s="6"/>
      <c r="C178" s="6"/>
      <c r="D178" s="6"/>
      <c r="E178" s="6"/>
      <c r="F178" s="6"/>
      <c r="G178" s="6"/>
      <c r="H178" s="6"/>
      <c r="I178" s="6"/>
      <c r="J178" s="6"/>
      <c r="K178" s="6"/>
      <c r="L178" s="6"/>
      <c r="M178" s="6"/>
      <c r="N178" s="6"/>
      <c r="O178" s="6"/>
    </row>
    <row r="179" spans="1:15" x14ac:dyDescent="0.25">
      <c r="A179" s="6"/>
      <c r="B179" s="6"/>
      <c r="C179" s="6"/>
      <c r="D179" s="6"/>
      <c r="E179" s="6"/>
      <c r="F179" s="6"/>
      <c r="G179" s="6"/>
      <c r="H179" s="6"/>
      <c r="I179" s="6"/>
      <c r="J179" s="6"/>
      <c r="K179" s="6"/>
      <c r="L179" s="6"/>
      <c r="M179" s="6"/>
      <c r="N179" s="6"/>
      <c r="O179" s="6"/>
    </row>
    <row r="180" spans="1:15" x14ac:dyDescent="0.25">
      <c r="A180" s="6"/>
      <c r="B180" s="6"/>
      <c r="C180" s="6"/>
      <c r="D180" s="6"/>
      <c r="E180" s="6"/>
      <c r="F180" s="6"/>
      <c r="G180" s="6"/>
      <c r="H180" s="6"/>
      <c r="I180" s="6"/>
      <c r="J180" s="6"/>
      <c r="K180" s="6"/>
      <c r="L180" s="6"/>
      <c r="M180" s="6"/>
      <c r="N180" s="6"/>
      <c r="O180" s="6"/>
    </row>
    <row r="181" spans="1:15" x14ac:dyDescent="0.25">
      <c r="A181" s="6"/>
      <c r="B181" s="6"/>
      <c r="C181" s="6"/>
      <c r="D181" s="6"/>
      <c r="E181" s="6"/>
      <c r="F181" s="6"/>
      <c r="G181" s="6"/>
      <c r="H181" s="6"/>
      <c r="I181" s="6"/>
      <c r="J181" s="6"/>
      <c r="K181" s="6"/>
      <c r="L181" s="6"/>
      <c r="M181" s="6"/>
      <c r="N181" s="6"/>
      <c r="O181" s="6"/>
    </row>
    <row r="182" spans="1:15" x14ac:dyDescent="0.25">
      <c r="A182" s="6"/>
      <c r="B182" s="6"/>
      <c r="C182" s="6"/>
      <c r="D182" s="6"/>
      <c r="E182" s="6"/>
      <c r="F182" s="6"/>
      <c r="G182" s="6"/>
      <c r="H182" s="6"/>
      <c r="I182" s="6"/>
      <c r="J182" s="6"/>
      <c r="K182" s="6"/>
      <c r="L182" s="6"/>
      <c r="M182" s="6"/>
      <c r="N182" s="6"/>
      <c r="O182" s="6"/>
    </row>
    <row r="183" spans="1:15" x14ac:dyDescent="0.25">
      <c r="A183" s="6"/>
      <c r="B183" s="6"/>
      <c r="C183" s="6"/>
      <c r="D183" s="6"/>
      <c r="E183" s="6"/>
      <c r="F183" s="6"/>
      <c r="G183" s="6"/>
      <c r="H183" s="6"/>
      <c r="I183" s="6"/>
      <c r="J183" s="6"/>
      <c r="K183" s="6"/>
      <c r="L183" s="6"/>
      <c r="M183" s="6"/>
      <c r="N183" s="6"/>
      <c r="O183" s="6"/>
    </row>
    <row r="184" spans="1:15" x14ac:dyDescent="0.25">
      <c r="A184" s="6"/>
      <c r="B184" s="6"/>
      <c r="C184" s="6"/>
      <c r="D184" s="6"/>
      <c r="E184" s="6"/>
      <c r="F184" s="6"/>
      <c r="G184" s="6"/>
      <c r="H184" s="6"/>
      <c r="I184" s="6"/>
      <c r="J184" s="6"/>
      <c r="K184" s="6"/>
      <c r="L184" s="6"/>
      <c r="M184" s="6"/>
      <c r="N184" s="6"/>
      <c r="O184" s="6"/>
    </row>
    <row r="185" spans="1:15" x14ac:dyDescent="0.25">
      <c r="A185" s="6"/>
      <c r="B185" s="6"/>
      <c r="C185" s="6"/>
      <c r="D185" s="6"/>
      <c r="E185" s="6"/>
      <c r="F185" s="6"/>
      <c r="G185" s="6"/>
      <c r="H185" s="6"/>
      <c r="I185" s="6"/>
      <c r="J185" s="6"/>
      <c r="K185" s="6"/>
      <c r="L185" s="6"/>
      <c r="M185" s="6"/>
      <c r="N185" s="6"/>
      <c r="O185" s="6"/>
    </row>
    <row r="186" spans="1:15" x14ac:dyDescent="0.25">
      <c r="A186" s="6"/>
      <c r="B186" s="6"/>
      <c r="C186" s="6"/>
      <c r="D186" s="6"/>
      <c r="E186" s="6"/>
      <c r="F186" s="6"/>
      <c r="G186" s="6"/>
      <c r="H186" s="6"/>
      <c r="I186" s="6"/>
      <c r="J186" s="6"/>
      <c r="K186" s="6"/>
      <c r="L186" s="6"/>
      <c r="M186" s="6"/>
      <c r="N186" s="6"/>
      <c r="O186" s="6"/>
    </row>
    <row r="187" spans="1:15" x14ac:dyDescent="0.25">
      <c r="A187" s="6"/>
      <c r="B187" s="6"/>
      <c r="C187" s="6"/>
      <c r="D187" s="6"/>
      <c r="E187" s="6"/>
      <c r="F187" s="6"/>
      <c r="G187" s="6"/>
      <c r="H187" s="6"/>
      <c r="I187" s="6"/>
      <c r="J187" s="6"/>
      <c r="K187" s="6"/>
      <c r="L187" s="6"/>
      <c r="M187" s="6"/>
      <c r="N187" s="6"/>
      <c r="O187" s="6"/>
    </row>
    <row r="188" spans="1:15" x14ac:dyDescent="0.25">
      <c r="A188" s="6"/>
      <c r="B188" s="6"/>
      <c r="C188" s="6"/>
      <c r="D188" s="6"/>
      <c r="E188" s="6"/>
      <c r="F188" s="6"/>
      <c r="G188" s="6"/>
      <c r="H188" s="6"/>
      <c r="I188" s="6"/>
      <c r="J188" s="6"/>
      <c r="K188" s="6"/>
      <c r="L188" s="6"/>
      <c r="M188" s="6"/>
      <c r="N188" s="6"/>
      <c r="O188" s="6"/>
    </row>
    <row r="189" spans="1:15" x14ac:dyDescent="0.25">
      <c r="A189" s="6"/>
      <c r="B189" s="6"/>
      <c r="C189" s="6"/>
      <c r="D189" s="6"/>
      <c r="E189" s="6"/>
      <c r="F189" s="6"/>
      <c r="G189" s="6"/>
      <c r="H189" s="6"/>
      <c r="I189" s="6"/>
      <c r="J189" s="6"/>
      <c r="K189" s="6"/>
      <c r="L189" s="6"/>
      <c r="M189" s="6"/>
      <c r="N189" s="6"/>
      <c r="O189" s="6"/>
    </row>
    <row r="190" spans="1:15" x14ac:dyDescent="0.25">
      <c r="A190" s="6"/>
      <c r="B190" s="6"/>
      <c r="C190" s="6"/>
      <c r="D190" s="6"/>
      <c r="E190" s="6"/>
      <c r="F190" s="6"/>
      <c r="G190" s="6"/>
      <c r="H190" s="6"/>
      <c r="I190" s="6"/>
      <c r="J190" s="6"/>
      <c r="K190" s="6"/>
      <c r="L190" s="6"/>
      <c r="M190" s="6"/>
      <c r="N190" s="6"/>
      <c r="O190" s="6"/>
    </row>
    <row r="191" spans="1:15" x14ac:dyDescent="0.25">
      <c r="A191" s="6"/>
      <c r="B191" s="6"/>
      <c r="C191" s="6"/>
      <c r="D191" s="6"/>
      <c r="E191" s="6"/>
      <c r="F191" s="6"/>
      <c r="G191" s="6"/>
      <c r="H191" s="6"/>
      <c r="I191" s="6"/>
      <c r="J191" s="6"/>
      <c r="K191" s="6"/>
      <c r="L191" s="6"/>
      <c r="M191" s="6"/>
      <c r="N191" s="6"/>
      <c r="O191" s="6"/>
    </row>
    <row r="192" spans="1:15" x14ac:dyDescent="0.25">
      <c r="A192" s="6"/>
      <c r="B192" s="6"/>
      <c r="C192" s="6"/>
      <c r="D192" s="6"/>
      <c r="E192" s="6"/>
      <c r="F192" s="6"/>
      <c r="G192" s="6"/>
      <c r="H192" s="6"/>
      <c r="I192" s="6"/>
      <c r="J192" s="6"/>
      <c r="K192" s="6"/>
      <c r="L192" s="6"/>
      <c r="M192" s="6"/>
      <c r="N192" s="6"/>
      <c r="O192" s="6"/>
    </row>
    <row r="193" spans="1:15" x14ac:dyDescent="0.25">
      <c r="A193" s="6"/>
      <c r="B193" s="6"/>
      <c r="C193" s="6"/>
      <c r="D193" s="6"/>
      <c r="E193" s="6"/>
      <c r="F193" s="6"/>
      <c r="G193" s="6"/>
      <c r="H193" s="6"/>
      <c r="I193" s="6"/>
      <c r="J193" s="6"/>
      <c r="K193" s="6"/>
      <c r="L193" s="6"/>
      <c r="M193" s="6"/>
      <c r="N193" s="6"/>
      <c r="O193" s="6"/>
    </row>
    <row r="194" spans="1:15" x14ac:dyDescent="0.25">
      <c r="A194" s="6"/>
      <c r="B194" s="6"/>
      <c r="C194" s="6"/>
      <c r="D194" s="6"/>
      <c r="E194" s="6"/>
      <c r="F194" s="6"/>
      <c r="G194" s="6"/>
      <c r="H194" s="6"/>
      <c r="I194" s="6"/>
      <c r="J194" s="6"/>
      <c r="K194" s="6"/>
      <c r="L194" s="6"/>
      <c r="M194" s="6"/>
      <c r="N194" s="6"/>
      <c r="O194" s="6"/>
    </row>
    <row r="195" spans="1:15" x14ac:dyDescent="0.25">
      <c r="A195" s="6"/>
      <c r="B195" s="6"/>
      <c r="C195" s="6"/>
      <c r="D195" s="6"/>
      <c r="E195" s="6"/>
      <c r="F195" s="6"/>
      <c r="G195" s="6"/>
      <c r="H195" s="6"/>
      <c r="I195" s="6"/>
      <c r="J195" s="6"/>
      <c r="K195" s="6"/>
      <c r="L195" s="6"/>
      <c r="M195" s="6"/>
      <c r="N195" s="6"/>
      <c r="O195" s="6"/>
    </row>
    <row r="196" spans="1:15" x14ac:dyDescent="0.25">
      <c r="A196" s="6"/>
      <c r="B196" s="6"/>
      <c r="C196" s="6"/>
      <c r="D196" s="6"/>
      <c r="E196" s="6"/>
      <c r="F196" s="6"/>
      <c r="G196" s="6"/>
      <c r="H196" s="6"/>
      <c r="I196" s="6"/>
      <c r="J196" s="6"/>
      <c r="K196" s="6"/>
      <c r="L196" s="6"/>
      <c r="M196" s="6"/>
      <c r="N196" s="6"/>
      <c r="O196" s="6"/>
    </row>
    <row r="197" spans="1:15" x14ac:dyDescent="0.25">
      <c r="A197" s="6"/>
      <c r="B197" s="6"/>
      <c r="C197" s="6"/>
      <c r="D197" s="6"/>
      <c r="E197" s="6"/>
      <c r="F197" s="6"/>
      <c r="G197" s="6"/>
      <c r="H197" s="6"/>
      <c r="I197" s="6"/>
      <c r="J197" s="6"/>
      <c r="K197" s="6"/>
      <c r="L197" s="6"/>
      <c r="M197" s="6"/>
      <c r="N197" s="6"/>
      <c r="O197" s="6"/>
    </row>
    <row r="198" spans="1:15" x14ac:dyDescent="0.25">
      <c r="A198" s="6"/>
      <c r="B198" s="6"/>
      <c r="C198" s="6"/>
      <c r="D198" s="6"/>
      <c r="E198" s="6"/>
      <c r="F198" s="6"/>
      <c r="G198" s="6"/>
      <c r="H198" s="6"/>
      <c r="I198" s="6"/>
      <c r="J198" s="6"/>
      <c r="K198" s="6"/>
      <c r="L198" s="6"/>
      <c r="M198" s="6"/>
      <c r="N198" s="6"/>
      <c r="O198" s="6"/>
    </row>
    <row r="199" spans="1:15" x14ac:dyDescent="0.25">
      <c r="A199" s="6"/>
      <c r="B199" s="6"/>
      <c r="C199" s="6"/>
      <c r="D199" s="6"/>
      <c r="E199" s="6"/>
      <c r="F199" s="6"/>
      <c r="G199" s="6"/>
      <c r="H199" s="6"/>
      <c r="I199" s="6"/>
      <c r="J199" s="6"/>
      <c r="K199" s="6"/>
      <c r="L199" s="6"/>
      <c r="M199" s="6"/>
      <c r="N199" s="6"/>
      <c r="O199" s="6"/>
    </row>
    <row r="200" spans="1:15" x14ac:dyDescent="0.25">
      <c r="A200" s="6"/>
      <c r="B200" s="6"/>
      <c r="C200" s="6"/>
      <c r="D200" s="6"/>
      <c r="E200" s="6"/>
      <c r="F200" s="6"/>
      <c r="G200" s="6"/>
      <c r="H200" s="6"/>
      <c r="I200" s="6"/>
      <c r="J200" s="6"/>
      <c r="K200" s="6"/>
      <c r="L200" s="6"/>
      <c r="M200" s="6"/>
      <c r="N200" s="6"/>
      <c r="O200" s="6"/>
    </row>
    <row r="201" spans="1:15" x14ac:dyDescent="0.25">
      <c r="A201" s="6"/>
      <c r="B201" s="6"/>
      <c r="C201" s="6"/>
      <c r="D201" s="6"/>
      <c r="E201" s="6"/>
      <c r="F201" s="6"/>
      <c r="G201" s="6"/>
      <c r="H201" s="6"/>
      <c r="I201" s="6"/>
      <c r="J201" s="6"/>
      <c r="K201" s="6"/>
      <c r="L201" s="6"/>
      <c r="M201" s="6"/>
      <c r="N201" s="6"/>
      <c r="O201" s="6"/>
    </row>
    <row r="202" spans="1:15" x14ac:dyDescent="0.25">
      <c r="A202" s="6"/>
      <c r="B202" s="6"/>
      <c r="C202" s="6"/>
      <c r="D202" s="6"/>
      <c r="E202" s="6"/>
      <c r="F202" s="6"/>
      <c r="G202" s="6"/>
      <c r="H202" s="6"/>
      <c r="I202" s="6"/>
      <c r="J202" s="6"/>
      <c r="K202" s="6"/>
      <c r="L202" s="6"/>
      <c r="M202" s="6"/>
      <c r="N202" s="6"/>
      <c r="O202" s="6"/>
    </row>
    <row r="203" spans="1:15" x14ac:dyDescent="0.25">
      <c r="A203" s="6"/>
      <c r="B203" s="6"/>
      <c r="C203" s="6"/>
      <c r="D203" s="6"/>
      <c r="E203" s="6"/>
      <c r="F203" s="6"/>
      <c r="G203" s="6"/>
      <c r="H203" s="6"/>
      <c r="I203" s="6"/>
      <c r="J203" s="6"/>
      <c r="K203" s="6"/>
      <c r="L203" s="6"/>
      <c r="M203" s="6"/>
      <c r="N203" s="6"/>
      <c r="O203" s="6"/>
    </row>
    <row r="204" spans="1:15" x14ac:dyDescent="0.25">
      <c r="A204" s="6"/>
      <c r="B204" s="6"/>
      <c r="C204" s="6"/>
      <c r="D204" s="6"/>
      <c r="E204" s="6"/>
      <c r="F204" s="6"/>
      <c r="G204" s="6"/>
      <c r="H204" s="6"/>
      <c r="I204" s="6"/>
      <c r="J204" s="6"/>
      <c r="K204" s="6"/>
      <c r="L204" s="6"/>
      <c r="M204" s="6"/>
      <c r="N204" s="6"/>
      <c r="O204" s="6"/>
    </row>
    <row r="205" spans="1:15" x14ac:dyDescent="0.25">
      <c r="A205" s="6"/>
      <c r="B205" s="6"/>
      <c r="C205" s="6"/>
      <c r="D205" s="6"/>
      <c r="E205" s="6"/>
      <c r="F205" s="6"/>
      <c r="G205" s="6"/>
      <c r="H205" s="6"/>
      <c r="I205" s="6"/>
      <c r="J205" s="6"/>
      <c r="K205" s="6"/>
      <c r="L205" s="6"/>
      <c r="M205" s="6"/>
      <c r="N205" s="6"/>
      <c r="O205" s="6"/>
    </row>
    <row r="206" spans="1:15" x14ac:dyDescent="0.25">
      <c r="A206" s="6"/>
      <c r="B206" s="6"/>
      <c r="C206" s="6"/>
      <c r="D206" s="6"/>
      <c r="E206" s="6"/>
      <c r="F206" s="6"/>
      <c r="G206" s="6"/>
      <c r="H206" s="6"/>
      <c r="I206" s="6"/>
      <c r="J206" s="6"/>
      <c r="K206" s="6"/>
      <c r="L206" s="6"/>
      <c r="M206" s="6"/>
      <c r="N206" s="6"/>
      <c r="O206" s="6"/>
    </row>
    <row r="207" spans="1:15" x14ac:dyDescent="0.25">
      <c r="A207" s="6"/>
      <c r="B207" s="6"/>
      <c r="C207" s="6"/>
      <c r="D207" s="6"/>
      <c r="E207" s="6"/>
      <c r="F207" s="6"/>
      <c r="G207" s="6"/>
      <c r="H207" s="6"/>
      <c r="I207" s="6"/>
      <c r="J207" s="6"/>
      <c r="K207" s="6"/>
      <c r="L207" s="6"/>
      <c r="M207" s="6"/>
      <c r="N207" s="6"/>
      <c r="O207" s="6"/>
    </row>
    <row r="208" spans="1:15" x14ac:dyDescent="0.25">
      <c r="A208" s="6"/>
      <c r="B208" s="6"/>
      <c r="C208" s="6"/>
      <c r="D208" s="6"/>
      <c r="E208" s="6"/>
      <c r="F208" s="6"/>
      <c r="G208" s="6"/>
      <c r="H208" s="6"/>
      <c r="I208" s="6"/>
      <c r="J208" s="6"/>
      <c r="K208" s="6"/>
      <c r="L208" s="6"/>
      <c r="M208" s="6"/>
      <c r="N208" s="6"/>
      <c r="O208" s="6"/>
    </row>
    <row r="209" spans="1:15" x14ac:dyDescent="0.25">
      <c r="A209" s="6"/>
      <c r="B209" s="6"/>
      <c r="C209" s="6"/>
      <c r="D209" s="6"/>
      <c r="E209" s="6"/>
      <c r="F209" s="6"/>
      <c r="G209" s="6"/>
      <c r="H209" s="6"/>
      <c r="I209" s="6"/>
      <c r="J209" s="6"/>
      <c r="K209" s="6"/>
      <c r="L209" s="6"/>
      <c r="M209" s="6"/>
      <c r="N209" s="6"/>
      <c r="O209" s="6"/>
    </row>
    <row r="210" spans="1:15" x14ac:dyDescent="0.25">
      <c r="A210" s="6"/>
      <c r="B210" s="6"/>
      <c r="C210" s="6"/>
      <c r="D210" s="6"/>
      <c r="E210" s="6"/>
      <c r="F210" s="6"/>
      <c r="G210" s="6"/>
      <c r="H210" s="6"/>
      <c r="I210" s="6"/>
      <c r="J210" s="6"/>
      <c r="K210" s="6"/>
      <c r="L210" s="6"/>
      <c r="M210" s="6"/>
      <c r="N210" s="6"/>
      <c r="O210" s="6"/>
    </row>
    <row r="211" spans="1:15" x14ac:dyDescent="0.25">
      <c r="A211" s="6"/>
      <c r="B211" s="6"/>
      <c r="C211" s="6"/>
      <c r="D211" s="6"/>
      <c r="E211" s="6"/>
      <c r="F211" s="6"/>
      <c r="G211" s="6"/>
      <c r="H211" s="6"/>
      <c r="I211" s="6"/>
      <c r="J211" s="6"/>
      <c r="K211" s="6"/>
      <c r="L211" s="6"/>
      <c r="M211" s="6"/>
      <c r="N211" s="6"/>
      <c r="O211" s="6"/>
    </row>
    <row r="212" spans="1:15" x14ac:dyDescent="0.25">
      <c r="A212" s="6"/>
      <c r="B212" s="6"/>
      <c r="C212" s="6"/>
      <c r="D212" s="6"/>
      <c r="E212" s="6"/>
      <c r="F212" s="6"/>
      <c r="G212" s="6"/>
      <c r="H212" s="6"/>
      <c r="I212" s="6"/>
      <c r="J212" s="6"/>
      <c r="K212" s="6"/>
      <c r="L212" s="6"/>
      <c r="M212" s="6"/>
      <c r="N212" s="6"/>
      <c r="O212" s="6"/>
    </row>
    <row r="213" spans="1:15" x14ac:dyDescent="0.25">
      <c r="A213" s="6"/>
      <c r="B213" s="6"/>
      <c r="C213" s="6"/>
      <c r="D213" s="6"/>
      <c r="E213" s="6"/>
      <c r="F213" s="6"/>
      <c r="G213" s="6"/>
      <c r="H213" s="6"/>
      <c r="I213" s="6"/>
      <c r="J213" s="6"/>
      <c r="K213" s="6"/>
      <c r="L213" s="6"/>
      <c r="M213" s="6"/>
      <c r="N213" s="6"/>
      <c r="O213" s="6"/>
    </row>
    <row r="214" spans="1:15" x14ac:dyDescent="0.25">
      <c r="A214" s="6"/>
      <c r="B214" s="6"/>
      <c r="C214" s="6"/>
      <c r="D214" s="6"/>
      <c r="E214" s="6"/>
      <c r="F214" s="6"/>
      <c r="G214" s="6"/>
      <c r="H214" s="6"/>
      <c r="I214" s="6"/>
      <c r="J214" s="6"/>
      <c r="K214" s="6"/>
      <c r="L214" s="6"/>
      <c r="M214" s="6"/>
      <c r="N214" s="6"/>
      <c r="O214" s="6"/>
    </row>
    <row r="215" spans="1:15" x14ac:dyDescent="0.25">
      <c r="A215" s="6"/>
      <c r="B215" s="6"/>
      <c r="C215" s="6"/>
      <c r="D215" s="6"/>
      <c r="E215" s="6"/>
      <c r="F215" s="6"/>
      <c r="G215" s="6"/>
      <c r="H215" s="6"/>
      <c r="I215" s="6"/>
      <c r="J215" s="6"/>
      <c r="K215" s="6"/>
      <c r="L215" s="6"/>
      <c r="M215" s="6"/>
      <c r="N215" s="6"/>
      <c r="O215" s="6"/>
    </row>
    <row r="216" spans="1:15" x14ac:dyDescent="0.25">
      <c r="A216" s="6"/>
      <c r="B216" s="6"/>
      <c r="C216" s="6"/>
      <c r="D216" s="6"/>
      <c r="E216" s="6"/>
      <c r="F216" s="6"/>
      <c r="G216" s="6"/>
      <c r="H216" s="6"/>
      <c r="I216" s="6"/>
      <c r="J216" s="6"/>
      <c r="K216" s="6"/>
      <c r="L216" s="6"/>
      <c r="M216" s="6"/>
      <c r="N216" s="6"/>
      <c r="O216" s="6"/>
    </row>
    <row r="217" spans="1:15" x14ac:dyDescent="0.25">
      <c r="A217" s="6"/>
      <c r="B217" s="6"/>
      <c r="C217" s="6"/>
      <c r="D217" s="6"/>
      <c r="E217" s="6"/>
      <c r="F217" s="6"/>
      <c r="G217" s="6"/>
      <c r="H217" s="6"/>
      <c r="I217" s="6"/>
      <c r="J217" s="6"/>
      <c r="K217" s="6"/>
      <c r="L217" s="6"/>
      <c r="M217" s="6"/>
      <c r="N217" s="6"/>
      <c r="O217" s="6"/>
    </row>
    <row r="218" spans="1:15" x14ac:dyDescent="0.25">
      <c r="A218" s="6"/>
      <c r="B218" s="6"/>
      <c r="C218" s="6"/>
      <c r="D218" s="6"/>
      <c r="E218" s="6"/>
      <c r="F218" s="6"/>
      <c r="G218" s="6"/>
      <c r="H218" s="6"/>
      <c r="I218" s="6"/>
      <c r="J218" s="6"/>
      <c r="K218" s="6"/>
      <c r="L218" s="6"/>
      <c r="M218" s="6"/>
      <c r="N218" s="6"/>
      <c r="O218" s="6"/>
    </row>
    <row r="219" spans="1:15" x14ac:dyDescent="0.25">
      <c r="A219" s="6"/>
      <c r="B219" s="6"/>
      <c r="C219" s="6"/>
      <c r="D219" s="6"/>
      <c r="E219" s="6"/>
      <c r="F219" s="6"/>
      <c r="G219" s="6"/>
      <c r="H219" s="6"/>
      <c r="I219" s="6"/>
      <c r="J219" s="6"/>
      <c r="K219" s="6"/>
      <c r="L219" s="6"/>
      <c r="M219" s="6"/>
      <c r="N219" s="6"/>
      <c r="O219" s="6"/>
    </row>
    <row r="220" spans="1:15" x14ac:dyDescent="0.25">
      <c r="A220" s="6"/>
      <c r="B220" s="6"/>
      <c r="C220" s="6"/>
      <c r="D220" s="6"/>
      <c r="E220" s="6"/>
      <c r="F220" s="6"/>
      <c r="G220" s="6"/>
      <c r="H220" s="6"/>
      <c r="I220" s="6"/>
      <c r="J220" s="6"/>
      <c r="K220" s="6"/>
      <c r="L220" s="6"/>
      <c r="M220" s="6"/>
      <c r="N220" s="6"/>
      <c r="O220" s="6"/>
    </row>
    <row r="221" spans="1:15" x14ac:dyDescent="0.25">
      <c r="A221" s="6"/>
      <c r="B221" s="6"/>
      <c r="C221" s="6"/>
      <c r="D221" s="6"/>
      <c r="E221" s="6"/>
      <c r="F221" s="6"/>
      <c r="G221" s="6"/>
      <c r="H221" s="6"/>
      <c r="I221" s="6"/>
      <c r="J221" s="6"/>
      <c r="K221" s="6"/>
      <c r="L221" s="6"/>
      <c r="M221" s="6"/>
      <c r="N221" s="6"/>
      <c r="O221" s="6"/>
    </row>
    <row r="222" spans="1:15" x14ac:dyDescent="0.25">
      <c r="A222" s="6"/>
      <c r="B222" s="6"/>
      <c r="C222" s="6"/>
      <c r="D222" s="6"/>
      <c r="E222" s="6"/>
      <c r="F222" s="6"/>
      <c r="G222" s="6"/>
      <c r="H222" s="6"/>
      <c r="I222" s="6"/>
      <c r="J222" s="6"/>
      <c r="K222" s="6"/>
      <c r="L222" s="6"/>
      <c r="M222" s="6"/>
      <c r="N222" s="6"/>
      <c r="O222" s="6"/>
    </row>
    <row r="223" spans="1:15" x14ac:dyDescent="0.25">
      <c r="A223" s="6"/>
      <c r="B223" s="6"/>
      <c r="C223" s="6"/>
      <c r="D223" s="6"/>
      <c r="E223" s="6"/>
      <c r="F223" s="6"/>
      <c r="G223" s="6"/>
      <c r="H223" s="6"/>
      <c r="I223" s="6"/>
      <c r="J223" s="6"/>
      <c r="K223" s="6"/>
      <c r="L223" s="6"/>
      <c r="M223" s="6"/>
      <c r="N223" s="6"/>
      <c r="O223" s="6"/>
    </row>
    <row r="224" spans="1:15" x14ac:dyDescent="0.25">
      <c r="A224" s="6"/>
      <c r="B224" s="6"/>
      <c r="C224" s="6"/>
      <c r="D224" s="6"/>
      <c r="E224" s="6"/>
      <c r="F224" s="6"/>
      <c r="G224" s="6"/>
      <c r="H224" s="6"/>
      <c r="I224" s="6"/>
      <c r="J224" s="6"/>
      <c r="K224" s="6"/>
      <c r="L224" s="6"/>
      <c r="M224" s="6"/>
      <c r="N224" s="6"/>
      <c r="O224" s="6"/>
    </row>
    <row r="225" spans="1:15" x14ac:dyDescent="0.25">
      <c r="A225" s="6"/>
      <c r="B225" s="6"/>
      <c r="C225" s="6"/>
      <c r="D225" s="6"/>
      <c r="E225" s="6"/>
      <c r="F225" s="6"/>
      <c r="G225" s="6"/>
      <c r="H225" s="6"/>
      <c r="I225" s="6"/>
      <c r="J225" s="6"/>
      <c r="K225" s="6"/>
      <c r="L225" s="6"/>
      <c r="M225" s="6"/>
      <c r="N225" s="6"/>
      <c r="O225" s="6"/>
    </row>
    <row r="226" spans="1:15" x14ac:dyDescent="0.25">
      <c r="A226" s="6"/>
      <c r="B226" s="6"/>
      <c r="C226" s="6"/>
      <c r="D226" s="6"/>
      <c r="E226" s="6"/>
      <c r="F226" s="6"/>
      <c r="G226" s="6"/>
      <c r="H226" s="6"/>
      <c r="I226" s="6"/>
      <c r="J226" s="6"/>
      <c r="K226" s="6"/>
      <c r="L226" s="6"/>
      <c r="M226" s="6"/>
      <c r="N226" s="6"/>
      <c r="O226" s="6"/>
    </row>
    <row r="227" spans="1:15" x14ac:dyDescent="0.25">
      <c r="A227" s="6"/>
      <c r="B227" s="6"/>
      <c r="C227" s="6"/>
      <c r="D227" s="6"/>
      <c r="E227" s="6"/>
      <c r="F227" s="6"/>
      <c r="G227" s="6"/>
      <c r="H227" s="6"/>
      <c r="I227" s="6"/>
      <c r="J227" s="6"/>
      <c r="K227" s="6"/>
      <c r="L227" s="6"/>
      <c r="M227" s="6"/>
      <c r="N227" s="6"/>
      <c r="O227" s="6"/>
    </row>
    <row r="228" spans="1:15" x14ac:dyDescent="0.25">
      <c r="A228" s="6"/>
      <c r="B228" s="6"/>
      <c r="C228" s="6"/>
      <c r="D228" s="6"/>
      <c r="E228" s="6"/>
      <c r="F228" s="6"/>
      <c r="G228" s="6"/>
      <c r="H228" s="6"/>
      <c r="I228" s="6"/>
      <c r="J228" s="6"/>
      <c r="K228" s="6"/>
      <c r="L228" s="6"/>
      <c r="M228" s="6"/>
      <c r="N228" s="6"/>
      <c r="O228" s="6"/>
    </row>
    <row r="229" spans="1:15" x14ac:dyDescent="0.25">
      <c r="A229" s="6"/>
      <c r="B229" s="6"/>
      <c r="C229" s="6"/>
      <c r="D229" s="6"/>
      <c r="E229" s="6"/>
      <c r="F229" s="6"/>
      <c r="G229" s="6"/>
      <c r="H229" s="6"/>
      <c r="I229" s="6"/>
      <c r="J229" s="6"/>
      <c r="K229" s="6"/>
      <c r="L229" s="6"/>
      <c r="M229" s="6"/>
      <c r="N229" s="6"/>
      <c r="O229" s="6"/>
    </row>
    <row r="230" spans="1:15" x14ac:dyDescent="0.25">
      <c r="A230" s="6"/>
      <c r="B230" s="6"/>
      <c r="C230" s="6"/>
      <c r="D230" s="6"/>
      <c r="E230" s="6"/>
      <c r="F230" s="6"/>
      <c r="G230" s="6"/>
      <c r="H230" s="6"/>
      <c r="I230" s="6"/>
      <c r="J230" s="6"/>
      <c r="K230" s="6"/>
      <c r="L230" s="6"/>
      <c r="M230" s="6"/>
      <c r="N230" s="6"/>
      <c r="O230" s="6"/>
    </row>
    <row r="231" spans="1:15" x14ac:dyDescent="0.25">
      <c r="A231" s="6"/>
      <c r="B231" s="6"/>
      <c r="C231" s="6"/>
      <c r="D231" s="6"/>
      <c r="E231" s="6"/>
      <c r="F231" s="6"/>
      <c r="G231" s="6"/>
      <c r="H231" s="6"/>
      <c r="I231" s="6"/>
      <c r="J231" s="6"/>
      <c r="K231" s="6"/>
      <c r="L231" s="6"/>
      <c r="M231" s="6"/>
      <c r="N231" s="6"/>
      <c r="O231" s="6"/>
    </row>
    <row r="232" spans="1:15" x14ac:dyDescent="0.25">
      <c r="A232" s="6"/>
      <c r="B232" s="6"/>
      <c r="C232" s="6"/>
      <c r="D232" s="6"/>
      <c r="E232" s="6"/>
      <c r="F232" s="6"/>
      <c r="G232" s="6"/>
      <c r="H232" s="6"/>
      <c r="I232" s="6"/>
      <c r="J232" s="6"/>
      <c r="K232" s="6"/>
      <c r="L232" s="6"/>
      <c r="M232" s="6"/>
      <c r="N232" s="6"/>
      <c r="O232" s="6"/>
    </row>
    <row r="233" spans="1:15" x14ac:dyDescent="0.25">
      <c r="A233" s="6"/>
      <c r="B233" s="6"/>
      <c r="C233" s="6"/>
      <c r="D233" s="6"/>
      <c r="E233" s="6"/>
      <c r="F233" s="6"/>
      <c r="G233" s="6"/>
      <c r="H233" s="6"/>
      <c r="I233" s="6"/>
      <c r="J233" s="6"/>
      <c r="K233" s="6"/>
      <c r="L233" s="6"/>
      <c r="M233" s="6"/>
      <c r="N233" s="6"/>
      <c r="O233" s="6"/>
    </row>
    <row r="234" spans="1:15" x14ac:dyDescent="0.25">
      <c r="A234" s="6"/>
      <c r="B234" s="6"/>
      <c r="C234" s="6"/>
      <c r="D234" s="6"/>
      <c r="E234" s="6"/>
      <c r="F234" s="6"/>
      <c r="G234" s="6"/>
      <c r="H234" s="6"/>
      <c r="I234" s="6"/>
      <c r="J234" s="6"/>
      <c r="K234" s="6"/>
      <c r="L234" s="6"/>
      <c r="M234" s="6"/>
      <c r="N234" s="6"/>
      <c r="O234" s="6"/>
    </row>
    <row r="235" spans="1:15" x14ac:dyDescent="0.25">
      <c r="A235" s="6"/>
      <c r="B235" s="6"/>
      <c r="C235" s="6"/>
      <c r="D235" s="6"/>
      <c r="E235" s="6"/>
      <c r="F235" s="6"/>
      <c r="G235" s="6"/>
      <c r="H235" s="6"/>
      <c r="I235" s="6"/>
      <c r="J235" s="6"/>
      <c r="K235" s="6"/>
      <c r="L235" s="6"/>
      <c r="M235" s="6"/>
      <c r="N235" s="6"/>
      <c r="O235" s="6"/>
    </row>
    <row r="236" spans="1:15" x14ac:dyDescent="0.25">
      <c r="A236" s="6"/>
      <c r="B236" s="6"/>
      <c r="C236" s="6"/>
      <c r="D236" s="6"/>
      <c r="E236" s="6"/>
      <c r="F236" s="6"/>
      <c r="G236" s="6"/>
      <c r="H236" s="6"/>
      <c r="I236" s="6"/>
      <c r="J236" s="6"/>
      <c r="K236" s="6"/>
      <c r="L236" s="6"/>
      <c r="M236" s="6"/>
      <c r="N236" s="6"/>
      <c r="O236" s="6"/>
    </row>
    <row r="237" spans="1:15" x14ac:dyDescent="0.25">
      <c r="A237" s="6"/>
      <c r="B237" s="6"/>
      <c r="C237" s="6"/>
      <c r="D237" s="6"/>
      <c r="E237" s="6"/>
      <c r="F237" s="6"/>
      <c r="G237" s="6"/>
      <c r="H237" s="6"/>
      <c r="I237" s="6"/>
      <c r="J237" s="6"/>
      <c r="K237" s="6"/>
      <c r="L237" s="6"/>
      <c r="M237" s="6"/>
      <c r="N237" s="6"/>
      <c r="O237" s="6"/>
    </row>
    <row r="238" spans="1:15" x14ac:dyDescent="0.25">
      <c r="A238" s="6"/>
      <c r="B238" s="6"/>
      <c r="C238" s="6"/>
      <c r="D238" s="6"/>
      <c r="E238" s="6"/>
      <c r="F238" s="6"/>
      <c r="G238" s="6"/>
      <c r="H238" s="6"/>
      <c r="I238" s="6"/>
      <c r="J238" s="6"/>
      <c r="K238" s="6"/>
      <c r="L238" s="6"/>
      <c r="M238" s="6"/>
      <c r="N238" s="6"/>
      <c r="O238" s="6"/>
    </row>
    <row r="239" spans="1:15" x14ac:dyDescent="0.25">
      <c r="A239" s="6"/>
      <c r="B239" s="6"/>
      <c r="C239" s="6"/>
      <c r="D239" s="6"/>
      <c r="E239" s="6"/>
      <c r="F239" s="6"/>
      <c r="G239" s="6"/>
      <c r="H239" s="6"/>
      <c r="I239" s="6"/>
      <c r="J239" s="6"/>
      <c r="K239" s="6"/>
      <c r="L239" s="6"/>
      <c r="M239" s="6"/>
      <c r="N239" s="6"/>
      <c r="O239" s="6"/>
    </row>
    <row r="240" spans="1:15" x14ac:dyDescent="0.25">
      <c r="A240" s="6"/>
      <c r="B240" s="6"/>
      <c r="C240" s="6"/>
      <c r="D240" s="6"/>
      <c r="E240" s="6"/>
      <c r="F240" s="6"/>
      <c r="G240" s="6"/>
      <c r="H240" s="6"/>
      <c r="I240" s="6"/>
      <c r="J240" s="6"/>
      <c r="K240" s="6"/>
      <c r="L240" s="6"/>
      <c r="M240" s="6"/>
      <c r="N240" s="6"/>
      <c r="O240" s="6"/>
    </row>
    <row r="241" spans="1:15" x14ac:dyDescent="0.25">
      <c r="A241" s="6"/>
      <c r="B241" s="6"/>
      <c r="C241" s="6"/>
      <c r="D241" s="6"/>
      <c r="E241" s="6"/>
      <c r="F241" s="6"/>
      <c r="G241" s="6"/>
      <c r="H241" s="6"/>
      <c r="I241" s="6"/>
      <c r="J241" s="6"/>
      <c r="K241" s="6"/>
      <c r="L241" s="6"/>
      <c r="M241" s="6"/>
      <c r="N241" s="6"/>
      <c r="O241" s="6"/>
    </row>
    <row r="242" spans="1:15" x14ac:dyDescent="0.25">
      <c r="A242" s="6"/>
      <c r="B242" s="6"/>
      <c r="C242" s="6"/>
      <c r="D242" s="6"/>
      <c r="E242" s="6"/>
      <c r="F242" s="6"/>
      <c r="G242" s="6"/>
      <c r="H242" s="6"/>
      <c r="I242" s="6"/>
      <c r="J242" s="6"/>
      <c r="K242" s="6"/>
      <c r="L242" s="6"/>
      <c r="M242" s="6"/>
      <c r="N242" s="6"/>
      <c r="O242" s="6"/>
    </row>
    <row r="243" spans="1:15" x14ac:dyDescent="0.25">
      <c r="A243" s="6"/>
      <c r="B243" s="6"/>
      <c r="C243" s="6"/>
      <c r="D243" s="6"/>
      <c r="E243" s="6"/>
      <c r="F243" s="6"/>
      <c r="G243" s="6"/>
      <c r="H243" s="6"/>
      <c r="I243" s="6"/>
      <c r="J243" s="6"/>
      <c r="K243" s="6"/>
      <c r="L243" s="6"/>
      <c r="M243" s="6"/>
      <c r="N243" s="6"/>
      <c r="O243" s="6"/>
    </row>
    <row r="244" spans="1:15" x14ac:dyDescent="0.25">
      <c r="A244" s="6"/>
      <c r="B244" s="6"/>
      <c r="C244" s="6"/>
      <c r="D244" s="6"/>
      <c r="E244" s="6"/>
      <c r="F244" s="6"/>
      <c r="G244" s="6"/>
      <c r="H244" s="6"/>
      <c r="I244" s="6"/>
      <c r="J244" s="6"/>
      <c r="K244" s="6"/>
      <c r="L244" s="6"/>
      <c r="M244" s="6"/>
      <c r="N244" s="6"/>
      <c r="O244" s="6"/>
    </row>
    <row r="245" spans="1:15" x14ac:dyDescent="0.25">
      <c r="A245" s="6"/>
      <c r="B245" s="6"/>
      <c r="C245" s="6"/>
      <c r="D245" s="6"/>
      <c r="E245" s="6"/>
      <c r="F245" s="6"/>
      <c r="G245" s="6"/>
      <c r="H245" s="6"/>
      <c r="I245" s="6"/>
      <c r="J245" s="6"/>
      <c r="K245" s="6"/>
      <c r="L245" s="6"/>
      <c r="M245" s="6"/>
      <c r="N245" s="6"/>
      <c r="O245" s="6"/>
    </row>
    <row r="246" spans="1:15" x14ac:dyDescent="0.25">
      <c r="A246" s="6"/>
      <c r="B246" s="6"/>
      <c r="C246" s="6"/>
      <c r="D246" s="6"/>
      <c r="E246" s="6"/>
      <c r="F246" s="6"/>
      <c r="G246" s="6"/>
      <c r="H246" s="6"/>
      <c r="I246" s="6"/>
      <c r="J246" s="6"/>
      <c r="K246" s="6"/>
      <c r="L246" s="6"/>
      <c r="M246" s="6"/>
      <c r="N246" s="6"/>
      <c r="O246" s="6"/>
    </row>
    <row r="247" spans="1:15" x14ac:dyDescent="0.25">
      <c r="A247" s="6"/>
      <c r="B247" s="6"/>
      <c r="C247" s="6"/>
      <c r="D247" s="6"/>
      <c r="E247" s="6"/>
      <c r="F247" s="6"/>
      <c r="G247" s="6"/>
      <c r="H247" s="6"/>
      <c r="I247" s="6"/>
      <c r="J247" s="6"/>
      <c r="K247" s="6"/>
      <c r="L247" s="6"/>
      <c r="M247" s="6"/>
      <c r="N247" s="6"/>
      <c r="O247" s="6"/>
    </row>
    <row r="248" spans="1:15" x14ac:dyDescent="0.25">
      <c r="A248" s="6"/>
      <c r="B248" s="6"/>
      <c r="C248" s="6"/>
      <c r="D248" s="6"/>
      <c r="E248" s="6"/>
      <c r="F248" s="6"/>
      <c r="G248" s="6"/>
      <c r="H248" s="6"/>
      <c r="I248" s="6"/>
      <c r="J248" s="6"/>
      <c r="K248" s="6"/>
      <c r="L248" s="6"/>
      <c r="M248" s="6"/>
      <c r="N248" s="6"/>
      <c r="O248" s="6"/>
    </row>
    <row r="249" spans="1:15" x14ac:dyDescent="0.25">
      <c r="A249" s="6"/>
      <c r="B249" s="6"/>
      <c r="C249" s="6"/>
      <c r="D249" s="6"/>
      <c r="E249" s="6"/>
      <c r="F249" s="6"/>
      <c r="G249" s="6"/>
      <c r="H249" s="6"/>
      <c r="I249" s="6"/>
      <c r="J249" s="6"/>
      <c r="K249" s="6"/>
      <c r="L249" s="6"/>
      <c r="M249" s="6"/>
      <c r="N249" s="6"/>
      <c r="O249" s="6"/>
    </row>
    <row r="250" spans="1:15" x14ac:dyDescent="0.25">
      <c r="A250" s="6"/>
      <c r="B250" s="6"/>
      <c r="C250" s="6"/>
      <c r="D250" s="6"/>
      <c r="E250" s="6"/>
      <c r="F250" s="6"/>
      <c r="G250" s="6"/>
      <c r="H250" s="6"/>
      <c r="I250" s="6"/>
      <c r="J250" s="6"/>
      <c r="K250" s="6"/>
      <c r="L250" s="6"/>
      <c r="M250" s="6"/>
      <c r="N250" s="6"/>
      <c r="O250" s="6"/>
    </row>
    <row r="251" spans="1:15" x14ac:dyDescent="0.25">
      <c r="A251" s="6"/>
      <c r="B251" s="6"/>
      <c r="C251" s="6"/>
      <c r="D251" s="6"/>
      <c r="E251" s="6"/>
      <c r="F251" s="6"/>
      <c r="G251" s="6"/>
      <c r="H251" s="6"/>
      <c r="I251" s="6"/>
      <c r="J251" s="6"/>
      <c r="K251" s="6"/>
      <c r="L251" s="6"/>
      <c r="M251" s="6"/>
      <c r="N251" s="6"/>
      <c r="O251" s="6"/>
    </row>
    <row r="252" spans="1:15" x14ac:dyDescent="0.25">
      <c r="A252" s="6"/>
      <c r="B252" s="6"/>
      <c r="C252" s="6"/>
      <c r="D252" s="6"/>
      <c r="E252" s="6"/>
      <c r="F252" s="6"/>
      <c r="G252" s="6"/>
      <c r="H252" s="6"/>
      <c r="I252" s="6"/>
      <c r="J252" s="6"/>
      <c r="K252" s="6"/>
      <c r="L252" s="6"/>
      <c r="M252" s="6"/>
      <c r="N252" s="6"/>
      <c r="O252" s="6"/>
    </row>
    <row r="253" spans="1:15" x14ac:dyDescent="0.25">
      <c r="A253" s="6"/>
      <c r="B253" s="6"/>
      <c r="C253" s="6"/>
      <c r="D253" s="6"/>
      <c r="E253" s="6"/>
      <c r="F253" s="6"/>
      <c r="G253" s="6"/>
      <c r="H253" s="6"/>
      <c r="I253" s="6"/>
      <c r="J253" s="6"/>
      <c r="K253" s="6"/>
      <c r="L253" s="6"/>
      <c r="M253" s="6"/>
      <c r="N253" s="6"/>
      <c r="O253" s="6"/>
    </row>
    <row r="254" spans="1:15" x14ac:dyDescent="0.25">
      <c r="A254" s="6"/>
      <c r="B254" s="6"/>
      <c r="C254" s="6"/>
      <c r="D254" s="6"/>
      <c r="E254" s="6"/>
      <c r="F254" s="6"/>
      <c r="G254" s="6"/>
      <c r="H254" s="6"/>
      <c r="I254" s="6"/>
      <c r="J254" s="6"/>
      <c r="K254" s="6"/>
      <c r="L254" s="6"/>
      <c r="M254" s="6"/>
      <c r="N254" s="6"/>
      <c r="O254" s="6"/>
    </row>
    <row r="255" spans="1:15" x14ac:dyDescent="0.25">
      <c r="A255" s="6"/>
      <c r="B255" s="6"/>
      <c r="C255" s="6"/>
      <c r="D255" s="6"/>
      <c r="E255" s="6"/>
      <c r="F255" s="6"/>
      <c r="G255" s="6"/>
      <c r="H255" s="6"/>
      <c r="I255" s="6"/>
      <c r="J255" s="6"/>
      <c r="K255" s="6"/>
      <c r="L255" s="6"/>
      <c r="M255" s="6"/>
      <c r="N255" s="6"/>
      <c r="O255" s="6"/>
    </row>
    <row r="256" spans="1:15" x14ac:dyDescent="0.25">
      <c r="A256" s="6"/>
      <c r="B256" s="6"/>
      <c r="C256" s="6"/>
      <c r="D256" s="6"/>
      <c r="E256" s="6"/>
      <c r="F256" s="6"/>
      <c r="G256" s="6"/>
      <c r="H256" s="6"/>
      <c r="I256" s="6"/>
      <c r="J256" s="6"/>
      <c r="K256" s="6"/>
      <c r="L256" s="6"/>
      <c r="M256" s="6"/>
      <c r="N256" s="6"/>
      <c r="O256" s="6"/>
    </row>
    <row r="257" spans="1:15" x14ac:dyDescent="0.25">
      <c r="A257" s="6"/>
      <c r="B257" s="6"/>
      <c r="C257" s="6"/>
      <c r="D257" s="6"/>
      <c r="E257" s="6"/>
      <c r="F257" s="6"/>
      <c r="G257" s="6"/>
      <c r="H257" s="6"/>
      <c r="I257" s="6"/>
      <c r="J257" s="6"/>
      <c r="K257" s="6"/>
      <c r="L257" s="6"/>
      <c r="M257" s="6"/>
      <c r="N257" s="6"/>
      <c r="O257" s="6"/>
    </row>
    <row r="258" spans="1:15" x14ac:dyDescent="0.25">
      <c r="A258" s="6"/>
      <c r="B258" s="6"/>
      <c r="C258" s="6"/>
      <c r="D258" s="6"/>
      <c r="E258" s="6"/>
      <c r="F258" s="6"/>
      <c r="G258" s="6"/>
      <c r="H258" s="6"/>
      <c r="I258" s="6"/>
      <c r="J258" s="6"/>
      <c r="K258" s="6"/>
      <c r="L258" s="6"/>
      <c r="M258" s="6"/>
      <c r="N258" s="6"/>
      <c r="O258" s="6"/>
    </row>
    <row r="259" spans="1:15" x14ac:dyDescent="0.25">
      <c r="A259" s="6"/>
      <c r="B259" s="6"/>
      <c r="C259" s="6"/>
      <c r="D259" s="6"/>
      <c r="E259" s="6"/>
      <c r="F259" s="6"/>
      <c r="G259" s="6"/>
      <c r="H259" s="6"/>
      <c r="I259" s="6"/>
      <c r="J259" s="6"/>
      <c r="K259" s="6"/>
      <c r="L259" s="6"/>
      <c r="M259" s="6"/>
      <c r="N259" s="6"/>
      <c r="O259" s="6"/>
    </row>
    <row r="260" spans="1:15" x14ac:dyDescent="0.25">
      <c r="A260" s="6"/>
      <c r="B260" s="6"/>
      <c r="C260" s="6"/>
      <c r="D260" s="6"/>
      <c r="E260" s="6"/>
      <c r="F260" s="6"/>
      <c r="G260" s="6"/>
      <c r="H260" s="6"/>
      <c r="I260" s="6"/>
      <c r="J260" s="6"/>
      <c r="K260" s="6"/>
      <c r="L260" s="6"/>
      <c r="M260" s="6"/>
      <c r="N260" s="6"/>
      <c r="O260" s="6"/>
    </row>
    <row r="261" spans="1:15" x14ac:dyDescent="0.25">
      <c r="A261" s="6"/>
      <c r="B261" s="6"/>
      <c r="C261" s="6"/>
      <c r="D261" s="6"/>
      <c r="E261" s="6"/>
      <c r="F261" s="6"/>
      <c r="G261" s="6"/>
      <c r="H261" s="6"/>
      <c r="I261" s="6"/>
      <c r="J261" s="6"/>
      <c r="K261" s="6"/>
      <c r="L261" s="6"/>
      <c r="M261" s="6"/>
      <c r="N261" s="6"/>
      <c r="O261" s="6"/>
    </row>
    <row r="262" spans="1:15" x14ac:dyDescent="0.25">
      <c r="A262" s="6"/>
      <c r="B262" s="6"/>
      <c r="C262" s="6"/>
      <c r="D262" s="6"/>
      <c r="E262" s="6"/>
      <c r="F262" s="6"/>
      <c r="G262" s="6"/>
      <c r="H262" s="6"/>
      <c r="I262" s="6"/>
      <c r="J262" s="6"/>
      <c r="K262" s="6"/>
      <c r="L262" s="6"/>
      <c r="M262" s="6"/>
      <c r="N262" s="6"/>
      <c r="O262" s="6"/>
    </row>
    <row r="263" spans="1:15" x14ac:dyDescent="0.25">
      <c r="A263" s="6"/>
      <c r="B263" s="6"/>
      <c r="C263" s="6"/>
      <c r="D263" s="6"/>
      <c r="E263" s="6"/>
      <c r="F263" s="6"/>
      <c r="G263" s="6"/>
      <c r="H263" s="6"/>
      <c r="I263" s="6"/>
      <c r="J263" s="6"/>
      <c r="K263" s="6"/>
      <c r="L263" s="6"/>
      <c r="M263" s="6"/>
      <c r="N263" s="6"/>
      <c r="O263" s="6"/>
    </row>
    <row r="264" spans="1:15" x14ac:dyDescent="0.25">
      <c r="A264" s="6"/>
      <c r="B264" s="6"/>
      <c r="C264" s="6"/>
      <c r="D264" s="6"/>
      <c r="E264" s="6"/>
      <c r="F264" s="6"/>
      <c r="G264" s="6"/>
      <c r="H264" s="6"/>
      <c r="I264" s="6"/>
      <c r="J264" s="6"/>
      <c r="K264" s="6"/>
      <c r="L264" s="6"/>
      <c r="M264" s="6"/>
      <c r="N264" s="6"/>
      <c r="O264" s="6"/>
    </row>
    <row r="265" spans="1:15" x14ac:dyDescent="0.25">
      <c r="A265" s="6"/>
      <c r="B265" s="6"/>
      <c r="C265" s="6"/>
      <c r="D265" s="6"/>
      <c r="E265" s="6"/>
      <c r="F265" s="6"/>
      <c r="G265" s="6"/>
      <c r="H265" s="6"/>
      <c r="I265" s="6"/>
      <c r="J265" s="6"/>
      <c r="K265" s="6"/>
      <c r="L265" s="6"/>
      <c r="M265" s="6"/>
      <c r="N265" s="6"/>
      <c r="O265" s="6"/>
    </row>
    <row r="266" spans="1:15" x14ac:dyDescent="0.25">
      <c r="A266" s="6"/>
      <c r="B266" s="6"/>
      <c r="C266" s="6"/>
      <c r="D266" s="6"/>
      <c r="E266" s="6"/>
      <c r="F266" s="6"/>
      <c r="G266" s="6"/>
      <c r="H266" s="6"/>
      <c r="I266" s="6"/>
      <c r="J266" s="6"/>
      <c r="K266" s="6"/>
      <c r="L266" s="6"/>
      <c r="M266" s="6"/>
      <c r="N266" s="6"/>
      <c r="O266" s="6"/>
    </row>
    <row r="267" spans="1:15" x14ac:dyDescent="0.25">
      <c r="A267" s="6"/>
      <c r="B267" s="6"/>
      <c r="C267" s="6"/>
      <c r="D267" s="6"/>
      <c r="E267" s="6"/>
      <c r="F267" s="6"/>
      <c r="G267" s="6"/>
      <c r="H267" s="6"/>
      <c r="I267" s="6"/>
      <c r="J267" s="6"/>
      <c r="K267" s="6"/>
      <c r="L267" s="6"/>
      <c r="M267" s="6"/>
      <c r="N267" s="6"/>
      <c r="O267" s="6"/>
    </row>
    <row r="268" spans="1:15" x14ac:dyDescent="0.25">
      <c r="A268" s="6"/>
      <c r="B268" s="6"/>
      <c r="C268" s="6"/>
      <c r="D268" s="6"/>
      <c r="E268" s="6"/>
      <c r="F268" s="6"/>
      <c r="G268" s="6"/>
      <c r="H268" s="6"/>
      <c r="I268" s="6"/>
      <c r="J268" s="6"/>
      <c r="K268" s="6"/>
      <c r="L268" s="6"/>
      <c r="M268" s="6"/>
      <c r="N268" s="6"/>
      <c r="O268" s="6"/>
    </row>
    <row r="269" spans="1:15" x14ac:dyDescent="0.25">
      <c r="A269" s="6"/>
      <c r="B269" s="6"/>
      <c r="C269" s="6"/>
      <c r="D269" s="6"/>
      <c r="E269" s="6"/>
      <c r="F269" s="6"/>
      <c r="G269" s="6"/>
      <c r="H269" s="6"/>
      <c r="I269" s="6"/>
      <c r="J269" s="6"/>
      <c r="K269" s="6"/>
      <c r="L269" s="6"/>
      <c r="M269" s="6"/>
      <c r="N269" s="6"/>
      <c r="O269" s="6"/>
    </row>
    <row r="270" spans="1:15" x14ac:dyDescent="0.25">
      <c r="A270" s="6"/>
      <c r="B270" s="6"/>
      <c r="C270" s="6"/>
      <c r="D270" s="6"/>
      <c r="E270" s="6"/>
      <c r="F270" s="6"/>
      <c r="G270" s="6"/>
      <c r="H270" s="6"/>
      <c r="I270" s="6"/>
      <c r="J270" s="6"/>
      <c r="K270" s="6"/>
      <c r="L270" s="6"/>
      <c r="M270" s="6"/>
      <c r="N270" s="6"/>
      <c r="O270" s="6"/>
    </row>
    <row r="271" spans="1:15" x14ac:dyDescent="0.25">
      <c r="A271" s="6"/>
      <c r="B271" s="6"/>
      <c r="C271" s="6"/>
      <c r="D271" s="6"/>
      <c r="E271" s="6"/>
      <c r="F271" s="6"/>
      <c r="G271" s="6"/>
      <c r="H271" s="6"/>
      <c r="I271" s="6"/>
      <c r="J271" s="6"/>
      <c r="K271" s="6"/>
      <c r="L271" s="6"/>
      <c r="M271" s="6"/>
      <c r="N271" s="6"/>
      <c r="O271" s="6"/>
    </row>
    <row r="272" spans="1:15" x14ac:dyDescent="0.25">
      <c r="A272" s="6"/>
      <c r="B272" s="6"/>
      <c r="C272" s="6"/>
      <c r="D272" s="6"/>
      <c r="E272" s="6"/>
      <c r="F272" s="6"/>
      <c r="G272" s="6"/>
      <c r="H272" s="6"/>
      <c r="I272" s="6"/>
      <c r="J272" s="6"/>
      <c r="K272" s="6"/>
      <c r="L272" s="6"/>
      <c r="M272" s="6"/>
      <c r="N272" s="6"/>
      <c r="O272" s="6"/>
    </row>
    <row r="273" spans="1:15" x14ac:dyDescent="0.25">
      <c r="A273" s="6"/>
      <c r="B273" s="6"/>
      <c r="C273" s="6"/>
      <c r="D273" s="6"/>
      <c r="E273" s="6"/>
      <c r="F273" s="6"/>
      <c r="G273" s="6"/>
      <c r="H273" s="6"/>
      <c r="I273" s="6"/>
      <c r="J273" s="6"/>
      <c r="K273" s="6"/>
      <c r="L273" s="6"/>
      <c r="M273" s="6"/>
      <c r="N273" s="6"/>
      <c r="O273" s="6"/>
    </row>
    <row r="274" spans="1:15" x14ac:dyDescent="0.25">
      <c r="A274" s="6"/>
      <c r="B274" s="6"/>
      <c r="C274" s="6"/>
      <c r="D274" s="6"/>
      <c r="E274" s="6"/>
      <c r="F274" s="6"/>
      <c r="G274" s="6"/>
      <c r="H274" s="6"/>
      <c r="I274" s="6"/>
      <c r="J274" s="6"/>
      <c r="K274" s="6"/>
      <c r="L274" s="6"/>
      <c r="M274" s="6"/>
      <c r="N274" s="6"/>
      <c r="O274" s="6"/>
    </row>
    <row r="275" spans="1:15" x14ac:dyDescent="0.25">
      <c r="A275" s="6"/>
      <c r="B275" s="6"/>
      <c r="C275" s="6"/>
      <c r="D275" s="6"/>
      <c r="E275" s="6"/>
      <c r="F275" s="6"/>
      <c r="G275" s="6"/>
      <c r="H275" s="6"/>
      <c r="I275" s="6"/>
      <c r="J275" s="6"/>
      <c r="K275" s="6"/>
      <c r="L275" s="6"/>
      <c r="M275" s="6"/>
      <c r="N275" s="6"/>
      <c r="O275" s="6"/>
    </row>
    <row r="276" spans="1:15" x14ac:dyDescent="0.25">
      <c r="A276" s="6"/>
      <c r="B276" s="6"/>
      <c r="C276" s="6"/>
      <c r="D276" s="6"/>
      <c r="E276" s="6"/>
      <c r="F276" s="6"/>
      <c r="G276" s="6"/>
      <c r="H276" s="6"/>
      <c r="I276" s="6"/>
      <c r="J276" s="6"/>
      <c r="K276" s="6"/>
      <c r="L276" s="6"/>
      <c r="M276" s="6"/>
      <c r="N276" s="6"/>
      <c r="O276" s="6"/>
    </row>
    <row r="277" spans="1:15" x14ac:dyDescent="0.25">
      <c r="A277" s="6"/>
      <c r="B277" s="6"/>
      <c r="C277" s="6"/>
      <c r="D277" s="6"/>
      <c r="E277" s="6"/>
      <c r="F277" s="6"/>
      <c r="G277" s="6"/>
      <c r="H277" s="6"/>
      <c r="I277" s="6"/>
      <c r="J277" s="6"/>
      <c r="K277" s="6"/>
      <c r="L277" s="6"/>
      <c r="M277" s="6"/>
      <c r="N277" s="6"/>
      <c r="O277" s="6"/>
    </row>
    <row r="278" spans="1:15" x14ac:dyDescent="0.25">
      <c r="A278" s="6"/>
      <c r="B278" s="6"/>
      <c r="C278" s="6"/>
      <c r="D278" s="6"/>
      <c r="E278" s="6"/>
      <c r="F278" s="6"/>
      <c r="G278" s="6"/>
      <c r="H278" s="6"/>
      <c r="I278" s="6"/>
      <c r="J278" s="6"/>
      <c r="K278" s="6"/>
      <c r="L278" s="6"/>
      <c r="M278" s="6"/>
      <c r="N278" s="6"/>
      <c r="O278" s="6"/>
    </row>
    <row r="279" spans="1:15" x14ac:dyDescent="0.25">
      <c r="A279" s="6"/>
      <c r="B279" s="6"/>
      <c r="C279" s="6"/>
      <c r="D279" s="6"/>
      <c r="E279" s="6"/>
      <c r="F279" s="6"/>
      <c r="G279" s="6"/>
      <c r="H279" s="6"/>
      <c r="I279" s="6"/>
      <c r="J279" s="6"/>
      <c r="K279" s="6"/>
      <c r="L279" s="6"/>
      <c r="M279" s="6"/>
      <c r="N279" s="6"/>
      <c r="O279" s="6"/>
    </row>
    <row r="280" spans="1:15" x14ac:dyDescent="0.25">
      <c r="A280" s="6"/>
      <c r="B280" s="6"/>
      <c r="C280" s="6"/>
      <c r="D280" s="6"/>
      <c r="E280" s="6"/>
      <c r="F280" s="6"/>
      <c r="G280" s="6"/>
      <c r="H280" s="6"/>
      <c r="I280" s="6"/>
      <c r="J280" s="6"/>
      <c r="K280" s="6"/>
      <c r="L280" s="6"/>
      <c r="M280" s="6"/>
      <c r="N280" s="6"/>
      <c r="O280" s="6"/>
    </row>
    <row r="281" spans="1:15" x14ac:dyDescent="0.25">
      <c r="A281" s="6"/>
      <c r="B281" s="6"/>
      <c r="C281" s="6"/>
      <c r="D281" s="6"/>
      <c r="E281" s="6"/>
      <c r="F281" s="6"/>
      <c r="G281" s="6"/>
      <c r="H281" s="6"/>
      <c r="I281" s="6"/>
      <c r="J281" s="6"/>
      <c r="K281" s="6"/>
      <c r="L281" s="6"/>
      <c r="M281" s="6"/>
      <c r="N281" s="6"/>
      <c r="O281" s="6"/>
    </row>
    <row r="282" spans="1:15" x14ac:dyDescent="0.25">
      <c r="A282" s="6"/>
      <c r="B282" s="6"/>
      <c r="C282" s="6"/>
      <c r="D282" s="6"/>
      <c r="E282" s="6"/>
      <c r="F282" s="6"/>
      <c r="G282" s="6"/>
      <c r="H282" s="6"/>
      <c r="I282" s="6"/>
      <c r="J282" s="6"/>
      <c r="K282" s="6"/>
      <c r="L282" s="6"/>
      <c r="M282" s="6"/>
      <c r="N282" s="6"/>
      <c r="O282" s="6"/>
    </row>
    <row r="283" spans="1:15" x14ac:dyDescent="0.25">
      <c r="A283" s="6"/>
      <c r="B283" s="6"/>
      <c r="C283" s="6"/>
      <c r="D283" s="6"/>
      <c r="E283" s="6"/>
      <c r="F283" s="6"/>
      <c r="G283" s="6"/>
      <c r="H283" s="6"/>
      <c r="I283" s="6"/>
      <c r="J283" s="6"/>
      <c r="K283" s="6"/>
      <c r="L283" s="6"/>
      <c r="M283" s="6"/>
      <c r="N283" s="6"/>
      <c r="O283" s="6"/>
    </row>
    <row r="284" spans="1:15" x14ac:dyDescent="0.25">
      <c r="A284" s="6"/>
      <c r="B284" s="6"/>
      <c r="C284" s="6"/>
      <c r="D284" s="6"/>
      <c r="E284" s="6"/>
      <c r="F284" s="6"/>
      <c r="G284" s="6"/>
      <c r="H284" s="6"/>
      <c r="I284" s="6"/>
      <c r="J284" s="6"/>
      <c r="K284" s="6"/>
      <c r="L284" s="6"/>
      <c r="M284" s="6"/>
      <c r="N284" s="6"/>
      <c r="O284" s="6"/>
    </row>
    <row r="285" spans="1:15" x14ac:dyDescent="0.25">
      <c r="A285" s="6"/>
      <c r="B285" s="6"/>
      <c r="C285" s="6"/>
      <c r="D285" s="6"/>
      <c r="E285" s="6"/>
      <c r="F285" s="6"/>
      <c r="G285" s="6"/>
      <c r="H285" s="6"/>
      <c r="I285" s="6"/>
      <c r="J285" s="6"/>
      <c r="K285" s="6"/>
      <c r="L285" s="6"/>
      <c r="M285" s="6"/>
      <c r="N285" s="6"/>
      <c r="O285" s="6"/>
    </row>
    <row r="286" spans="1:15" x14ac:dyDescent="0.25">
      <c r="A286" s="6"/>
      <c r="B286" s="6"/>
      <c r="C286" s="6"/>
      <c r="D286" s="6"/>
      <c r="E286" s="6"/>
      <c r="F286" s="6"/>
      <c r="G286" s="6"/>
      <c r="H286" s="6"/>
      <c r="I286" s="6"/>
      <c r="J286" s="6"/>
      <c r="K286" s="6"/>
      <c r="L286" s="6"/>
      <c r="M286" s="6"/>
      <c r="N286" s="6"/>
      <c r="O286" s="6"/>
    </row>
    <row r="287" spans="1:15" x14ac:dyDescent="0.25">
      <c r="A287" s="6"/>
      <c r="B287" s="6"/>
      <c r="C287" s="6"/>
      <c r="D287" s="6"/>
      <c r="E287" s="6"/>
      <c r="F287" s="6"/>
      <c r="G287" s="6"/>
      <c r="H287" s="6"/>
      <c r="I287" s="6"/>
      <c r="J287" s="6"/>
      <c r="K287" s="6"/>
      <c r="L287" s="6"/>
      <c r="M287" s="6"/>
      <c r="N287" s="6"/>
      <c r="O287" s="6"/>
    </row>
    <row r="288" spans="1:15" x14ac:dyDescent="0.25">
      <c r="A288" s="6"/>
      <c r="B288" s="6"/>
      <c r="C288" s="6"/>
      <c r="D288" s="6"/>
      <c r="E288" s="6"/>
      <c r="F288" s="6"/>
      <c r="G288" s="6"/>
      <c r="H288" s="6"/>
      <c r="I288" s="6"/>
      <c r="J288" s="6"/>
      <c r="K288" s="6"/>
      <c r="L288" s="6"/>
      <c r="M288" s="6"/>
      <c r="N288" s="6"/>
      <c r="O288" s="6"/>
    </row>
    <row r="289" spans="1:15" x14ac:dyDescent="0.25">
      <c r="A289" s="6"/>
      <c r="B289" s="6"/>
      <c r="C289" s="6"/>
      <c r="D289" s="6"/>
      <c r="E289" s="6"/>
      <c r="F289" s="6"/>
      <c r="G289" s="6"/>
      <c r="H289" s="6"/>
      <c r="I289" s="6"/>
      <c r="J289" s="6"/>
      <c r="K289" s="6"/>
      <c r="L289" s="6"/>
      <c r="M289" s="6"/>
      <c r="N289" s="6"/>
      <c r="O289" s="6"/>
    </row>
    <row r="290" spans="1:15" x14ac:dyDescent="0.25">
      <c r="A290" s="6"/>
      <c r="B290" s="6"/>
      <c r="C290" s="6"/>
      <c r="D290" s="6"/>
      <c r="E290" s="6"/>
      <c r="F290" s="6"/>
      <c r="G290" s="6"/>
      <c r="H290" s="6"/>
      <c r="I290" s="6"/>
      <c r="J290" s="6"/>
      <c r="K290" s="6"/>
      <c r="L290" s="6"/>
      <c r="M290" s="6"/>
      <c r="N290" s="6"/>
      <c r="O290" s="6"/>
    </row>
    <row r="291" spans="1:15" x14ac:dyDescent="0.25">
      <c r="A291" s="6"/>
      <c r="B291" s="6"/>
      <c r="C291" s="6"/>
      <c r="D291" s="6"/>
      <c r="E291" s="6"/>
      <c r="F291" s="6"/>
      <c r="G291" s="6"/>
      <c r="H291" s="6"/>
      <c r="I291" s="6"/>
      <c r="J291" s="6"/>
      <c r="K291" s="6"/>
      <c r="L291" s="6"/>
      <c r="M291" s="6"/>
      <c r="N291" s="6"/>
      <c r="O291" s="6"/>
    </row>
    <row r="292" spans="1:15" x14ac:dyDescent="0.25">
      <c r="A292" s="6"/>
      <c r="B292" s="6"/>
      <c r="C292" s="6"/>
      <c r="D292" s="6"/>
      <c r="E292" s="6"/>
      <c r="F292" s="6"/>
      <c r="G292" s="6"/>
      <c r="H292" s="6"/>
      <c r="I292" s="6"/>
      <c r="J292" s="6"/>
      <c r="K292" s="6"/>
      <c r="L292" s="6"/>
      <c r="M292" s="6"/>
      <c r="N292" s="6"/>
      <c r="O292" s="6"/>
    </row>
    <row r="293" spans="1:15" x14ac:dyDescent="0.25">
      <c r="A293" s="6"/>
      <c r="B293" s="6"/>
      <c r="C293" s="6"/>
      <c r="D293" s="6"/>
      <c r="E293" s="6"/>
      <c r="F293" s="6"/>
      <c r="G293" s="6"/>
      <c r="H293" s="6"/>
      <c r="I293" s="6"/>
      <c r="J293" s="6"/>
      <c r="K293" s="6"/>
      <c r="L293" s="6"/>
      <c r="M293" s="6"/>
      <c r="N293" s="6"/>
      <c r="O293" s="6"/>
    </row>
    <row r="294" spans="1:15" x14ac:dyDescent="0.25">
      <c r="A294" s="6"/>
      <c r="B294" s="6"/>
      <c r="C294" s="6"/>
      <c r="D294" s="6"/>
      <c r="E294" s="6"/>
      <c r="F294" s="6"/>
      <c r="G294" s="6"/>
      <c r="H294" s="6"/>
      <c r="I294" s="6"/>
      <c r="J294" s="6"/>
      <c r="K294" s="6"/>
      <c r="L294" s="6"/>
      <c r="M294" s="6"/>
      <c r="N294" s="6"/>
      <c r="O294" s="6"/>
    </row>
    <row r="295" spans="1:15" x14ac:dyDescent="0.25">
      <c r="A295" s="6"/>
      <c r="B295" s="6"/>
      <c r="C295" s="6"/>
      <c r="D295" s="6"/>
      <c r="E295" s="6"/>
      <c r="F295" s="6"/>
      <c r="G295" s="6"/>
      <c r="H295" s="6"/>
      <c r="I295" s="6"/>
      <c r="J295" s="6"/>
      <c r="K295" s="6"/>
      <c r="L295" s="6"/>
      <c r="M295" s="6"/>
      <c r="N295" s="6"/>
      <c r="O295" s="6"/>
    </row>
    <row r="296" spans="1:15" x14ac:dyDescent="0.25">
      <c r="A296" s="6"/>
      <c r="B296" s="6"/>
      <c r="C296" s="6"/>
      <c r="D296" s="6"/>
      <c r="E296" s="6"/>
      <c r="F296" s="6"/>
      <c r="G296" s="6"/>
      <c r="H296" s="6"/>
      <c r="I296" s="6"/>
      <c r="J296" s="6"/>
      <c r="K296" s="6"/>
      <c r="L296" s="6"/>
      <c r="M296" s="6"/>
      <c r="N296" s="6"/>
      <c r="O296" s="6"/>
    </row>
    <row r="297" spans="1:15" x14ac:dyDescent="0.25">
      <c r="A297" s="6"/>
      <c r="B297" s="6"/>
      <c r="C297" s="6"/>
      <c r="D297" s="6"/>
      <c r="E297" s="6"/>
      <c r="F297" s="6"/>
      <c r="G297" s="6"/>
      <c r="H297" s="6"/>
      <c r="I297" s="6"/>
      <c r="J297" s="6"/>
      <c r="K297" s="6"/>
      <c r="L297" s="6"/>
      <c r="M297" s="6"/>
      <c r="N297" s="6"/>
      <c r="O297" s="6"/>
    </row>
    <row r="298" spans="1:15" x14ac:dyDescent="0.25">
      <c r="A298" s="6"/>
      <c r="B298" s="6"/>
      <c r="C298" s="6"/>
      <c r="D298" s="6"/>
      <c r="E298" s="6"/>
      <c r="F298" s="6"/>
      <c r="G298" s="6"/>
      <c r="H298" s="6"/>
      <c r="I298" s="6"/>
      <c r="J298" s="6"/>
      <c r="K298" s="6"/>
      <c r="L298" s="6"/>
      <c r="M298" s="6"/>
      <c r="N298" s="6"/>
      <c r="O298" s="6"/>
    </row>
    <row r="299" spans="1:15" x14ac:dyDescent="0.25">
      <c r="A299" s="6"/>
      <c r="B299" s="6"/>
      <c r="C299" s="6"/>
      <c r="D299" s="6"/>
      <c r="E299" s="6"/>
      <c r="F299" s="6"/>
      <c r="G299" s="6"/>
      <c r="H299" s="6"/>
      <c r="I299" s="6"/>
      <c r="J299" s="6"/>
      <c r="K299" s="6"/>
      <c r="L299" s="6"/>
      <c r="M299" s="6"/>
      <c r="N299" s="6"/>
      <c r="O299" s="6"/>
    </row>
    <row r="300" spans="1:15" x14ac:dyDescent="0.25">
      <c r="A300" s="6"/>
      <c r="B300" s="6"/>
      <c r="C300" s="6"/>
      <c r="D300" s="6"/>
      <c r="E300" s="6"/>
      <c r="F300" s="6"/>
      <c r="G300" s="6"/>
      <c r="H300" s="6"/>
      <c r="I300" s="6"/>
      <c r="J300" s="6"/>
      <c r="K300" s="6"/>
      <c r="L300" s="6"/>
      <c r="M300" s="6"/>
      <c r="N300" s="6"/>
      <c r="O300" s="6"/>
    </row>
    <row r="301" spans="1:15" x14ac:dyDescent="0.25">
      <c r="A301" s="6"/>
      <c r="B301" s="6"/>
      <c r="C301" s="6"/>
      <c r="D301" s="6"/>
      <c r="E301" s="6"/>
      <c r="F301" s="6"/>
      <c r="G301" s="6"/>
      <c r="H301" s="6"/>
      <c r="I301" s="6"/>
      <c r="J301" s="6"/>
      <c r="K301" s="6"/>
      <c r="L301" s="6"/>
      <c r="M301" s="6"/>
      <c r="N301" s="6"/>
      <c r="O301" s="6"/>
    </row>
    <row r="302" spans="1:15" x14ac:dyDescent="0.25">
      <c r="A302" s="6"/>
      <c r="B302" s="6"/>
      <c r="C302" s="6"/>
      <c r="D302" s="6"/>
      <c r="E302" s="6"/>
      <c r="F302" s="6"/>
      <c r="G302" s="6"/>
      <c r="H302" s="6"/>
      <c r="I302" s="6"/>
      <c r="J302" s="6"/>
      <c r="K302" s="6"/>
      <c r="L302" s="6"/>
      <c r="M302" s="6"/>
      <c r="N302" s="6"/>
      <c r="O302" s="6"/>
    </row>
    <row r="303" spans="1:15" x14ac:dyDescent="0.25">
      <c r="A303" s="6"/>
      <c r="B303" s="6"/>
      <c r="C303" s="6"/>
      <c r="D303" s="6"/>
      <c r="E303" s="6"/>
      <c r="F303" s="6"/>
      <c r="G303" s="6"/>
      <c r="H303" s="6"/>
      <c r="I303" s="6"/>
      <c r="J303" s="6"/>
      <c r="K303" s="6"/>
      <c r="L303" s="6"/>
      <c r="M303" s="6"/>
      <c r="N303" s="6"/>
      <c r="O303" s="6"/>
    </row>
    <row r="304" spans="1:15" x14ac:dyDescent="0.25">
      <c r="A304" s="6"/>
      <c r="B304" s="6"/>
      <c r="C304" s="6"/>
      <c r="D304" s="6"/>
      <c r="E304" s="6"/>
      <c r="F304" s="6"/>
      <c r="G304" s="6"/>
      <c r="H304" s="6"/>
      <c r="I304" s="6"/>
      <c r="J304" s="6"/>
      <c r="K304" s="6"/>
      <c r="L304" s="6"/>
      <c r="M304" s="6"/>
      <c r="N304" s="6"/>
      <c r="O304" s="6"/>
    </row>
    <row r="305" spans="1:15" x14ac:dyDescent="0.25">
      <c r="A305" s="6"/>
      <c r="B305" s="6"/>
      <c r="C305" s="6"/>
      <c r="D305" s="6"/>
      <c r="E305" s="6"/>
      <c r="F305" s="6"/>
      <c r="G305" s="6"/>
      <c r="H305" s="6"/>
      <c r="I305" s="6"/>
      <c r="J305" s="6"/>
      <c r="K305" s="6"/>
      <c r="L305" s="6"/>
      <c r="M305" s="6"/>
      <c r="N305" s="6"/>
      <c r="O305" s="6"/>
    </row>
    <row r="306" spans="1:15" x14ac:dyDescent="0.25">
      <c r="A306" s="6"/>
      <c r="B306" s="6"/>
      <c r="C306" s="6"/>
      <c r="D306" s="6"/>
      <c r="E306" s="6"/>
      <c r="F306" s="6"/>
      <c r="G306" s="6"/>
      <c r="H306" s="6"/>
      <c r="I306" s="6"/>
      <c r="J306" s="6"/>
      <c r="K306" s="6"/>
      <c r="L306" s="6"/>
      <c r="M306" s="6"/>
      <c r="N306" s="6"/>
      <c r="O306" s="6"/>
    </row>
    <row r="307" spans="1:15" x14ac:dyDescent="0.25">
      <c r="A307" s="6"/>
      <c r="B307" s="6"/>
      <c r="C307" s="6"/>
      <c r="D307" s="6"/>
      <c r="E307" s="6"/>
      <c r="F307" s="6"/>
      <c r="G307" s="6"/>
      <c r="H307" s="6"/>
      <c r="I307" s="6"/>
      <c r="J307" s="6"/>
      <c r="K307" s="6"/>
      <c r="L307" s="6"/>
      <c r="M307" s="6"/>
      <c r="N307" s="6"/>
      <c r="O307" s="6"/>
    </row>
    <row r="308" spans="1:15" x14ac:dyDescent="0.25">
      <c r="A308" s="6"/>
      <c r="B308" s="6"/>
      <c r="C308" s="6"/>
      <c r="D308" s="6"/>
      <c r="E308" s="6"/>
      <c r="F308" s="6"/>
      <c r="G308" s="6"/>
      <c r="H308" s="6"/>
      <c r="I308" s="6"/>
      <c r="J308" s="6"/>
      <c r="K308" s="6"/>
      <c r="L308" s="6"/>
      <c r="M308" s="6"/>
      <c r="N308" s="6"/>
      <c r="O308" s="6"/>
    </row>
    <row r="309" spans="1:15" x14ac:dyDescent="0.25">
      <c r="A309" s="6"/>
      <c r="B309" s="6"/>
      <c r="C309" s="6"/>
      <c r="D309" s="6"/>
      <c r="E309" s="6"/>
      <c r="F309" s="6"/>
      <c r="G309" s="6"/>
      <c r="H309" s="6"/>
      <c r="I309" s="6"/>
      <c r="J309" s="6"/>
      <c r="K309" s="6"/>
      <c r="L309" s="6"/>
      <c r="M309" s="6"/>
      <c r="N309" s="6"/>
      <c r="O309" s="6"/>
    </row>
    <row r="310" spans="1:15" x14ac:dyDescent="0.25">
      <c r="A310" s="6"/>
      <c r="B310" s="6"/>
      <c r="C310" s="6"/>
      <c r="D310" s="6"/>
      <c r="E310" s="6"/>
      <c r="F310" s="6"/>
      <c r="G310" s="6"/>
      <c r="H310" s="6"/>
      <c r="I310" s="6"/>
      <c r="J310" s="6"/>
      <c r="K310" s="6"/>
      <c r="L310" s="6"/>
      <c r="M310" s="6"/>
      <c r="N310" s="6"/>
      <c r="O310" s="6"/>
    </row>
    <row r="311" spans="1:15" x14ac:dyDescent="0.25">
      <c r="A311" s="6"/>
      <c r="B311" s="6"/>
      <c r="C311" s="6"/>
      <c r="D311" s="6"/>
      <c r="E311" s="6"/>
      <c r="F311" s="6"/>
      <c r="G311" s="6"/>
      <c r="H311" s="6"/>
      <c r="I311" s="6"/>
      <c r="J311" s="6"/>
      <c r="K311" s="6"/>
      <c r="L311" s="6"/>
      <c r="M311" s="6"/>
      <c r="N311" s="6"/>
      <c r="O311" s="6"/>
    </row>
    <row r="312" spans="1:15" x14ac:dyDescent="0.25">
      <c r="A312" s="6"/>
      <c r="B312" s="6"/>
      <c r="C312" s="6"/>
      <c r="D312" s="6"/>
      <c r="E312" s="6"/>
      <c r="F312" s="6"/>
      <c r="G312" s="6"/>
      <c r="H312" s="6"/>
      <c r="I312" s="6"/>
      <c r="J312" s="6"/>
      <c r="K312" s="6"/>
      <c r="L312" s="6"/>
      <c r="M312" s="6"/>
      <c r="N312" s="6"/>
      <c r="O312" s="6"/>
    </row>
    <row r="313" spans="1:15" x14ac:dyDescent="0.25">
      <c r="A313" s="6"/>
      <c r="B313" s="6"/>
      <c r="C313" s="6"/>
      <c r="D313" s="6"/>
      <c r="E313" s="6"/>
      <c r="F313" s="6"/>
      <c r="G313" s="6"/>
      <c r="H313" s="6"/>
      <c r="I313" s="6"/>
      <c r="J313" s="6"/>
      <c r="K313" s="6"/>
      <c r="L313" s="6"/>
      <c r="M313" s="6"/>
      <c r="N313" s="6"/>
      <c r="O313" s="6"/>
    </row>
    <row r="314" spans="1:15" x14ac:dyDescent="0.25">
      <c r="A314" s="6"/>
      <c r="B314" s="6"/>
      <c r="C314" s="6"/>
      <c r="D314" s="6"/>
      <c r="E314" s="6"/>
      <c r="F314" s="6"/>
      <c r="G314" s="6"/>
      <c r="H314" s="6"/>
      <c r="I314" s="6"/>
      <c r="J314" s="6"/>
      <c r="K314" s="6"/>
      <c r="L314" s="6"/>
      <c r="M314" s="6"/>
      <c r="N314" s="6"/>
      <c r="O314" s="6"/>
    </row>
    <row r="315" spans="1:15" x14ac:dyDescent="0.25">
      <c r="A315" s="6"/>
      <c r="B315" s="6"/>
      <c r="C315" s="6"/>
      <c r="D315" s="6"/>
      <c r="E315" s="6"/>
      <c r="F315" s="6"/>
      <c r="G315" s="6"/>
      <c r="H315" s="6"/>
      <c r="I315" s="6"/>
      <c r="J315" s="6"/>
      <c r="K315" s="6"/>
      <c r="L315" s="6"/>
      <c r="M315" s="6"/>
      <c r="N315" s="6"/>
      <c r="O315" s="6"/>
    </row>
    <row r="316" spans="1:15" x14ac:dyDescent="0.25">
      <c r="A316" s="6"/>
      <c r="B316" s="6"/>
      <c r="C316" s="6"/>
      <c r="D316" s="6"/>
      <c r="E316" s="6"/>
      <c r="F316" s="6"/>
      <c r="G316" s="6"/>
      <c r="H316" s="6"/>
      <c r="I316" s="6"/>
      <c r="J316" s="6"/>
      <c r="K316" s="6"/>
      <c r="L316" s="6"/>
      <c r="M316" s="6"/>
      <c r="N316" s="6"/>
      <c r="O316" s="6"/>
    </row>
    <row r="317" spans="1:15" x14ac:dyDescent="0.25">
      <c r="A317" s="6"/>
      <c r="B317" s="6"/>
      <c r="C317" s="6"/>
      <c r="D317" s="6"/>
      <c r="E317" s="6"/>
      <c r="F317" s="6"/>
      <c r="G317" s="6"/>
      <c r="H317" s="6"/>
      <c r="I317" s="6"/>
      <c r="J317" s="6"/>
      <c r="K317" s="6"/>
      <c r="L317" s="6"/>
      <c r="M317" s="6"/>
      <c r="N317" s="6"/>
      <c r="O317" s="6"/>
    </row>
    <row r="318" spans="1:15" x14ac:dyDescent="0.25">
      <c r="A318" s="6"/>
      <c r="B318" s="6"/>
      <c r="C318" s="6"/>
      <c r="D318" s="6"/>
      <c r="E318" s="6"/>
      <c r="F318" s="6"/>
      <c r="G318" s="6"/>
      <c r="H318" s="6"/>
      <c r="I318" s="6"/>
      <c r="J318" s="6"/>
      <c r="K318" s="6"/>
      <c r="L318" s="6"/>
      <c r="M318" s="6"/>
      <c r="N318" s="6"/>
      <c r="O318" s="6"/>
    </row>
    <row r="319" spans="1:15" x14ac:dyDescent="0.25">
      <c r="A319" s="6"/>
      <c r="B319" s="6"/>
      <c r="C319" s="6"/>
      <c r="D319" s="6"/>
      <c r="E319" s="6"/>
      <c r="F319" s="6"/>
      <c r="G319" s="6"/>
      <c r="H319" s="6"/>
      <c r="I319" s="6"/>
      <c r="J319" s="6"/>
      <c r="K319" s="6"/>
      <c r="L319" s="6"/>
      <c r="M319" s="6"/>
      <c r="N319" s="6"/>
      <c r="O319" s="6"/>
    </row>
    <row r="320" spans="1:15" x14ac:dyDescent="0.25">
      <c r="A320" s="6"/>
      <c r="B320" s="6"/>
      <c r="C320" s="6"/>
      <c r="D320" s="6"/>
      <c r="E320" s="6"/>
      <c r="F320" s="6"/>
      <c r="G320" s="6"/>
      <c r="H320" s="6"/>
      <c r="I320" s="6"/>
      <c r="J320" s="6"/>
      <c r="K320" s="6"/>
      <c r="L320" s="6"/>
      <c r="M320" s="6"/>
      <c r="N320" s="6"/>
      <c r="O320" s="6"/>
    </row>
    <row r="321" spans="1:15" x14ac:dyDescent="0.25">
      <c r="A321" s="6"/>
      <c r="B321" s="6"/>
      <c r="C321" s="6"/>
      <c r="D321" s="6"/>
      <c r="E321" s="6"/>
      <c r="F321" s="6"/>
      <c r="G321" s="6"/>
      <c r="H321" s="6"/>
      <c r="I321" s="6"/>
      <c r="J321" s="6"/>
      <c r="K321" s="6"/>
      <c r="L321" s="6"/>
      <c r="M321" s="6"/>
      <c r="N321" s="6"/>
      <c r="O321" s="6"/>
    </row>
    <row r="322" spans="1:15" x14ac:dyDescent="0.25">
      <c r="A322" s="6"/>
      <c r="B322" s="6"/>
      <c r="C322" s="6"/>
      <c r="D322" s="6"/>
      <c r="E322" s="6"/>
      <c r="F322" s="6"/>
      <c r="G322" s="6"/>
      <c r="H322" s="6"/>
      <c r="I322" s="6"/>
      <c r="J322" s="6"/>
      <c r="K322" s="6"/>
      <c r="L322" s="6"/>
      <c r="M322" s="6"/>
      <c r="N322" s="6"/>
      <c r="O322" s="6"/>
    </row>
    <row r="323" spans="1:15" x14ac:dyDescent="0.25">
      <c r="A323" s="6"/>
      <c r="B323" s="6"/>
      <c r="C323" s="6"/>
      <c r="D323" s="6"/>
      <c r="E323" s="6"/>
      <c r="F323" s="6"/>
      <c r="G323" s="6"/>
      <c r="H323" s="6"/>
      <c r="I323" s="6"/>
      <c r="J323" s="6"/>
      <c r="K323" s="6"/>
      <c r="L323" s="6"/>
      <c r="M323" s="6"/>
      <c r="N323" s="6"/>
      <c r="O323" s="6"/>
    </row>
    <row r="324" spans="1:15" x14ac:dyDescent="0.25">
      <c r="A324" s="6"/>
      <c r="B324" s="6"/>
      <c r="C324" s="6"/>
      <c r="D324" s="6"/>
      <c r="E324" s="6"/>
      <c r="F324" s="6"/>
      <c r="G324" s="6"/>
      <c r="H324" s="6"/>
      <c r="I324" s="6"/>
      <c r="J324" s="6"/>
      <c r="K324" s="6"/>
      <c r="L324" s="6"/>
      <c r="M324" s="6"/>
      <c r="N324" s="6"/>
      <c r="O324" s="6"/>
    </row>
    <row r="325" spans="1:15" x14ac:dyDescent="0.25">
      <c r="A325" s="6"/>
      <c r="B325" s="6"/>
      <c r="C325" s="6"/>
      <c r="D325" s="6"/>
      <c r="E325" s="6"/>
      <c r="F325" s="6"/>
      <c r="G325" s="6"/>
      <c r="H325" s="6"/>
      <c r="I325" s="6"/>
      <c r="J325" s="6"/>
      <c r="K325" s="6"/>
      <c r="L325" s="6"/>
      <c r="M325" s="6"/>
      <c r="N325" s="6"/>
      <c r="O325" s="6"/>
    </row>
    <row r="326" spans="1:15" x14ac:dyDescent="0.25">
      <c r="A326" s="6"/>
      <c r="B326" s="6"/>
      <c r="C326" s="6"/>
      <c r="D326" s="6"/>
      <c r="E326" s="6"/>
      <c r="F326" s="6"/>
      <c r="G326" s="6"/>
      <c r="H326" s="6"/>
      <c r="I326" s="6"/>
      <c r="J326" s="6"/>
      <c r="K326" s="6"/>
      <c r="L326" s="6"/>
      <c r="M326" s="6"/>
      <c r="N326" s="6"/>
      <c r="O326" s="6"/>
    </row>
    <row r="327" spans="1:15" x14ac:dyDescent="0.25">
      <c r="A327" s="6"/>
      <c r="B327" s="6"/>
      <c r="C327" s="6"/>
      <c r="D327" s="6"/>
      <c r="E327" s="6"/>
      <c r="F327" s="6"/>
      <c r="G327" s="6"/>
      <c r="H327" s="6"/>
      <c r="I327" s="6"/>
      <c r="J327" s="6"/>
      <c r="K327" s="6"/>
      <c r="L327" s="6"/>
      <c r="M327" s="6"/>
      <c r="N327" s="6"/>
      <c r="O327" s="6"/>
    </row>
    <row r="328" spans="1:15" x14ac:dyDescent="0.25">
      <c r="A328" s="6"/>
      <c r="B328" s="6"/>
      <c r="C328" s="6"/>
      <c r="D328" s="6"/>
      <c r="E328" s="6"/>
      <c r="F328" s="6"/>
      <c r="G328" s="6"/>
      <c r="H328" s="6"/>
      <c r="I328" s="6"/>
      <c r="J328" s="6"/>
      <c r="K328" s="6"/>
      <c r="L328" s="6"/>
      <c r="M328" s="6"/>
      <c r="N328" s="6"/>
      <c r="O328" s="6"/>
    </row>
    <row r="329" spans="1:15" x14ac:dyDescent="0.25">
      <c r="A329" s="6"/>
      <c r="B329" s="6"/>
      <c r="C329" s="6"/>
      <c r="D329" s="6"/>
      <c r="E329" s="6"/>
      <c r="F329" s="6"/>
      <c r="G329" s="6"/>
      <c r="H329" s="6"/>
      <c r="I329" s="6"/>
      <c r="J329" s="6"/>
      <c r="K329" s="6"/>
      <c r="L329" s="6"/>
      <c r="M329" s="6"/>
      <c r="N329" s="6"/>
      <c r="O329" s="6"/>
    </row>
    <row r="330" spans="1:15" x14ac:dyDescent="0.25">
      <c r="A330" s="6"/>
      <c r="B330" s="6"/>
      <c r="C330" s="6"/>
      <c r="D330" s="6"/>
      <c r="E330" s="6"/>
      <c r="F330" s="6"/>
      <c r="G330" s="6"/>
      <c r="H330" s="6"/>
      <c r="I330" s="6"/>
      <c r="J330" s="6"/>
      <c r="K330" s="6"/>
      <c r="L330" s="6"/>
      <c r="M330" s="6"/>
      <c r="N330" s="6"/>
      <c r="O330" s="6"/>
    </row>
    <row r="331" spans="1:15" x14ac:dyDescent="0.25">
      <c r="A331" s="6"/>
      <c r="B331" s="6"/>
      <c r="C331" s="6"/>
      <c r="D331" s="6"/>
      <c r="E331" s="6"/>
      <c r="F331" s="6"/>
      <c r="G331" s="6"/>
      <c r="H331" s="6"/>
      <c r="I331" s="6"/>
      <c r="J331" s="6"/>
      <c r="K331" s="6"/>
      <c r="L331" s="6"/>
      <c r="M331" s="6"/>
      <c r="N331" s="6"/>
      <c r="O331" s="6"/>
    </row>
    <row r="332" spans="1:15" x14ac:dyDescent="0.25">
      <c r="A332" s="6"/>
      <c r="B332" s="6"/>
      <c r="C332" s="6"/>
      <c r="D332" s="6"/>
      <c r="E332" s="6"/>
      <c r="F332" s="6"/>
      <c r="G332" s="6"/>
      <c r="H332" s="6"/>
      <c r="I332" s="6"/>
      <c r="J332" s="6"/>
      <c r="K332" s="6"/>
      <c r="L332" s="6"/>
      <c r="M332" s="6"/>
      <c r="N332" s="6"/>
      <c r="O332" s="6"/>
    </row>
    <row r="333" spans="1:15" x14ac:dyDescent="0.25">
      <c r="A333" s="6"/>
      <c r="B333" s="6"/>
      <c r="C333" s="6"/>
      <c r="D333" s="6"/>
      <c r="E333" s="6"/>
      <c r="F333" s="6"/>
      <c r="G333" s="6"/>
      <c r="H333" s="6"/>
      <c r="I333" s="6"/>
      <c r="J333" s="6"/>
      <c r="K333" s="6"/>
      <c r="L333" s="6"/>
      <c r="M333" s="6"/>
      <c r="N333" s="6"/>
      <c r="O333" s="6"/>
    </row>
    <row r="334" spans="1:15" x14ac:dyDescent="0.25">
      <c r="A334" s="6"/>
      <c r="B334" s="6"/>
      <c r="C334" s="6"/>
      <c r="D334" s="6"/>
      <c r="E334" s="6"/>
      <c r="F334" s="6"/>
      <c r="G334" s="6"/>
      <c r="H334" s="6"/>
      <c r="I334" s="6"/>
      <c r="J334" s="6"/>
      <c r="K334" s="6"/>
      <c r="L334" s="6"/>
      <c r="M334" s="6"/>
      <c r="N334" s="6"/>
      <c r="O334" s="6"/>
    </row>
    <row r="335" spans="1:15" x14ac:dyDescent="0.25">
      <c r="A335" s="6"/>
      <c r="B335" s="6"/>
      <c r="C335" s="6"/>
      <c r="D335" s="6"/>
      <c r="E335" s="6"/>
      <c r="F335" s="6"/>
      <c r="G335" s="6"/>
      <c r="H335" s="6"/>
      <c r="I335" s="6"/>
      <c r="J335" s="6"/>
      <c r="K335" s="6"/>
      <c r="L335" s="6"/>
      <c r="M335" s="6"/>
      <c r="N335" s="6"/>
      <c r="O335" s="6"/>
    </row>
    <row r="336" spans="1:15" x14ac:dyDescent="0.25">
      <c r="A336" s="6"/>
      <c r="B336" s="6"/>
      <c r="C336" s="6"/>
      <c r="D336" s="6"/>
      <c r="E336" s="6"/>
      <c r="F336" s="6"/>
      <c r="G336" s="6"/>
      <c r="H336" s="6"/>
      <c r="I336" s="6"/>
      <c r="J336" s="6"/>
      <c r="K336" s="6"/>
      <c r="L336" s="6"/>
      <c r="M336" s="6"/>
      <c r="N336" s="6"/>
      <c r="O336" s="6"/>
    </row>
    <row r="337" spans="1:15" x14ac:dyDescent="0.25">
      <c r="A337" s="6"/>
      <c r="B337" s="6"/>
      <c r="C337" s="6"/>
      <c r="D337" s="6"/>
      <c r="E337" s="6"/>
      <c r="F337" s="6"/>
      <c r="G337" s="6"/>
      <c r="H337" s="6"/>
      <c r="I337" s="6"/>
      <c r="J337" s="6"/>
      <c r="K337" s="6"/>
      <c r="L337" s="6"/>
      <c r="M337" s="6"/>
      <c r="N337" s="6"/>
      <c r="O337" s="6"/>
    </row>
    <row r="338" spans="1:15" x14ac:dyDescent="0.25">
      <c r="A338" s="6"/>
      <c r="B338" s="6"/>
      <c r="C338" s="6"/>
      <c r="D338" s="6"/>
      <c r="E338" s="6"/>
      <c r="F338" s="6"/>
      <c r="G338" s="6"/>
      <c r="H338" s="6"/>
      <c r="I338" s="6"/>
      <c r="J338" s="6"/>
      <c r="K338" s="6"/>
      <c r="L338" s="6"/>
      <c r="M338" s="6"/>
      <c r="N338" s="6"/>
      <c r="O338" s="6"/>
    </row>
    <row r="339" spans="1:15" x14ac:dyDescent="0.25">
      <c r="A339" s="6"/>
      <c r="B339" s="6"/>
      <c r="C339" s="6"/>
      <c r="D339" s="6"/>
      <c r="E339" s="6"/>
      <c r="F339" s="6"/>
      <c r="G339" s="6"/>
      <c r="H339" s="6"/>
      <c r="I339" s="6"/>
      <c r="J339" s="6"/>
      <c r="K339" s="6"/>
      <c r="L339" s="6"/>
      <c r="M339" s="6"/>
      <c r="N339" s="6"/>
      <c r="O339" s="6"/>
    </row>
    <row r="340" spans="1:15" x14ac:dyDescent="0.25">
      <c r="A340" s="6"/>
      <c r="B340" s="6"/>
      <c r="C340" s="6"/>
      <c r="D340" s="6"/>
      <c r="E340" s="6"/>
      <c r="F340" s="6"/>
      <c r="G340" s="6"/>
      <c r="H340" s="6"/>
      <c r="I340" s="6"/>
      <c r="J340" s="6"/>
      <c r="K340" s="6"/>
      <c r="L340" s="6"/>
      <c r="M340" s="6"/>
      <c r="N340" s="6"/>
      <c r="O340" s="6"/>
    </row>
    <row r="341" spans="1:15" x14ac:dyDescent="0.25">
      <c r="A341" s="6"/>
      <c r="B341" s="6"/>
      <c r="C341" s="6"/>
      <c r="D341" s="6"/>
      <c r="E341" s="6"/>
      <c r="F341" s="6"/>
      <c r="G341" s="6"/>
      <c r="H341" s="6"/>
      <c r="I341" s="6"/>
      <c r="J341" s="6"/>
      <c r="K341" s="6"/>
      <c r="L341" s="6"/>
      <c r="M341" s="6"/>
      <c r="N341" s="6"/>
      <c r="O341" s="6"/>
    </row>
    <row r="342" spans="1:15" x14ac:dyDescent="0.25">
      <c r="A342" s="6"/>
      <c r="B342" s="6"/>
      <c r="C342" s="6"/>
      <c r="D342" s="6"/>
      <c r="E342" s="6"/>
      <c r="F342" s="6"/>
      <c r="G342" s="6"/>
      <c r="H342" s="6"/>
      <c r="I342" s="6"/>
      <c r="J342" s="6"/>
      <c r="K342" s="6"/>
      <c r="L342" s="6"/>
      <c r="M342" s="6"/>
      <c r="N342" s="6"/>
      <c r="O342" s="6"/>
    </row>
    <row r="343" spans="1:15" x14ac:dyDescent="0.25">
      <c r="A343" s="6"/>
      <c r="B343" s="6"/>
      <c r="C343" s="6"/>
      <c r="D343" s="6"/>
      <c r="E343" s="6"/>
      <c r="F343" s="6"/>
      <c r="G343" s="6"/>
      <c r="H343" s="6"/>
      <c r="I343" s="6"/>
      <c r="J343" s="6"/>
      <c r="K343" s="6"/>
      <c r="L343" s="6"/>
      <c r="M343" s="6"/>
      <c r="N343" s="6"/>
      <c r="O343" s="6"/>
    </row>
    <row r="344" spans="1:15" x14ac:dyDescent="0.25">
      <c r="A344" s="6"/>
      <c r="B344" s="6"/>
      <c r="C344" s="6"/>
      <c r="D344" s="6"/>
      <c r="E344" s="6"/>
      <c r="F344" s="6"/>
      <c r="G344" s="6"/>
      <c r="H344" s="6"/>
      <c r="I344" s="6"/>
      <c r="J344" s="6"/>
      <c r="K344" s="6"/>
      <c r="L344" s="6"/>
      <c r="M344" s="6"/>
      <c r="N344" s="6"/>
      <c r="O344" s="6"/>
    </row>
    <row r="345" spans="1:15" x14ac:dyDescent="0.25">
      <c r="A345" s="6"/>
      <c r="B345" s="6"/>
      <c r="C345" s="6"/>
      <c r="D345" s="6"/>
      <c r="E345" s="6"/>
      <c r="F345" s="6"/>
      <c r="G345" s="6"/>
      <c r="H345" s="6"/>
      <c r="I345" s="6"/>
      <c r="J345" s="6"/>
      <c r="K345" s="6"/>
      <c r="L345" s="6"/>
      <c r="M345" s="6"/>
      <c r="N345" s="6"/>
      <c r="O345" s="6"/>
    </row>
    <row r="346" spans="1:15" x14ac:dyDescent="0.25">
      <c r="A346" s="6"/>
      <c r="B346" s="6"/>
      <c r="C346" s="6"/>
      <c r="D346" s="6"/>
      <c r="E346" s="6"/>
      <c r="F346" s="6"/>
      <c r="G346" s="6"/>
      <c r="H346" s="6"/>
      <c r="I346" s="6"/>
      <c r="J346" s="6"/>
      <c r="K346" s="6"/>
      <c r="L346" s="6"/>
      <c r="M346" s="6"/>
      <c r="N346" s="6"/>
      <c r="O346" s="6"/>
    </row>
    <row r="347" spans="1:15" x14ac:dyDescent="0.25">
      <c r="A347" s="6"/>
      <c r="B347" s="6"/>
      <c r="C347" s="6"/>
      <c r="D347" s="6"/>
      <c r="E347" s="6"/>
      <c r="F347" s="6"/>
      <c r="G347" s="6"/>
      <c r="H347" s="6"/>
      <c r="I347" s="6"/>
      <c r="J347" s="6"/>
      <c r="K347" s="6"/>
      <c r="L347" s="6"/>
      <c r="M347" s="6"/>
      <c r="N347" s="6"/>
      <c r="O347" s="6"/>
    </row>
    <row r="348" spans="1:15" x14ac:dyDescent="0.25">
      <c r="A348" s="6"/>
      <c r="B348" s="6"/>
      <c r="C348" s="6"/>
      <c r="D348" s="6"/>
      <c r="E348" s="6"/>
      <c r="F348" s="6"/>
      <c r="G348" s="6"/>
      <c r="H348" s="6"/>
      <c r="I348" s="6"/>
      <c r="J348" s="6"/>
      <c r="K348" s="6"/>
      <c r="L348" s="6"/>
      <c r="M348" s="6"/>
      <c r="N348" s="6"/>
      <c r="O348" s="6"/>
    </row>
    <row r="349" spans="1:15" x14ac:dyDescent="0.25">
      <c r="A349" s="6"/>
      <c r="B349" s="6"/>
      <c r="C349" s="6"/>
      <c r="D349" s="6"/>
      <c r="E349" s="6"/>
      <c r="F349" s="6"/>
      <c r="G349" s="6"/>
      <c r="H349" s="6"/>
      <c r="I349" s="6"/>
      <c r="J349" s="6"/>
      <c r="K349" s="6"/>
      <c r="L349" s="6"/>
      <c r="M349" s="6"/>
      <c r="N349" s="6"/>
      <c r="O349" s="6"/>
    </row>
    <row r="350" spans="1:15" x14ac:dyDescent="0.25">
      <c r="A350" s="6"/>
      <c r="B350" s="6"/>
      <c r="C350" s="6"/>
      <c r="D350" s="6"/>
      <c r="E350" s="6"/>
      <c r="F350" s="6"/>
      <c r="G350" s="6"/>
      <c r="H350" s="6"/>
      <c r="I350" s="6"/>
      <c r="J350" s="6"/>
      <c r="K350" s="6"/>
      <c r="L350" s="6"/>
      <c r="M350" s="6"/>
      <c r="N350" s="6"/>
      <c r="O350" s="6"/>
    </row>
    <row r="351" spans="1:15" x14ac:dyDescent="0.25">
      <c r="A351" s="6"/>
      <c r="B351" s="6"/>
      <c r="C351" s="6"/>
      <c r="D351" s="6"/>
      <c r="E351" s="6"/>
      <c r="F351" s="6"/>
      <c r="G351" s="6"/>
      <c r="H351" s="6"/>
      <c r="I351" s="6"/>
      <c r="J351" s="6"/>
      <c r="K351" s="6"/>
      <c r="L351" s="6"/>
      <c r="M351" s="6"/>
      <c r="N351" s="6"/>
      <c r="O351" s="6"/>
    </row>
    <row r="352" spans="1:15" x14ac:dyDescent="0.25">
      <c r="A352" s="6"/>
      <c r="B352" s="6"/>
      <c r="C352" s="6"/>
      <c r="D352" s="6"/>
      <c r="E352" s="6"/>
      <c r="F352" s="6"/>
      <c r="G352" s="6"/>
      <c r="H352" s="6"/>
      <c r="I352" s="6"/>
      <c r="J352" s="6"/>
      <c r="K352" s="6"/>
      <c r="L352" s="6"/>
      <c r="M352" s="6"/>
      <c r="N352" s="6"/>
      <c r="O352" s="6"/>
    </row>
    <row r="353" spans="1:15" x14ac:dyDescent="0.25">
      <c r="A353" s="6"/>
      <c r="B353" s="6"/>
      <c r="C353" s="6"/>
      <c r="D353" s="6"/>
      <c r="E353" s="6"/>
      <c r="F353" s="6"/>
      <c r="G353" s="6"/>
      <c r="H353" s="6"/>
      <c r="I353" s="6"/>
      <c r="J353" s="6"/>
      <c r="K353" s="6"/>
      <c r="L353" s="6"/>
      <c r="M353" s="6"/>
      <c r="N353" s="6"/>
      <c r="O353" s="6"/>
    </row>
    <row r="354" spans="1:15" x14ac:dyDescent="0.25">
      <c r="A354" s="6"/>
      <c r="B354" s="6"/>
      <c r="C354" s="6"/>
      <c r="D354" s="6"/>
      <c r="E354" s="6"/>
      <c r="F354" s="6"/>
      <c r="G354" s="6"/>
      <c r="H354" s="6"/>
      <c r="I354" s="6"/>
      <c r="J354" s="6"/>
      <c r="K354" s="6"/>
      <c r="L354" s="6"/>
      <c r="M354" s="6"/>
      <c r="N354" s="6"/>
      <c r="O354" s="6"/>
    </row>
    <row r="355" spans="1:15" x14ac:dyDescent="0.25">
      <c r="A355" s="6"/>
      <c r="B355" s="6"/>
      <c r="C355" s="6"/>
      <c r="D355" s="6"/>
      <c r="E355" s="6"/>
      <c r="F355" s="6"/>
      <c r="G355" s="6"/>
      <c r="H355" s="6"/>
      <c r="I355" s="6"/>
      <c r="J355" s="6"/>
      <c r="K355" s="6"/>
      <c r="L355" s="6"/>
      <c r="M355" s="6"/>
      <c r="N355" s="6"/>
      <c r="O355" s="6"/>
    </row>
    <row r="356" spans="1:15" x14ac:dyDescent="0.25">
      <c r="A356" s="6"/>
      <c r="B356" s="6"/>
      <c r="C356" s="6"/>
      <c r="D356" s="6"/>
      <c r="E356" s="6"/>
      <c r="F356" s="6"/>
      <c r="G356" s="6"/>
      <c r="H356" s="6"/>
      <c r="I356" s="6"/>
      <c r="J356" s="6"/>
      <c r="K356" s="6"/>
      <c r="L356" s="6"/>
      <c r="M356" s="6"/>
      <c r="N356" s="6"/>
      <c r="O356" s="6"/>
    </row>
    <row r="357" spans="1:15" x14ac:dyDescent="0.25">
      <c r="A357" s="6"/>
      <c r="B357" s="6"/>
      <c r="C357" s="6"/>
      <c r="D357" s="6"/>
      <c r="E357" s="6"/>
      <c r="F357" s="6"/>
      <c r="G357" s="6"/>
      <c r="H357" s="6"/>
      <c r="I357" s="6"/>
      <c r="J357" s="6"/>
      <c r="K357" s="6"/>
      <c r="L357" s="6"/>
      <c r="M357" s="6"/>
      <c r="N357" s="6"/>
      <c r="O357" s="6"/>
    </row>
    <row r="358" spans="1:15" x14ac:dyDescent="0.25">
      <c r="A358" s="6"/>
      <c r="B358" s="6"/>
      <c r="C358" s="6"/>
      <c r="D358" s="6"/>
      <c r="E358" s="6"/>
      <c r="F358" s="6"/>
      <c r="G358" s="6"/>
      <c r="H358" s="6"/>
      <c r="I358" s="6"/>
      <c r="J358" s="6"/>
      <c r="K358" s="6"/>
      <c r="L358" s="6"/>
      <c r="M358" s="6"/>
      <c r="N358" s="6"/>
      <c r="O358" s="6"/>
    </row>
    <row r="359" spans="1:15" x14ac:dyDescent="0.25">
      <c r="A359" s="6"/>
      <c r="B359" s="6"/>
      <c r="C359" s="6"/>
      <c r="D359" s="6"/>
      <c r="E359" s="6"/>
      <c r="F359" s="6"/>
      <c r="G359" s="6"/>
      <c r="H359" s="6"/>
      <c r="I359" s="6"/>
      <c r="J359" s="6"/>
      <c r="K359" s="6"/>
      <c r="L359" s="6"/>
      <c r="M359" s="6"/>
      <c r="N359" s="6"/>
      <c r="O359" s="6"/>
    </row>
    <row r="360" spans="1:15" x14ac:dyDescent="0.25">
      <c r="A360" s="6"/>
      <c r="B360" s="6"/>
      <c r="C360" s="6"/>
      <c r="D360" s="6"/>
      <c r="E360" s="6"/>
      <c r="F360" s="6"/>
      <c r="G360" s="6"/>
      <c r="H360" s="6"/>
      <c r="I360" s="6"/>
      <c r="J360" s="6"/>
      <c r="K360" s="6"/>
      <c r="L360" s="6"/>
      <c r="M360" s="6"/>
      <c r="N360" s="6"/>
      <c r="O360" s="6"/>
    </row>
    <row r="361" spans="1:15" x14ac:dyDescent="0.25">
      <c r="A361" s="6"/>
      <c r="B361" s="6"/>
      <c r="C361" s="6"/>
      <c r="D361" s="6"/>
      <c r="E361" s="6"/>
      <c r="F361" s="6"/>
      <c r="G361" s="6"/>
      <c r="H361" s="6"/>
      <c r="I361" s="6"/>
      <c r="J361" s="6"/>
      <c r="K361" s="6"/>
      <c r="L361" s="6"/>
      <c r="M361" s="6"/>
      <c r="N361" s="6"/>
      <c r="O361" s="6"/>
    </row>
    <row r="362" spans="1:15" x14ac:dyDescent="0.25">
      <c r="A362" s="6"/>
      <c r="B362" s="6"/>
      <c r="C362" s="6"/>
      <c r="D362" s="6"/>
      <c r="E362" s="6"/>
      <c r="F362" s="6"/>
      <c r="G362" s="6"/>
      <c r="H362" s="6"/>
      <c r="I362" s="6"/>
      <c r="J362" s="6"/>
      <c r="K362" s="6"/>
      <c r="L362" s="6"/>
      <c r="M362" s="6"/>
      <c r="N362" s="6"/>
      <c r="O362" s="6"/>
    </row>
    <row r="363" spans="1:15" x14ac:dyDescent="0.25">
      <c r="A363" s="6"/>
      <c r="B363" s="6"/>
      <c r="C363" s="6"/>
      <c r="D363" s="6"/>
      <c r="E363" s="6"/>
      <c r="F363" s="6"/>
      <c r="G363" s="6"/>
      <c r="H363" s="6"/>
      <c r="I363" s="6"/>
      <c r="J363" s="6"/>
      <c r="K363" s="6"/>
      <c r="L363" s="6"/>
      <c r="M363" s="6"/>
      <c r="N363" s="6"/>
      <c r="O363" s="6"/>
    </row>
    <row r="364" spans="1:15" x14ac:dyDescent="0.25">
      <c r="A364" s="6"/>
      <c r="B364" s="6"/>
      <c r="C364" s="6"/>
      <c r="D364" s="6"/>
      <c r="E364" s="6"/>
      <c r="F364" s="6"/>
      <c r="G364" s="6"/>
      <c r="H364" s="6"/>
      <c r="I364" s="6"/>
      <c r="J364" s="6"/>
      <c r="K364" s="6"/>
      <c r="L364" s="6"/>
      <c r="M364" s="6"/>
      <c r="N364" s="6"/>
      <c r="O364" s="6"/>
    </row>
    <row r="365" spans="1:15" x14ac:dyDescent="0.25">
      <c r="A365" s="6"/>
      <c r="B365" s="6"/>
      <c r="C365" s="6"/>
      <c r="D365" s="6"/>
      <c r="E365" s="6"/>
      <c r="F365" s="6"/>
      <c r="G365" s="6"/>
      <c r="H365" s="6"/>
      <c r="I365" s="6"/>
      <c r="J365" s="6"/>
      <c r="K365" s="6"/>
      <c r="L365" s="6"/>
      <c r="M365" s="6"/>
      <c r="N365" s="6"/>
      <c r="O365" s="6"/>
    </row>
    <row r="366" spans="1:15" x14ac:dyDescent="0.25">
      <c r="A366" s="6"/>
      <c r="B366" s="6"/>
      <c r="C366" s="6"/>
      <c r="D366" s="6"/>
      <c r="E366" s="6"/>
      <c r="F366" s="6"/>
      <c r="G366" s="6"/>
      <c r="H366" s="6"/>
      <c r="I366" s="6"/>
      <c r="J366" s="6"/>
      <c r="K366" s="6"/>
      <c r="L366" s="6"/>
      <c r="M366" s="6"/>
      <c r="N366" s="6"/>
      <c r="O366" s="6"/>
    </row>
    <row r="367" spans="1:15" x14ac:dyDescent="0.25">
      <c r="A367" s="6"/>
      <c r="B367" s="6"/>
      <c r="C367" s="6"/>
      <c r="D367" s="6"/>
      <c r="E367" s="6"/>
      <c r="F367" s="6"/>
      <c r="G367" s="6"/>
      <c r="H367" s="6"/>
      <c r="I367" s="6"/>
      <c r="J367" s="6"/>
      <c r="K367" s="6"/>
      <c r="L367" s="6"/>
      <c r="M367" s="6"/>
      <c r="N367" s="6"/>
      <c r="O367" s="6"/>
    </row>
    <row r="368" spans="1:15" x14ac:dyDescent="0.25">
      <c r="A368" s="6"/>
      <c r="B368" s="6"/>
      <c r="C368" s="6"/>
      <c r="D368" s="6"/>
      <c r="E368" s="6"/>
      <c r="F368" s="6"/>
      <c r="G368" s="6"/>
      <c r="H368" s="6"/>
      <c r="I368" s="6"/>
      <c r="J368" s="6"/>
      <c r="K368" s="6"/>
      <c r="L368" s="6"/>
      <c r="M368" s="6"/>
      <c r="N368" s="6"/>
      <c r="O368" s="6"/>
    </row>
    <row r="369" spans="1:15" x14ac:dyDescent="0.25">
      <c r="A369" s="6"/>
      <c r="B369" s="6"/>
      <c r="C369" s="6"/>
      <c r="D369" s="6"/>
      <c r="E369" s="6"/>
      <c r="F369" s="6"/>
      <c r="G369" s="6"/>
      <c r="H369" s="6"/>
      <c r="I369" s="6"/>
      <c r="J369" s="6"/>
      <c r="K369" s="6"/>
      <c r="L369" s="6"/>
      <c r="M369" s="6"/>
      <c r="N369" s="6"/>
      <c r="O369" s="6"/>
    </row>
    <row r="370" spans="1:15" x14ac:dyDescent="0.25">
      <c r="A370" s="6"/>
      <c r="B370" s="6"/>
      <c r="C370" s="6"/>
      <c r="D370" s="6"/>
      <c r="E370" s="6"/>
      <c r="F370" s="6"/>
      <c r="G370" s="6"/>
      <c r="H370" s="6"/>
      <c r="I370" s="6"/>
      <c r="J370" s="6"/>
      <c r="K370" s="6"/>
      <c r="L370" s="6"/>
      <c r="M370" s="6"/>
      <c r="N370" s="6"/>
      <c r="O370" s="6"/>
    </row>
    <row r="371" spans="1:15" x14ac:dyDescent="0.25">
      <c r="A371" s="6"/>
      <c r="B371" s="6"/>
      <c r="C371" s="6"/>
      <c r="D371" s="6"/>
      <c r="E371" s="6"/>
      <c r="F371" s="6"/>
      <c r="G371" s="6"/>
      <c r="H371" s="6"/>
      <c r="I371" s="6"/>
      <c r="J371" s="6"/>
      <c r="K371" s="6"/>
      <c r="L371" s="6"/>
      <c r="M371" s="6"/>
      <c r="N371" s="6"/>
      <c r="O371" s="6"/>
    </row>
    <row r="372" spans="1:15" x14ac:dyDescent="0.25">
      <c r="A372" s="6"/>
      <c r="B372" s="6"/>
      <c r="C372" s="6"/>
      <c r="D372" s="6"/>
      <c r="E372" s="6"/>
      <c r="F372" s="6"/>
      <c r="G372" s="6"/>
      <c r="H372" s="6"/>
      <c r="I372" s="6"/>
      <c r="J372" s="6"/>
      <c r="K372" s="6"/>
      <c r="L372" s="6"/>
      <c r="M372" s="6"/>
      <c r="N372" s="6"/>
      <c r="O372" s="6"/>
    </row>
    <row r="373" spans="1:15" x14ac:dyDescent="0.25">
      <c r="A373" s="6"/>
      <c r="B373" s="6"/>
      <c r="C373" s="6"/>
      <c r="D373" s="6"/>
      <c r="E373" s="6"/>
      <c r="F373" s="6"/>
      <c r="G373" s="6"/>
      <c r="H373" s="6"/>
      <c r="I373" s="6"/>
      <c r="J373" s="6"/>
      <c r="K373" s="6"/>
      <c r="L373" s="6"/>
      <c r="M373" s="6"/>
      <c r="N373" s="6"/>
      <c r="O373" s="6"/>
    </row>
    <row r="374" spans="1:15" x14ac:dyDescent="0.25">
      <c r="A374" s="6"/>
      <c r="B374" s="6"/>
      <c r="C374" s="6"/>
      <c r="D374" s="6"/>
      <c r="E374" s="6"/>
      <c r="F374" s="6"/>
      <c r="G374" s="6"/>
      <c r="H374" s="6"/>
      <c r="I374" s="6"/>
      <c r="J374" s="6"/>
      <c r="K374" s="6"/>
      <c r="L374" s="6"/>
      <c r="M374" s="6"/>
      <c r="N374" s="6"/>
      <c r="O374" s="6"/>
    </row>
    <row r="375" spans="1:15" x14ac:dyDescent="0.25">
      <c r="A375" s="6"/>
      <c r="B375" s="6"/>
      <c r="C375" s="6"/>
      <c r="D375" s="6"/>
      <c r="E375" s="6"/>
      <c r="F375" s="6"/>
      <c r="G375" s="6"/>
      <c r="H375" s="6"/>
      <c r="I375" s="6"/>
      <c r="J375" s="6"/>
      <c r="K375" s="6"/>
      <c r="L375" s="6"/>
      <c r="M375" s="6"/>
      <c r="N375" s="6"/>
      <c r="O375" s="6"/>
    </row>
    <row r="376" spans="1:15" x14ac:dyDescent="0.25">
      <c r="A376" s="6"/>
      <c r="B376" s="6"/>
      <c r="C376" s="6"/>
      <c r="D376" s="6"/>
      <c r="E376" s="6"/>
      <c r="F376" s="6"/>
      <c r="G376" s="6"/>
      <c r="H376" s="6"/>
      <c r="I376" s="6"/>
      <c r="J376" s="6"/>
      <c r="K376" s="6"/>
      <c r="L376" s="6"/>
      <c r="M376" s="6"/>
      <c r="N376" s="6"/>
      <c r="O376" s="6"/>
    </row>
    <row r="377" spans="1:15" x14ac:dyDescent="0.25">
      <c r="A377" s="6"/>
      <c r="B377" s="6"/>
      <c r="C377" s="6"/>
      <c r="D377" s="6"/>
      <c r="E377" s="6"/>
      <c r="F377" s="6"/>
      <c r="G377" s="6"/>
      <c r="H377" s="6"/>
      <c r="I377" s="6"/>
      <c r="J377" s="6"/>
      <c r="K377" s="6"/>
      <c r="L377" s="6"/>
      <c r="M377" s="6"/>
      <c r="N377" s="6"/>
      <c r="O377" s="6"/>
    </row>
    <row r="378" spans="1:15" x14ac:dyDescent="0.25">
      <c r="A378" s="6"/>
      <c r="B378" s="6"/>
      <c r="C378" s="6"/>
      <c r="D378" s="6"/>
      <c r="E378" s="6"/>
      <c r="F378" s="6"/>
      <c r="G378" s="6"/>
      <c r="H378" s="6"/>
      <c r="I378" s="6"/>
      <c r="J378" s="6"/>
      <c r="K378" s="6"/>
      <c r="L378" s="6"/>
      <c r="M378" s="6"/>
      <c r="N378" s="6"/>
      <c r="O378" s="6"/>
    </row>
    <row r="379" spans="1:15" x14ac:dyDescent="0.25">
      <c r="A379" s="6"/>
      <c r="B379" s="6"/>
      <c r="C379" s="6"/>
      <c r="D379" s="6"/>
      <c r="E379" s="6"/>
      <c r="F379" s="6"/>
      <c r="G379" s="6"/>
      <c r="H379" s="6"/>
      <c r="I379" s="6"/>
      <c r="J379" s="6"/>
      <c r="K379" s="6"/>
      <c r="L379" s="6"/>
      <c r="M379" s="6"/>
      <c r="N379" s="6"/>
      <c r="O379" s="6"/>
    </row>
    <row r="380" spans="1:15" x14ac:dyDescent="0.25">
      <c r="A380" s="6"/>
      <c r="B380" s="6"/>
      <c r="C380" s="6"/>
      <c r="D380" s="6"/>
      <c r="E380" s="6"/>
      <c r="F380" s="6"/>
      <c r="G380" s="6"/>
      <c r="H380" s="6"/>
      <c r="I380" s="6"/>
      <c r="J380" s="6"/>
      <c r="K380" s="6"/>
      <c r="L380" s="6"/>
      <c r="M380" s="6"/>
      <c r="N380" s="6"/>
      <c r="O380" s="6"/>
    </row>
    <row r="381" spans="1:15" x14ac:dyDescent="0.25">
      <c r="A381" s="6"/>
      <c r="B381" s="6"/>
      <c r="C381" s="6"/>
      <c r="D381" s="6"/>
      <c r="E381" s="6"/>
      <c r="F381" s="6"/>
      <c r="G381" s="6"/>
      <c r="H381" s="6"/>
      <c r="I381" s="6"/>
      <c r="J381" s="6"/>
      <c r="K381" s="6"/>
      <c r="L381" s="6"/>
      <c r="M381" s="6"/>
      <c r="N381" s="6"/>
      <c r="O381" s="6"/>
    </row>
    <row r="382" spans="1:15" x14ac:dyDescent="0.25">
      <c r="A382" s="6"/>
      <c r="B382" s="6"/>
      <c r="C382" s="6"/>
      <c r="D382" s="6"/>
      <c r="E382" s="6"/>
      <c r="F382" s="6"/>
      <c r="G382" s="6"/>
      <c r="H382" s="6"/>
      <c r="I382" s="6"/>
      <c r="J382" s="6"/>
      <c r="K382" s="6"/>
      <c r="L382" s="6"/>
      <c r="M382" s="6"/>
      <c r="N382" s="6"/>
      <c r="O382" s="6"/>
    </row>
    <row r="383" spans="1:15" x14ac:dyDescent="0.25">
      <c r="A383" s="6"/>
      <c r="B383" s="6"/>
      <c r="C383" s="6"/>
      <c r="D383" s="6"/>
      <c r="E383" s="6"/>
      <c r="F383" s="6"/>
      <c r="G383" s="6"/>
      <c r="H383" s="6"/>
      <c r="I383" s="6"/>
      <c r="J383" s="6"/>
      <c r="K383" s="6"/>
      <c r="L383" s="6"/>
      <c r="M383" s="6"/>
      <c r="N383" s="6"/>
      <c r="O383" s="6"/>
    </row>
    <row r="384" spans="1:15" x14ac:dyDescent="0.25">
      <c r="A384" s="6"/>
      <c r="B384" s="6"/>
      <c r="C384" s="6"/>
      <c r="D384" s="6"/>
      <c r="E384" s="6"/>
      <c r="F384" s="6"/>
      <c r="G384" s="6"/>
      <c r="H384" s="6"/>
      <c r="I384" s="6"/>
      <c r="J384" s="6"/>
      <c r="K384" s="6"/>
      <c r="L384" s="6"/>
      <c r="M384" s="6"/>
      <c r="N384" s="6"/>
      <c r="O384" s="6"/>
    </row>
    <row r="385" spans="1:15" x14ac:dyDescent="0.25">
      <c r="A385" s="6"/>
      <c r="B385" s="6"/>
      <c r="C385" s="6"/>
      <c r="D385" s="6"/>
      <c r="E385" s="6"/>
      <c r="F385" s="6"/>
      <c r="G385" s="6"/>
      <c r="H385" s="6"/>
      <c r="I385" s="6"/>
      <c r="J385" s="6"/>
      <c r="K385" s="6"/>
      <c r="L385" s="6"/>
      <c r="M385" s="6"/>
      <c r="N385" s="6"/>
      <c r="O385" s="6"/>
    </row>
    <row r="386" spans="1:15" x14ac:dyDescent="0.25">
      <c r="A386" s="6"/>
      <c r="B386" s="6"/>
      <c r="C386" s="6"/>
      <c r="D386" s="6"/>
      <c r="E386" s="6"/>
      <c r="F386" s="6"/>
      <c r="G386" s="6"/>
      <c r="H386" s="6"/>
      <c r="I386" s="6"/>
      <c r="J386" s="6"/>
      <c r="K386" s="6"/>
      <c r="L386" s="6"/>
      <c r="M386" s="6"/>
      <c r="N386" s="6"/>
      <c r="O386" s="6"/>
    </row>
    <row r="387" spans="1:15" x14ac:dyDescent="0.25">
      <c r="A387" s="6"/>
      <c r="B387" s="6"/>
      <c r="C387" s="6"/>
      <c r="D387" s="6"/>
      <c r="E387" s="6"/>
      <c r="F387" s="6"/>
      <c r="G387" s="6"/>
      <c r="H387" s="6"/>
      <c r="I387" s="6"/>
      <c r="J387" s="6"/>
      <c r="K387" s="6"/>
      <c r="L387" s="6"/>
      <c r="M387" s="6"/>
      <c r="N387" s="6"/>
      <c r="O387" s="6"/>
    </row>
    <row r="388" spans="1:15" x14ac:dyDescent="0.25">
      <c r="A388" s="6"/>
      <c r="B388" s="6"/>
      <c r="C388" s="6"/>
      <c r="D388" s="6"/>
      <c r="E388" s="6"/>
      <c r="F388" s="6"/>
      <c r="G388" s="6"/>
      <c r="H388" s="6"/>
      <c r="I388" s="6"/>
      <c r="J388" s="6"/>
      <c r="K388" s="6"/>
      <c r="L388" s="6"/>
      <c r="M388" s="6"/>
      <c r="N388" s="6"/>
      <c r="O388" s="6"/>
    </row>
    <row r="389" spans="1:15" x14ac:dyDescent="0.25">
      <c r="A389" s="6"/>
      <c r="B389" s="6"/>
      <c r="C389" s="6"/>
      <c r="D389" s="6"/>
      <c r="E389" s="6"/>
      <c r="F389" s="6"/>
      <c r="G389" s="6"/>
      <c r="H389" s="6"/>
      <c r="I389" s="6"/>
      <c r="J389" s="6"/>
      <c r="K389" s="6"/>
      <c r="L389" s="6"/>
      <c r="M389" s="6"/>
      <c r="N389" s="6"/>
      <c r="O389" s="6"/>
    </row>
    <row r="390" spans="1:15" x14ac:dyDescent="0.25">
      <c r="A390" s="6"/>
      <c r="B390" s="6"/>
      <c r="C390" s="6"/>
      <c r="D390" s="6"/>
      <c r="E390" s="6"/>
      <c r="F390" s="6"/>
      <c r="G390" s="6"/>
      <c r="H390" s="6"/>
      <c r="I390" s="6"/>
      <c r="J390" s="6"/>
      <c r="K390" s="6"/>
      <c r="L390" s="6"/>
      <c r="M390" s="6"/>
      <c r="N390" s="6"/>
      <c r="O390" s="6"/>
    </row>
    <row r="391" spans="1:15" x14ac:dyDescent="0.25">
      <c r="A391" s="6"/>
      <c r="B391" s="6"/>
      <c r="C391" s="6"/>
      <c r="D391" s="6"/>
      <c r="E391" s="6"/>
      <c r="F391" s="6"/>
      <c r="G391" s="6"/>
      <c r="H391" s="6"/>
      <c r="I391" s="6"/>
      <c r="J391" s="6"/>
      <c r="K391" s="6"/>
      <c r="L391" s="6"/>
      <c r="M391" s="6"/>
      <c r="N391" s="6"/>
      <c r="O391" s="6"/>
    </row>
    <row r="392" spans="1:15" x14ac:dyDescent="0.25">
      <c r="A392" s="6"/>
      <c r="B392" s="6"/>
      <c r="C392" s="6"/>
      <c r="D392" s="6"/>
      <c r="E392" s="6"/>
      <c r="F392" s="6"/>
      <c r="G392" s="6"/>
      <c r="H392" s="6"/>
      <c r="I392" s="6"/>
      <c r="J392" s="6"/>
      <c r="K392" s="6"/>
      <c r="L392" s="6"/>
      <c r="M392" s="6"/>
      <c r="N392" s="6"/>
      <c r="O392" s="6"/>
    </row>
    <row r="393" spans="1:15" x14ac:dyDescent="0.25">
      <c r="A393" s="6"/>
      <c r="B393" s="6"/>
      <c r="C393" s="6"/>
      <c r="D393" s="6"/>
      <c r="E393" s="6"/>
      <c r="F393" s="6"/>
      <c r="G393" s="6"/>
      <c r="H393" s="6"/>
      <c r="I393" s="6"/>
      <c r="J393" s="6"/>
      <c r="K393" s="6"/>
      <c r="L393" s="6"/>
      <c r="M393" s="6"/>
      <c r="N393" s="6"/>
      <c r="O393" s="6"/>
    </row>
    <row r="394" spans="1:15" x14ac:dyDescent="0.25">
      <c r="A394" s="6"/>
      <c r="B394" s="6"/>
      <c r="C394" s="6"/>
      <c r="D394" s="6"/>
      <c r="E394" s="6"/>
      <c r="F394" s="6"/>
      <c r="G394" s="6"/>
      <c r="H394" s="6"/>
      <c r="I394" s="6"/>
      <c r="J394" s="6"/>
      <c r="K394" s="6"/>
      <c r="L394" s="6"/>
      <c r="M394" s="6"/>
      <c r="N394" s="6"/>
      <c r="O394" s="6"/>
    </row>
    <row r="395" spans="1:15" x14ac:dyDescent="0.25">
      <c r="A395" s="6"/>
      <c r="B395" s="6"/>
      <c r="C395" s="6"/>
      <c r="D395" s="6"/>
      <c r="E395" s="6"/>
      <c r="F395" s="6"/>
      <c r="G395" s="6"/>
      <c r="H395" s="6"/>
      <c r="I395" s="6"/>
      <c r="J395" s="6"/>
      <c r="K395" s="6"/>
      <c r="L395" s="6"/>
      <c r="M395" s="6"/>
      <c r="N395" s="6"/>
      <c r="O395" s="6"/>
    </row>
    <row r="396" spans="1:15" x14ac:dyDescent="0.25">
      <c r="A396" s="6"/>
      <c r="B396" s="6"/>
      <c r="C396" s="6"/>
      <c r="D396" s="6"/>
      <c r="E396" s="6"/>
      <c r="F396" s="6"/>
      <c r="G396" s="6"/>
      <c r="H396" s="6"/>
      <c r="I396" s="6"/>
      <c r="J396" s="6"/>
      <c r="K396" s="6"/>
      <c r="L396" s="6"/>
      <c r="M396" s="6"/>
      <c r="N396" s="6"/>
      <c r="O396" s="6"/>
    </row>
    <row r="397" spans="1:15" x14ac:dyDescent="0.25">
      <c r="A397" s="6"/>
      <c r="B397" s="6"/>
      <c r="C397" s="6"/>
      <c r="D397" s="6"/>
      <c r="E397" s="6"/>
      <c r="F397" s="6"/>
      <c r="G397" s="6"/>
      <c r="H397" s="6"/>
      <c r="I397" s="6"/>
      <c r="J397" s="6"/>
      <c r="K397" s="6"/>
      <c r="L397" s="6"/>
      <c r="M397" s="6"/>
      <c r="N397" s="6"/>
      <c r="O397" s="6"/>
    </row>
    <row r="398" spans="1:15" x14ac:dyDescent="0.25">
      <c r="A398" s="6"/>
      <c r="B398" s="6"/>
      <c r="C398" s="6"/>
      <c r="D398" s="6"/>
      <c r="E398" s="6"/>
      <c r="F398" s="6"/>
      <c r="G398" s="6"/>
      <c r="H398" s="6"/>
      <c r="I398" s="6"/>
      <c r="J398" s="6"/>
      <c r="K398" s="6"/>
      <c r="L398" s="6"/>
      <c r="M398" s="6"/>
      <c r="N398" s="6"/>
      <c r="O398" s="6"/>
    </row>
    <row r="399" spans="1:15" x14ac:dyDescent="0.25">
      <c r="A399" s="6"/>
      <c r="B399" s="6"/>
      <c r="C399" s="6"/>
      <c r="D399" s="6"/>
      <c r="E399" s="6"/>
      <c r="F399" s="6"/>
      <c r="G399" s="6"/>
      <c r="H399" s="6"/>
      <c r="I399" s="6"/>
      <c r="J399" s="6"/>
      <c r="K399" s="6"/>
      <c r="L399" s="6"/>
      <c r="M399" s="6"/>
      <c r="N399" s="6"/>
      <c r="O399" s="6"/>
    </row>
    <row r="400" spans="1:15" x14ac:dyDescent="0.25">
      <c r="A400" s="6"/>
      <c r="B400" s="6"/>
      <c r="C400" s="6"/>
      <c r="D400" s="6"/>
      <c r="E400" s="6"/>
      <c r="F400" s="6"/>
      <c r="G400" s="6"/>
      <c r="H400" s="6"/>
      <c r="I400" s="6"/>
      <c r="J400" s="6"/>
      <c r="K400" s="6"/>
      <c r="L400" s="6"/>
      <c r="M400" s="6"/>
      <c r="N400" s="6"/>
      <c r="O400" s="6"/>
    </row>
    <row r="401" spans="1:15" x14ac:dyDescent="0.25">
      <c r="A401" s="6"/>
      <c r="B401" s="6"/>
      <c r="C401" s="6"/>
      <c r="D401" s="6"/>
      <c r="E401" s="6"/>
      <c r="F401" s="6"/>
      <c r="G401" s="6"/>
      <c r="H401" s="6"/>
      <c r="I401" s="6"/>
      <c r="J401" s="6"/>
      <c r="K401" s="6"/>
      <c r="L401" s="6"/>
      <c r="M401" s="6"/>
      <c r="N401" s="6"/>
      <c r="O401" s="6"/>
    </row>
    <row r="402" spans="1:15" x14ac:dyDescent="0.25">
      <c r="A402" s="6"/>
      <c r="B402" s="6"/>
      <c r="C402" s="6"/>
      <c r="D402" s="6"/>
      <c r="E402" s="6"/>
      <c r="F402" s="6"/>
      <c r="G402" s="6"/>
      <c r="H402" s="6"/>
      <c r="I402" s="6"/>
      <c r="J402" s="6"/>
      <c r="K402" s="6"/>
      <c r="L402" s="6"/>
      <c r="M402" s="6"/>
      <c r="N402" s="6"/>
      <c r="O402" s="6"/>
    </row>
    <row r="403" spans="1:15" x14ac:dyDescent="0.25">
      <c r="A403" s="6"/>
      <c r="B403" s="6"/>
      <c r="C403" s="6"/>
      <c r="D403" s="6"/>
      <c r="E403" s="6"/>
      <c r="F403" s="6"/>
      <c r="G403" s="6"/>
      <c r="H403" s="6"/>
      <c r="I403" s="6"/>
      <c r="J403" s="6"/>
      <c r="K403" s="6"/>
      <c r="L403" s="6"/>
      <c r="M403" s="6"/>
      <c r="N403" s="6"/>
      <c r="O403" s="6"/>
    </row>
    <row r="404" spans="1:15" x14ac:dyDescent="0.25">
      <c r="A404" s="6"/>
      <c r="B404" s="6"/>
      <c r="C404" s="6"/>
      <c r="D404" s="6"/>
      <c r="E404" s="6"/>
      <c r="F404" s="6"/>
      <c r="G404" s="6"/>
      <c r="H404" s="6"/>
      <c r="I404" s="6"/>
      <c r="J404" s="6"/>
      <c r="K404" s="6"/>
      <c r="L404" s="6"/>
      <c r="M404" s="6"/>
      <c r="N404" s="6"/>
      <c r="O404" s="6"/>
    </row>
    <row r="405" spans="1:15" x14ac:dyDescent="0.25">
      <c r="A405" s="6"/>
      <c r="B405" s="6"/>
      <c r="C405" s="6"/>
      <c r="D405" s="6"/>
      <c r="E405" s="6"/>
      <c r="F405" s="6"/>
      <c r="G405" s="6"/>
      <c r="H405" s="6"/>
      <c r="I405" s="6"/>
      <c r="J405" s="6"/>
      <c r="K405" s="6"/>
      <c r="L405" s="6"/>
      <c r="M405" s="6"/>
      <c r="N405" s="6"/>
      <c r="O405" s="6"/>
    </row>
    <row r="406" spans="1:15" x14ac:dyDescent="0.25">
      <c r="A406" s="6"/>
      <c r="B406" s="6"/>
      <c r="C406" s="6"/>
      <c r="D406" s="6"/>
      <c r="E406" s="6"/>
      <c r="F406" s="6"/>
      <c r="G406" s="6"/>
      <c r="H406" s="6"/>
      <c r="I406" s="6"/>
      <c r="J406" s="6"/>
      <c r="K406" s="6"/>
      <c r="L406" s="6"/>
      <c r="M406" s="6"/>
      <c r="N406" s="6"/>
      <c r="O406" s="6"/>
    </row>
    <row r="407" spans="1:15" x14ac:dyDescent="0.25">
      <c r="A407" s="6"/>
      <c r="B407" s="6"/>
      <c r="C407" s="6"/>
      <c r="D407" s="6"/>
      <c r="E407" s="6"/>
      <c r="F407" s="6"/>
      <c r="G407" s="6"/>
      <c r="H407" s="6"/>
      <c r="I407" s="6"/>
      <c r="J407" s="6"/>
      <c r="K407" s="6"/>
      <c r="L407" s="6"/>
      <c r="M407" s="6"/>
      <c r="N407" s="6"/>
      <c r="O407" s="6"/>
    </row>
    <row r="408" spans="1:15" x14ac:dyDescent="0.25">
      <c r="A408" s="6"/>
      <c r="B408" s="6"/>
      <c r="C408" s="6"/>
      <c r="D408" s="6"/>
      <c r="E408" s="6"/>
      <c r="F408" s="6"/>
      <c r="G408" s="6"/>
      <c r="H408" s="6"/>
      <c r="I408" s="6"/>
      <c r="J408" s="6"/>
      <c r="K408" s="6"/>
      <c r="L408" s="6"/>
      <c r="M408" s="6"/>
      <c r="N408" s="6"/>
      <c r="O408" s="6"/>
    </row>
    <row r="409" spans="1:15" x14ac:dyDescent="0.25">
      <c r="A409" s="6"/>
      <c r="B409" s="6"/>
      <c r="C409" s="6"/>
      <c r="D409" s="6"/>
      <c r="E409" s="6"/>
      <c r="F409" s="6"/>
      <c r="G409" s="6"/>
      <c r="H409" s="6"/>
      <c r="I409" s="6"/>
      <c r="J409" s="6"/>
      <c r="K409" s="6"/>
      <c r="L409" s="6"/>
      <c r="M409" s="6"/>
      <c r="N409" s="6"/>
      <c r="O409" s="6"/>
    </row>
    <row r="410" spans="1:15" x14ac:dyDescent="0.25">
      <c r="A410" s="6"/>
      <c r="B410" s="6"/>
      <c r="C410" s="6"/>
      <c r="D410" s="6"/>
      <c r="E410" s="6"/>
      <c r="F410" s="6"/>
      <c r="G410" s="6"/>
      <c r="H410" s="6"/>
      <c r="I410" s="6"/>
      <c r="J410" s="6"/>
      <c r="K410" s="6"/>
      <c r="L410" s="6"/>
      <c r="M410" s="6"/>
      <c r="N410" s="6"/>
      <c r="O410" s="6"/>
    </row>
    <row r="411" spans="1:15" x14ac:dyDescent="0.25">
      <c r="A411" s="6"/>
      <c r="B411" s="6"/>
      <c r="C411" s="6"/>
      <c r="D411" s="6"/>
      <c r="E411" s="6"/>
      <c r="F411" s="6"/>
      <c r="G411" s="6"/>
      <c r="H411" s="6"/>
      <c r="I411" s="6"/>
      <c r="J411" s="6"/>
      <c r="K411" s="6"/>
      <c r="L411" s="6"/>
      <c r="M411" s="6"/>
      <c r="N411" s="6"/>
      <c r="O411" s="6"/>
    </row>
    <row r="412" spans="1:15" x14ac:dyDescent="0.25">
      <c r="A412" s="6"/>
      <c r="B412" s="6"/>
      <c r="C412" s="6"/>
      <c r="D412" s="6"/>
      <c r="E412" s="6"/>
      <c r="F412" s="6"/>
      <c r="G412" s="6"/>
      <c r="H412" s="6"/>
      <c r="I412" s="6"/>
      <c r="J412" s="6"/>
      <c r="K412" s="6"/>
      <c r="L412" s="6"/>
      <c r="M412" s="6"/>
      <c r="N412" s="6"/>
      <c r="O412" s="6"/>
    </row>
    <row r="413" spans="1:15" x14ac:dyDescent="0.25">
      <c r="A413" s="6"/>
      <c r="B413" s="6"/>
      <c r="C413" s="6"/>
      <c r="D413" s="6"/>
      <c r="E413" s="6"/>
      <c r="F413" s="6"/>
      <c r="G413" s="6"/>
      <c r="H413" s="6"/>
      <c r="I413" s="6"/>
      <c r="J413" s="6"/>
      <c r="K413" s="6"/>
      <c r="L413" s="6"/>
      <c r="M413" s="6"/>
      <c r="N413" s="6"/>
      <c r="O413" s="6"/>
    </row>
    <row r="414" spans="1:15" x14ac:dyDescent="0.25">
      <c r="A414" s="6"/>
      <c r="B414" s="6"/>
      <c r="C414" s="6"/>
      <c r="D414" s="6"/>
      <c r="E414" s="6"/>
      <c r="F414" s="6"/>
      <c r="G414" s="6"/>
      <c r="H414" s="6"/>
      <c r="I414" s="6"/>
      <c r="J414" s="6"/>
      <c r="K414" s="6"/>
      <c r="L414" s="6"/>
      <c r="M414" s="6"/>
      <c r="N414" s="6"/>
      <c r="O414" s="6"/>
    </row>
    <row r="415" spans="1:15" x14ac:dyDescent="0.25">
      <c r="A415" s="6"/>
      <c r="B415" s="6"/>
      <c r="C415" s="6"/>
      <c r="D415" s="6"/>
      <c r="E415" s="6"/>
      <c r="F415" s="6"/>
      <c r="G415" s="6"/>
      <c r="H415" s="6"/>
      <c r="I415" s="6"/>
      <c r="J415" s="6"/>
      <c r="K415" s="6"/>
      <c r="L415" s="6"/>
      <c r="M415" s="6"/>
      <c r="N415" s="6"/>
      <c r="O415" s="6"/>
    </row>
    <row r="416" spans="1:15" x14ac:dyDescent="0.25">
      <c r="A416" s="6"/>
      <c r="B416" s="6"/>
      <c r="C416" s="6"/>
      <c r="D416" s="6"/>
      <c r="E416" s="6"/>
      <c r="F416" s="6"/>
      <c r="G416" s="6"/>
      <c r="H416" s="6"/>
      <c r="I416" s="6"/>
      <c r="J416" s="6"/>
      <c r="K416" s="6"/>
      <c r="L416" s="6"/>
      <c r="M416" s="6"/>
      <c r="N416" s="6"/>
      <c r="O416" s="6"/>
    </row>
    <row r="417" spans="1:15" x14ac:dyDescent="0.25">
      <c r="A417" s="6"/>
      <c r="B417" s="6"/>
      <c r="C417" s="6"/>
      <c r="D417" s="6"/>
      <c r="E417" s="6"/>
      <c r="F417" s="6"/>
      <c r="G417" s="6"/>
      <c r="H417" s="6"/>
      <c r="I417" s="6"/>
      <c r="J417" s="6"/>
      <c r="K417" s="6"/>
      <c r="L417" s="6"/>
      <c r="M417" s="6"/>
      <c r="N417" s="6"/>
      <c r="O417" s="6"/>
    </row>
    <row r="418" spans="1:15" x14ac:dyDescent="0.25">
      <c r="A418" s="6"/>
      <c r="B418" s="6"/>
      <c r="C418" s="6"/>
      <c r="D418" s="6"/>
      <c r="E418" s="6"/>
      <c r="F418" s="6"/>
      <c r="G418" s="6"/>
      <c r="H418" s="6"/>
      <c r="I418" s="6"/>
      <c r="J418" s="6"/>
      <c r="K418" s="6"/>
      <c r="L418" s="6"/>
      <c r="M418" s="6"/>
      <c r="N418" s="6"/>
      <c r="O418" s="6"/>
    </row>
    <row r="419" spans="1:15" x14ac:dyDescent="0.25">
      <c r="A419" s="6"/>
      <c r="B419" s="6"/>
      <c r="C419" s="6"/>
      <c r="D419" s="6"/>
      <c r="E419" s="6"/>
      <c r="F419" s="6"/>
      <c r="G419" s="6"/>
      <c r="H419" s="6"/>
      <c r="I419" s="6"/>
      <c r="J419" s="6"/>
      <c r="K419" s="6"/>
      <c r="L419" s="6"/>
      <c r="M419" s="6"/>
      <c r="N419" s="6"/>
      <c r="O419" s="6"/>
    </row>
    <row r="420" spans="1:15" x14ac:dyDescent="0.25">
      <c r="A420" s="6"/>
      <c r="B420" s="6"/>
      <c r="C420" s="6"/>
      <c r="D420" s="6"/>
      <c r="E420" s="6"/>
      <c r="F420" s="6"/>
      <c r="G420" s="6"/>
      <c r="H420" s="6"/>
      <c r="I420" s="6"/>
      <c r="J420" s="6"/>
      <c r="K420" s="6"/>
      <c r="L420" s="6"/>
      <c r="M420" s="6"/>
      <c r="N420" s="6"/>
      <c r="O420" s="6"/>
    </row>
    <row r="421" spans="1:15" x14ac:dyDescent="0.25">
      <c r="A421" s="6"/>
      <c r="B421" s="6"/>
      <c r="C421" s="6"/>
      <c r="D421" s="6"/>
      <c r="E421" s="6"/>
      <c r="F421" s="6"/>
      <c r="G421" s="6"/>
      <c r="H421" s="6"/>
      <c r="I421" s="6"/>
      <c r="J421" s="6"/>
      <c r="K421" s="6"/>
      <c r="L421" s="6"/>
      <c r="M421" s="6"/>
      <c r="N421" s="6"/>
      <c r="O421" s="6"/>
    </row>
    <row r="422" spans="1:15" x14ac:dyDescent="0.25">
      <c r="A422" s="6"/>
      <c r="B422" s="6"/>
      <c r="C422" s="6"/>
      <c r="D422" s="6"/>
      <c r="E422" s="6"/>
      <c r="F422" s="6"/>
      <c r="G422" s="6"/>
      <c r="H422" s="6"/>
      <c r="I422" s="6"/>
      <c r="J422" s="6"/>
      <c r="K422" s="6"/>
      <c r="L422" s="6"/>
      <c r="M422" s="6"/>
      <c r="N422" s="6"/>
      <c r="O422" s="6"/>
    </row>
    <row r="423" spans="1:15" x14ac:dyDescent="0.25">
      <c r="A423" s="6"/>
      <c r="B423" s="6"/>
      <c r="C423" s="6"/>
      <c r="D423" s="6"/>
      <c r="E423" s="6"/>
      <c r="F423" s="6"/>
      <c r="G423" s="6"/>
      <c r="H423" s="6"/>
      <c r="I423" s="6"/>
      <c r="J423" s="6"/>
      <c r="K423" s="6"/>
      <c r="L423" s="6"/>
      <c r="M423" s="6"/>
      <c r="N423" s="6"/>
      <c r="O423" s="6"/>
    </row>
    <row r="424" spans="1:15" x14ac:dyDescent="0.25">
      <c r="A424" s="6"/>
      <c r="B424" s="6"/>
      <c r="C424" s="6"/>
      <c r="D424" s="6"/>
      <c r="E424" s="6"/>
      <c r="F424" s="6"/>
      <c r="G424" s="6"/>
      <c r="H424" s="6"/>
      <c r="I424" s="6"/>
      <c r="J424" s="6"/>
      <c r="K424" s="6"/>
      <c r="L424" s="6"/>
      <c r="M424" s="6"/>
      <c r="N424" s="6"/>
      <c r="O424" s="6"/>
    </row>
    <row r="425" spans="1:15" x14ac:dyDescent="0.25">
      <c r="A425" s="6"/>
      <c r="B425" s="6"/>
      <c r="C425" s="6"/>
      <c r="D425" s="6"/>
      <c r="E425" s="6"/>
      <c r="F425" s="6"/>
      <c r="G425" s="6"/>
      <c r="H425" s="6"/>
      <c r="I425" s="6"/>
      <c r="J425" s="6"/>
      <c r="K425" s="6"/>
      <c r="L425" s="6"/>
      <c r="M425" s="6"/>
      <c r="N425" s="6"/>
      <c r="O425" s="6"/>
    </row>
    <row r="426" spans="1:15" x14ac:dyDescent="0.25">
      <c r="A426" s="6"/>
      <c r="B426" s="6"/>
      <c r="C426" s="6"/>
      <c r="D426" s="6"/>
      <c r="E426" s="6"/>
      <c r="F426" s="6"/>
      <c r="G426" s="6"/>
      <c r="H426" s="6"/>
      <c r="I426" s="6"/>
      <c r="J426" s="6"/>
      <c r="K426" s="6"/>
      <c r="L426" s="6"/>
      <c r="M426" s="6"/>
      <c r="N426" s="6"/>
      <c r="O426" s="6"/>
    </row>
    <row r="427" spans="1:15" x14ac:dyDescent="0.25">
      <c r="A427" s="6"/>
      <c r="B427" s="6"/>
      <c r="C427" s="6"/>
      <c r="D427" s="6"/>
      <c r="E427" s="6"/>
      <c r="F427" s="6"/>
      <c r="G427" s="6"/>
      <c r="H427" s="6"/>
      <c r="I427" s="6"/>
      <c r="J427" s="6"/>
      <c r="K427" s="6"/>
      <c r="L427" s="6"/>
      <c r="M427" s="6"/>
      <c r="N427" s="6"/>
      <c r="O427" s="6"/>
    </row>
    <row r="428" spans="1:15" x14ac:dyDescent="0.25">
      <c r="A428" s="6"/>
      <c r="B428" s="6"/>
      <c r="C428" s="6"/>
      <c r="D428" s="6"/>
      <c r="E428" s="6"/>
      <c r="F428" s="6"/>
      <c r="G428" s="6"/>
      <c r="H428" s="6"/>
      <c r="I428" s="6"/>
      <c r="J428" s="6"/>
      <c r="K428" s="6"/>
      <c r="L428" s="6"/>
      <c r="M428" s="6"/>
      <c r="N428" s="6"/>
      <c r="O428" s="6"/>
    </row>
    <row r="429" spans="1:15" x14ac:dyDescent="0.25">
      <c r="A429" s="6"/>
      <c r="B429" s="6"/>
      <c r="C429" s="6"/>
      <c r="D429" s="6"/>
      <c r="E429" s="6"/>
      <c r="F429" s="6"/>
      <c r="G429" s="6"/>
      <c r="H429" s="6"/>
      <c r="I429" s="6"/>
      <c r="J429" s="6"/>
      <c r="K429" s="6"/>
      <c r="L429" s="6"/>
      <c r="M429" s="6"/>
      <c r="N429" s="6"/>
      <c r="O429" s="6"/>
    </row>
    <row r="430" spans="1:15" x14ac:dyDescent="0.25">
      <c r="A430" s="6"/>
      <c r="B430" s="6"/>
      <c r="C430" s="6"/>
      <c r="D430" s="6"/>
      <c r="E430" s="6"/>
      <c r="F430" s="6"/>
      <c r="G430" s="6"/>
      <c r="H430" s="6"/>
      <c r="I430" s="6"/>
      <c r="J430" s="6"/>
      <c r="K430" s="6"/>
      <c r="L430" s="6"/>
      <c r="M430" s="6"/>
      <c r="N430" s="6"/>
      <c r="O430" s="6"/>
    </row>
    <row r="431" spans="1:15" x14ac:dyDescent="0.25">
      <c r="A431" s="6"/>
      <c r="B431" s="6"/>
      <c r="C431" s="6"/>
      <c r="D431" s="6"/>
      <c r="E431" s="6"/>
      <c r="F431" s="6"/>
      <c r="G431" s="6"/>
      <c r="H431" s="6"/>
      <c r="I431" s="6"/>
      <c r="J431" s="6"/>
      <c r="K431" s="6"/>
      <c r="L431" s="6"/>
      <c r="M431" s="6"/>
      <c r="N431" s="6"/>
      <c r="O431" s="6"/>
    </row>
    <row r="432" spans="1:15" x14ac:dyDescent="0.25">
      <c r="A432" s="6"/>
      <c r="B432" s="6"/>
      <c r="C432" s="6"/>
      <c r="D432" s="6"/>
      <c r="E432" s="6"/>
      <c r="F432" s="6"/>
      <c r="G432" s="6"/>
      <c r="H432" s="6"/>
      <c r="I432" s="6"/>
      <c r="J432" s="6"/>
      <c r="K432" s="6"/>
      <c r="L432" s="6"/>
      <c r="M432" s="6"/>
      <c r="N432" s="6"/>
      <c r="O432" s="6"/>
    </row>
    <row r="433" spans="1:15" x14ac:dyDescent="0.25">
      <c r="A433" s="6"/>
      <c r="B433" s="6"/>
      <c r="C433" s="6"/>
      <c r="D433" s="6"/>
      <c r="E433" s="6"/>
      <c r="F433" s="6"/>
      <c r="G433" s="6"/>
      <c r="H433" s="6"/>
      <c r="I433" s="6"/>
      <c r="J433" s="6"/>
      <c r="K433" s="6"/>
      <c r="L433" s="6"/>
      <c r="M433" s="6"/>
      <c r="N433" s="6"/>
      <c r="O433" s="6"/>
    </row>
    <row r="434" spans="1:15" x14ac:dyDescent="0.25">
      <c r="A434" s="6"/>
      <c r="B434" s="6"/>
      <c r="C434" s="6"/>
      <c r="D434" s="6"/>
      <c r="E434" s="6"/>
      <c r="F434" s="6"/>
      <c r="G434" s="6"/>
      <c r="H434" s="6"/>
      <c r="I434" s="6"/>
      <c r="J434" s="6"/>
      <c r="K434" s="6"/>
      <c r="L434" s="6"/>
      <c r="M434" s="6"/>
      <c r="N434" s="6"/>
      <c r="O434" s="6"/>
    </row>
    <row r="435" spans="1:15" x14ac:dyDescent="0.25">
      <c r="A435" s="6"/>
      <c r="B435" s="6"/>
      <c r="C435" s="6"/>
      <c r="D435" s="6"/>
      <c r="E435" s="6"/>
      <c r="F435" s="6"/>
      <c r="G435" s="6"/>
      <c r="H435" s="6"/>
      <c r="I435" s="6"/>
      <c r="J435" s="6"/>
      <c r="K435" s="6"/>
      <c r="L435" s="6"/>
      <c r="M435" s="6"/>
      <c r="N435" s="6"/>
      <c r="O435" s="6"/>
    </row>
    <row r="436" spans="1:15" x14ac:dyDescent="0.25">
      <c r="A436" s="6"/>
      <c r="B436" s="6"/>
      <c r="C436" s="6"/>
      <c r="D436" s="6"/>
      <c r="E436" s="6"/>
      <c r="F436" s="6"/>
      <c r="G436" s="6"/>
      <c r="H436" s="6"/>
      <c r="I436" s="6"/>
      <c r="J436" s="6"/>
      <c r="K436" s="6"/>
      <c r="L436" s="6"/>
      <c r="M436" s="6"/>
      <c r="N436" s="6"/>
      <c r="O436" s="6"/>
    </row>
    <row r="437" spans="1:15" x14ac:dyDescent="0.25">
      <c r="A437" s="6"/>
      <c r="B437" s="6"/>
      <c r="C437" s="6"/>
      <c r="D437" s="6"/>
      <c r="E437" s="6"/>
      <c r="F437" s="6"/>
      <c r="G437" s="6"/>
      <c r="H437" s="6"/>
      <c r="I437" s="6"/>
      <c r="J437" s="6"/>
      <c r="K437" s="6"/>
      <c r="L437" s="6"/>
      <c r="M437" s="6"/>
      <c r="N437" s="6"/>
      <c r="O437" s="6"/>
    </row>
    <row r="438" spans="1:15" x14ac:dyDescent="0.25">
      <c r="A438" s="6"/>
      <c r="B438" s="6"/>
      <c r="C438" s="6"/>
      <c r="D438" s="6"/>
      <c r="E438" s="6"/>
      <c r="F438" s="6"/>
      <c r="G438" s="6"/>
      <c r="H438" s="6"/>
      <c r="I438" s="6"/>
      <c r="J438" s="6"/>
      <c r="K438" s="6"/>
      <c r="L438" s="6"/>
      <c r="M438" s="6"/>
      <c r="N438" s="6"/>
      <c r="O438" s="6"/>
    </row>
    <row r="439" spans="1:15" x14ac:dyDescent="0.25">
      <c r="A439" s="6"/>
      <c r="B439" s="6"/>
      <c r="C439" s="6"/>
      <c r="D439" s="6"/>
      <c r="E439" s="6"/>
      <c r="F439" s="6"/>
      <c r="G439" s="6"/>
      <c r="H439" s="6"/>
      <c r="I439" s="6"/>
      <c r="J439" s="6"/>
      <c r="K439" s="6"/>
      <c r="L439" s="6"/>
      <c r="M439" s="6"/>
      <c r="N439" s="6"/>
      <c r="O439" s="6"/>
    </row>
    <row r="440" spans="1:15" x14ac:dyDescent="0.25">
      <c r="A440" s="6"/>
      <c r="B440" s="6"/>
      <c r="C440" s="6"/>
      <c r="D440" s="6"/>
      <c r="E440" s="6"/>
      <c r="F440" s="6"/>
      <c r="G440" s="6"/>
      <c r="H440" s="6"/>
      <c r="I440" s="6"/>
      <c r="J440" s="6"/>
      <c r="K440" s="6"/>
      <c r="L440" s="6"/>
      <c r="M440" s="6"/>
      <c r="N440" s="6"/>
      <c r="O440" s="6"/>
    </row>
    <row r="441" spans="1:15" x14ac:dyDescent="0.25">
      <c r="A441" s="6"/>
      <c r="B441" s="6"/>
      <c r="C441" s="6"/>
      <c r="D441" s="6"/>
      <c r="E441" s="6"/>
      <c r="F441" s="6"/>
      <c r="G441" s="6"/>
      <c r="H441" s="6"/>
      <c r="I441" s="6"/>
      <c r="J441" s="6"/>
      <c r="K441" s="6"/>
      <c r="L441" s="6"/>
      <c r="M441" s="6"/>
      <c r="N441" s="6"/>
      <c r="O441" s="6"/>
    </row>
    <row r="442" spans="1:15" x14ac:dyDescent="0.25">
      <c r="A442" s="6"/>
      <c r="B442" s="6"/>
      <c r="C442" s="6"/>
      <c r="D442" s="6"/>
      <c r="E442" s="6"/>
      <c r="F442" s="6"/>
      <c r="G442" s="6"/>
      <c r="H442" s="6"/>
      <c r="I442" s="6"/>
      <c r="J442" s="6"/>
      <c r="K442" s="6"/>
      <c r="L442" s="6"/>
      <c r="M442" s="6"/>
      <c r="N442" s="6"/>
      <c r="O442" s="6"/>
    </row>
    <row r="443" spans="1:15" x14ac:dyDescent="0.25">
      <c r="A443" s="6"/>
      <c r="B443" s="6"/>
      <c r="C443" s="6"/>
      <c r="D443" s="6"/>
      <c r="E443" s="6"/>
      <c r="F443" s="6"/>
      <c r="G443" s="6"/>
      <c r="H443" s="6"/>
      <c r="I443" s="6"/>
      <c r="J443" s="6"/>
      <c r="K443" s="6"/>
      <c r="L443" s="6"/>
      <c r="M443" s="6"/>
      <c r="N443" s="6"/>
      <c r="O443" s="6"/>
    </row>
    <row r="444" spans="1:15" x14ac:dyDescent="0.25">
      <c r="A444" s="6"/>
      <c r="B444" s="6"/>
      <c r="C444" s="6"/>
      <c r="D444" s="6"/>
      <c r="E444" s="6"/>
      <c r="F444" s="6"/>
      <c r="G444" s="6"/>
      <c r="H444" s="6"/>
      <c r="I444" s="6"/>
      <c r="J444" s="6"/>
      <c r="K444" s="6"/>
      <c r="L444" s="6"/>
      <c r="M444" s="6"/>
      <c r="N444" s="6"/>
      <c r="O444" s="6"/>
    </row>
    <row r="445" spans="1:15" x14ac:dyDescent="0.25">
      <c r="A445" s="6"/>
      <c r="B445" s="6"/>
      <c r="C445" s="6"/>
      <c r="D445" s="6"/>
      <c r="E445" s="6"/>
      <c r="F445" s="6"/>
      <c r="G445" s="6"/>
      <c r="H445" s="6"/>
      <c r="I445" s="6"/>
      <c r="J445" s="6"/>
      <c r="K445" s="6"/>
      <c r="L445" s="6"/>
      <c r="M445" s="6"/>
      <c r="N445" s="6"/>
      <c r="O445" s="6"/>
    </row>
    <row r="446" spans="1:15" x14ac:dyDescent="0.25">
      <c r="A446" s="6"/>
      <c r="B446" s="6"/>
      <c r="C446" s="6"/>
      <c r="D446" s="6"/>
      <c r="E446" s="6"/>
      <c r="F446" s="6"/>
      <c r="G446" s="6"/>
      <c r="H446" s="6"/>
      <c r="I446" s="6"/>
      <c r="J446" s="6"/>
      <c r="K446" s="6"/>
      <c r="L446" s="6"/>
      <c r="M446" s="6"/>
      <c r="N446" s="6"/>
      <c r="O446" s="6"/>
    </row>
    <row r="447" spans="1:15" x14ac:dyDescent="0.25">
      <c r="A447" s="6"/>
      <c r="B447" s="6"/>
      <c r="C447" s="6"/>
      <c r="D447" s="6"/>
      <c r="E447" s="6"/>
      <c r="F447" s="6"/>
      <c r="G447" s="6"/>
      <c r="H447" s="6"/>
      <c r="I447" s="6"/>
      <c r="J447" s="6"/>
      <c r="K447" s="6"/>
      <c r="L447" s="6"/>
      <c r="M447" s="6"/>
      <c r="N447" s="6"/>
      <c r="O447" s="6"/>
    </row>
    <row r="448" spans="1:15" x14ac:dyDescent="0.25">
      <c r="A448" s="6"/>
      <c r="B448" s="6"/>
      <c r="C448" s="6"/>
      <c r="D448" s="6"/>
      <c r="E448" s="6"/>
      <c r="F448" s="6"/>
      <c r="G448" s="6"/>
      <c r="H448" s="6"/>
      <c r="I448" s="6"/>
      <c r="J448" s="6"/>
      <c r="K448" s="6"/>
      <c r="L448" s="6"/>
      <c r="M448" s="6"/>
      <c r="N448" s="6"/>
      <c r="O448" s="6"/>
    </row>
    <row r="449" spans="1:15" x14ac:dyDescent="0.25">
      <c r="A449" s="6"/>
      <c r="B449" s="6"/>
      <c r="C449" s="6"/>
      <c r="D449" s="6"/>
      <c r="E449" s="6"/>
      <c r="F449" s="6"/>
      <c r="G449" s="6"/>
      <c r="H449" s="6"/>
      <c r="I449" s="6"/>
      <c r="J449" s="6"/>
      <c r="K449" s="6"/>
      <c r="L449" s="6"/>
      <c r="M449" s="6"/>
      <c r="N449" s="6"/>
      <c r="O449" s="6"/>
    </row>
    <row r="450" spans="1:15" x14ac:dyDescent="0.25">
      <c r="A450" s="6"/>
      <c r="B450" s="6"/>
      <c r="C450" s="6"/>
      <c r="D450" s="6"/>
      <c r="E450" s="6"/>
      <c r="F450" s="6"/>
      <c r="G450" s="6"/>
      <c r="H450" s="6"/>
      <c r="I450" s="6"/>
      <c r="J450" s="6"/>
      <c r="K450" s="6"/>
      <c r="L450" s="6"/>
      <c r="M450" s="6"/>
      <c r="N450" s="6"/>
      <c r="O450" s="6"/>
    </row>
    <row r="451" spans="1:15" x14ac:dyDescent="0.25">
      <c r="A451" s="6"/>
      <c r="B451" s="6"/>
      <c r="C451" s="6"/>
      <c r="D451" s="6"/>
      <c r="E451" s="6"/>
      <c r="F451" s="6"/>
      <c r="G451" s="6"/>
      <c r="H451" s="6"/>
      <c r="I451" s="6"/>
      <c r="J451" s="6"/>
      <c r="K451" s="6"/>
      <c r="L451" s="6"/>
      <c r="M451" s="6"/>
      <c r="N451" s="6"/>
      <c r="O451" s="6"/>
    </row>
    <row r="452" spans="1:15" x14ac:dyDescent="0.25">
      <c r="A452" s="6"/>
      <c r="B452" s="6"/>
      <c r="C452" s="6"/>
      <c r="D452" s="6"/>
      <c r="E452" s="6"/>
      <c r="F452" s="6"/>
      <c r="G452" s="6"/>
      <c r="H452" s="6"/>
      <c r="I452" s="6"/>
      <c r="J452" s="6"/>
      <c r="K452" s="6"/>
      <c r="L452" s="6"/>
      <c r="M452" s="6"/>
      <c r="N452" s="6"/>
      <c r="O452" s="6"/>
    </row>
    <row r="453" spans="1:15" x14ac:dyDescent="0.25">
      <c r="A453" s="6"/>
      <c r="B453" s="6"/>
      <c r="C453" s="6"/>
      <c r="D453" s="6"/>
      <c r="E453" s="6"/>
      <c r="F453" s="6"/>
      <c r="G453" s="6"/>
      <c r="H453" s="6"/>
      <c r="I453" s="6"/>
      <c r="J453" s="6"/>
      <c r="K453" s="6"/>
      <c r="L453" s="6"/>
      <c r="M453" s="6"/>
      <c r="N453" s="6"/>
      <c r="O453" s="6"/>
    </row>
    <row r="454" spans="1:15" x14ac:dyDescent="0.25">
      <c r="A454" s="6"/>
      <c r="B454" s="6"/>
      <c r="C454" s="6"/>
      <c r="D454" s="6"/>
      <c r="E454" s="6"/>
      <c r="F454" s="6"/>
      <c r="G454" s="6"/>
      <c r="H454" s="6"/>
      <c r="I454" s="6"/>
      <c r="J454" s="6"/>
      <c r="K454" s="6"/>
      <c r="L454" s="6"/>
      <c r="M454" s="6"/>
      <c r="N454" s="6"/>
      <c r="O454" s="6"/>
    </row>
    <row r="455" spans="1:15" x14ac:dyDescent="0.25">
      <c r="A455" s="6"/>
      <c r="B455" s="6"/>
      <c r="C455" s="6"/>
      <c r="D455" s="6"/>
      <c r="E455" s="6"/>
      <c r="F455" s="6"/>
      <c r="G455" s="6"/>
      <c r="H455" s="6"/>
      <c r="I455" s="6"/>
      <c r="J455" s="6"/>
      <c r="K455" s="6"/>
      <c r="L455" s="6"/>
      <c r="M455" s="6"/>
      <c r="N455" s="6"/>
      <c r="O455" s="6"/>
    </row>
    <row r="456" spans="1:15" x14ac:dyDescent="0.25">
      <c r="A456" s="6"/>
      <c r="B456" s="6"/>
      <c r="C456" s="6"/>
      <c r="D456" s="6"/>
      <c r="E456" s="6"/>
      <c r="F456" s="6"/>
      <c r="G456" s="6"/>
      <c r="H456" s="6"/>
      <c r="I456" s="6"/>
      <c r="J456" s="6"/>
      <c r="K456" s="6"/>
      <c r="L456" s="6"/>
      <c r="M456" s="6"/>
      <c r="N456" s="6"/>
      <c r="O456" s="6"/>
    </row>
    <row r="457" spans="1:15" x14ac:dyDescent="0.25">
      <c r="A457" s="6"/>
      <c r="B457" s="6"/>
      <c r="C457" s="6"/>
      <c r="D457" s="6"/>
      <c r="E457" s="6"/>
      <c r="F457" s="6"/>
      <c r="G457" s="6"/>
      <c r="H457" s="6"/>
      <c r="I457" s="6"/>
      <c r="J457" s="6"/>
      <c r="K457" s="6"/>
      <c r="L457" s="6"/>
      <c r="M457" s="6"/>
      <c r="N457" s="6"/>
      <c r="O457" s="6"/>
    </row>
    <row r="458" spans="1:15" x14ac:dyDescent="0.25">
      <c r="A458" s="6"/>
      <c r="B458" s="6"/>
      <c r="C458" s="6"/>
      <c r="D458" s="6"/>
      <c r="E458" s="6"/>
      <c r="F458" s="6"/>
      <c r="G458" s="6"/>
      <c r="H458" s="6"/>
      <c r="I458" s="6"/>
      <c r="J458" s="6"/>
      <c r="K458" s="6"/>
      <c r="L458" s="6"/>
      <c r="M458" s="6"/>
      <c r="N458" s="6"/>
      <c r="O458" s="6"/>
    </row>
    <row r="459" spans="1:15" x14ac:dyDescent="0.25">
      <c r="A459" s="6"/>
      <c r="B459" s="6"/>
      <c r="C459" s="6"/>
      <c r="D459" s="6"/>
      <c r="E459" s="6"/>
      <c r="F459" s="6"/>
      <c r="G459" s="6"/>
      <c r="H459" s="6"/>
      <c r="I459" s="6"/>
      <c r="J459" s="6"/>
      <c r="K459" s="6"/>
      <c r="L459" s="6"/>
      <c r="M459" s="6"/>
      <c r="N459" s="6"/>
      <c r="O459" s="6"/>
    </row>
    <row r="460" spans="1:15" x14ac:dyDescent="0.25">
      <c r="A460" s="6"/>
      <c r="B460" s="6"/>
      <c r="C460" s="6"/>
      <c r="D460" s="6"/>
      <c r="E460" s="6"/>
      <c r="F460" s="6"/>
      <c r="G460" s="6"/>
      <c r="H460" s="6"/>
      <c r="I460" s="6"/>
      <c r="J460" s="6"/>
      <c r="K460" s="6"/>
      <c r="L460" s="6"/>
      <c r="M460" s="6"/>
      <c r="N460" s="6"/>
      <c r="O460" s="6"/>
    </row>
    <row r="461" spans="1:15" x14ac:dyDescent="0.25">
      <c r="A461" s="6"/>
      <c r="B461" s="6"/>
      <c r="C461" s="6"/>
      <c r="D461" s="6"/>
      <c r="E461" s="6"/>
      <c r="F461" s="6"/>
      <c r="G461" s="6"/>
      <c r="H461" s="6"/>
      <c r="I461" s="6"/>
      <c r="J461" s="6"/>
      <c r="K461" s="6"/>
      <c r="L461" s="6"/>
      <c r="M461" s="6"/>
      <c r="N461" s="6"/>
      <c r="O461" s="6"/>
    </row>
    <row r="462" spans="1:15" x14ac:dyDescent="0.25">
      <c r="A462" s="6"/>
      <c r="B462" s="6"/>
      <c r="C462" s="6"/>
      <c r="D462" s="6"/>
      <c r="E462" s="6"/>
      <c r="F462" s="6"/>
      <c r="G462" s="6"/>
      <c r="H462" s="6"/>
      <c r="I462" s="6"/>
      <c r="J462" s="6"/>
      <c r="K462" s="6"/>
      <c r="L462" s="6"/>
      <c r="M462" s="6"/>
      <c r="N462" s="6"/>
      <c r="O462" s="6"/>
    </row>
    <row r="463" spans="1:15" x14ac:dyDescent="0.25">
      <c r="A463" s="6"/>
      <c r="B463" s="6"/>
      <c r="C463" s="6"/>
      <c r="D463" s="6"/>
      <c r="E463" s="6"/>
      <c r="F463" s="6"/>
      <c r="G463" s="6"/>
      <c r="H463" s="6"/>
      <c r="I463" s="6"/>
      <c r="J463" s="6"/>
      <c r="K463" s="6"/>
      <c r="L463" s="6"/>
      <c r="M463" s="6"/>
      <c r="N463" s="6"/>
      <c r="O463" s="6"/>
    </row>
    <row r="464" spans="1:15" x14ac:dyDescent="0.25">
      <c r="A464" s="6"/>
      <c r="B464" s="6"/>
      <c r="C464" s="6"/>
      <c r="D464" s="6"/>
      <c r="E464" s="6"/>
      <c r="F464" s="6"/>
      <c r="G464" s="6"/>
      <c r="H464" s="6"/>
      <c r="I464" s="6"/>
      <c r="J464" s="6"/>
      <c r="K464" s="6"/>
      <c r="L464" s="6"/>
      <c r="M464" s="6"/>
      <c r="N464" s="6"/>
      <c r="O464" s="6"/>
    </row>
    <row r="465" spans="1:15" x14ac:dyDescent="0.25">
      <c r="A465" s="6"/>
      <c r="B465" s="6"/>
      <c r="C465" s="6"/>
      <c r="D465" s="6"/>
      <c r="E465" s="6"/>
      <c r="F465" s="6"/>
      <c r="G465" s="6"/>
      <c r="H465" s="6"/>
      <c r="I465" s="6"/>
      <c r="J465" s="6"/>
      <c r="K465" s="6"/>
      <c r="L465" s="6"/>
      <c r="M465" s="6"/>
      <c r="N465" s="6"/>
      <c r="O465" s="6"/>
    </row>
    <row r="466" spans="1:15" x14ac:dyDescent="0.25">
      <c r="A466" s="6"/>
      <c r="B466" s="6"/>
      <c r="C466" s="6"/>
      <c r="D466" s="6"/>
      <c r="E466" s="6"/>
      <c r="F466" s="6"/>
      <c r="G466" s="6"/>
      <c r="H466" s="6"/>
      <c r="I466" s="6"/>
      <c r="J466" s="6"/>
      <c r="K466" s="6"/>
      <c r="L466" s="6"/>
      <c r="M466" s="6"/>
      <c r="N466" s="6"/>
      <c r="O466" s="6"/>
    </row>
    <row r="467" spans="1:15" x14ac:dyDescent="0.25">
      <c r="A467" s="6"/>
      <c r="B467" s="6"/>
      <c r="C467" s="6"/>
      <c r="D467" s="6"/>
      <c r="E467" s="6"/>
      <c r="F467" s="6"/>
      <c r="G467" s="6"/>
      <c r="H467" s="6"/>
      <c r="I467" s="6"/>
      <c r="J467" s="6"/>
      <c r="K467" s="6"/>
      <c r="L467" s="6"/>
      <c r="M467" s="6"/>
      <c r="N467" s="6"/>
      <c r="O467" s="6"/>
    </row>
    <row r="468" spans="1:15" x14ac:dyDescent="0.25">
      <c r="A468" s="6"/>
      <c r="B468" s="6"/>
      <c r="C468" s="6"/>
      <c r="D468" s="6"/>
      <c r="E468" s="6"/>
      <c r="F468" s="6"/>
      <c r="G468" s="6"/>
      <c r="H468" s="6"/>
      <c r="I468" s="6"/>
      <c r="J468" s="6"/>
      <c r="K468" s="6"/>
      <c r="L468" s="6"/>
      <c r="M468" s="6"/>
      <c r="N468" s="6"/>
      <c r="O468" s="6"/>
    </row>
    <row r="469" spans="1:15" x14ac:dyDescent="0.25">
      <c r="A469" s="6"/>
      <c r="B469" s="6"/>
      <c r="C469" s="6"/>
      <c r="D469" s="6"/>
      <c r="E469" s="6"/>
      <c r="F469" s="6"/>
      <c r="G469" s="6"/>
      <c r="H469" s="6"/>
      <c r="I469" s="6"/>
      <c r="J469" s="6"/>
      <c r="K469" s="6"/>
      <c r="L469" s="6"/>
      <c r="M469" s="6"/>
      <c r="N469" s="6"/>
      <c r="O469" s="6"/>
    </row>
    <row r="470" spans="1:15" x14ac:dyDescent="0.25">
      <c r="A470" s="6"/>
      <c r="B470" s="6"/>
      <c r="C470" s="6"/>
      <c r="D470" s="6"/>
      <c r="E470" s="6"/>
      <c r="F470" s="6"/>
      <c r="G470" s="6"/>
      <c r="H470" s="6"/>
      <c r="I470" s="6"/>
      <c r="J470" s="6"/>
      <c r="K470" s="6"/>
      <c r="L470" s="6"/>
      <c r="M470" s="6"/>
      <c r="N470" s="6"/>
      <c r="O470" s="6"/>
    </row>
    <row r="471" spans="1:15" x14ac:dyDescent="0.25">
      <c r="A471" s="6"/>
      <c r="B471" s="6"/>
      <c r="C471" s="6"/>
      <c r="D471" s="6"/>
      <c r="E471" s="6"/>
      <c r="F471" s="6"/>
      <c r="G471" s="6"/>
      <c r="H471" s="6"/>
      <c r="I471" s="6"/>
      <c r="J471" s="6"/>
      <c r="K471" s="6"/>
      <c r="L471" s="6"/>
      <c r="M471" s="6"/>
      <c r="N471" s="6"/>
      <c r="O471" s="6"/>
    </row>
    <row r="472" spans="1:15" x14ac:dyDescent="0.25">
      <c r="A472" s="6"/>
      <c r="B472" s="6"/>
      <c r="C472" s="6"/>
      <c r="D472" s="6"/>
      <c r="E472" s="6"/>
      <c r="F472" s="6"/>
      <c r="G472" s="6"/>
      <c r="H472" s="6"/>
      <c r="I472" s="6"/>
      <c r="J472" s="6"/>
      <c r="K472" s="6"/>
      <c r="L472" s="6"/>
      <c r="M472" s="6"/>
      <c r="N472" s="6"/>
      <c r="O472" s="6"/>
    </row>
    <row r="473" spans="1:15" x14ac:dyDescent="0.25">
      <c r="A473" s="6"/>
      <c r="B473" s="6"/>
      <c r="C473" s="6"/>
      <c r="D473" s="6"/>
      <c r="E473" s="6"/>
      <c r="F473" s="6"/>
      <c r="G473" s="6"/>
      <c r="H473" s="6"/>
      <c r="I473" s="6"/>
      <c r="J473" s="6"/>
      <c r="K473" s="6"/>
      <c r="L473" s="6"/>
      <c r="M473" s="6"/>
      <c r="N473" s="6"/>
      <c r="O473" s="6"/>
    </row>
    <row r="474" spans="1:15" x14ac:dyDescent="0.25">
      <c r="A474" s="6"/>
      <c r="B474" s="6"/>
      <c r="C474" s="6"/>
      <c r="D474" s="6"/>
      <c r="E474" s="6"/>
      <c r="F474" s="6"/>
      <c r="G474" s="6"/>
      <c r="H474" s="6"/>
      <c r="I474" s="6"/>
      <c r="J474" s="6"/>
      <c r="K474" s="6"/>
      <c r="L474" s="6"/>
      <c r="M474" s="6"/>
      <c r="N474" s="6"/>
      <c r="O474" s="6"/>
    </row>
    <row r="475" spans="1:15" x14ac:dyDescent="0.25">
      <c r="A475" s="6"/>
      <c r="B475" s="6"/>
      <c r="C475" s="6"/>
      <c r="D475" s="6"/>
      <c r="E475" s="6"/>
      <c r="F475" s="6"/>
      <c r="G475" s="6"/>
      <c r="H475" s="6"/>
      <c r="I475" s="6"/>
      <c r="J475" s="6"/>
      <c r="K475" s="6"/>
      <c r="L475" s="6"/>
      <c r="M475" s="6"/>
      <c r="N475" s="6"/>
      <c r="O475" s="6"/>
    </row>
    <row r="476" spans="1:15" x14ac:dyDescent="0.25">
      <c r="A476" s="6"/>
      <c r="B476" s="6"/>
      <c r="C476" s="6"/>
      <c r="D476" s="6"/>
      <c r="E476" s="6"/>
      <c r="F476" s="6"/>
      <c r="G476" s="6"/>
      <c r="H476" s="6"/>
      <c r="I476" s="6"/>
      <c r="J476" s="6"/>
      <c r="K476" s="6"/>
      <c r="L476" s="6"/>
      <c r="M476" s="6"/>
      <c r="N476" s="6"/>
      <c r="O476" s="6"/>
    </row>
    <row r="477" spans="1:15" x14ac:dyDescent="0.25">
      <c r="A477" s="6"/>
      <c r="B477" s="6"/>
      <c r="C477" s="6"/>
      <c r="D477" s="6"/>
      <c r="E477" s="6"/>
      <c r="F477" s="6"/>
      <c r="G477" s="6"/>
      <c r="H477" s="6"/>
      <c r="I477" s="6"/>
      <c r="J477" s="6"/>
      <c r="K477" s="6"/>
      <c r="L477" s="6"/>
      <c r="M477" s="6"/>
      <c r="N477" s="6"/>
      <c r="O477" s="6"/>
    </row>
    <row r="478" spans="1:15" x14ac:dyDescent="0.25">
      <c r="A478" s="6"/>
      <c r="B478" s="6"/>
      <c r="C478" s="6"/>
      <c r="D478" s="6"/>
      <c r="E478" s="6"/>
      <c r="F478" s="6"/>
      <c r="G478" s="6"/>
      <c r="H478" s="6"/>
      <c r="I478" s="6"/>
      <c r="J478" s="6"/>
      <c r="K478" s="6"/>
      <c r="L478" s="6"/>
      <c r="M478" s="6"/>
      <c r="N478" s="6"/>
      <c r="O478" s="6"/>
    </row>
    <row r="479" spans="1:15" x14ac:dyDescent="0.25">
      <c r="A479" s="6"/>
      <c r="B479" s="6"/>
      <c r="C479" s="6"/>
      <c r="D479" s="6"/>
      <c r="E479" s="6"/>
      <c r="F479" s="6"/>
      <c r="G479" s="6"/>
      <c r="H479" s="6"/>
      <c r="I479" s="6"/>
      <c r="J479" s="6"/>
      <c r="K479" s="6"/>
      <c r="L479" s="6"/>
      <c r="M479" s="6"/>
      <c r="N479" s="6"/>
      <c r="O479" s="6"/>
    </row>
    <row r="480" spans="1:15" x14ac:dyDescent="0.25">
      <c r="A480" s="6"/>
      <c r="B480" s="6"/>
      <c r="C480" s="6"/>
      <c r="D480" s="6"/>
      <c r="E480" s="6"/>
      <c r="F480" s="6"/>
      <c r="G480" s="6"/>
      <c r="H480" s="6"/>
      <c r="I480" s="6"/>
      <c r="J480" s="6"/>
      <c r="K480" s="6"/>
      <c r="L480" s="6"/>
      <c r="M480" s="6"/>
      <c r="N480" s="6"/>
      <c r="O480" s="6"/>
    </row>
    <row r="481" spans="1:15" x14ac:dyDescent="0.25">
      <c r="A481" s="6"/>
      <c r="B481" s="6"/>
      <c r="C481" s="6"/>
      <c r="D481" s="6"/>
      <c r="E481" s="6"/>
      <c r="F481" s="6"/>
      <c r="G481" s="6"/>
      <c r="H481" s="6"/>
      <c r="I481" s="6"/>
      <c r="J481" s="6"/>
      <c r="K481" s="6"/>
      <c r="L481" s="6"/>
      <c r="M481" s="6"/>
      <c r="N481" s="6"/>
      <c r="O481" s="6"/>
    </row>
    <row r="482" spans="1:15" x14ac:dyDescent="0.25">
      <c r="A482" s="6"/>
      <c r="B482" s="6"/>
      <c r="C482" s="6"/>
      <c r="D482" s="6"/>
      <c r="E482" s="6"/>
      <c r="F482" s="6"/>
      <c r="G482" s="6"/>
      <c r="H482" s="6"/>
      <c r="I482" s="6"/>
      <c r="J482" s="6"/>
      <c r="K482" s="6"/>
      <c r="L482" s="6"/>
      <c r="M482" s="6"/>
      <c r="N482" s="6"/>
      <c r="O482" s="6"/>
    </row>
    <row r="483" spans="1:15" x14ac:dyDescent="0.25">
      <c r="A483" s="6"/>
      <c r="B483" s="6"/>
      <c r="C483" s="6"/>
      <c r="D483" s="6"/>
      <c r="E483" s="6"/>
      <c r="F483" s="6"/>
      <c r="G483" s="6"/>
      <c r="H483" s="6"/>
      <c r="I483" s="6"/>
      <c r="J483" s="6"/>
      <c r="K483" s="6"/>
      <c r="L483" s="6"/>
      <c r="M483" s="6"/>
      <c r="N483" s="6"/>
      <c r="O483" s="6"/>
    </row>
    <row r="484" spans="1:15" x14ac:dyDescent="0.25">
      <c r="A484" s="6"/>
      <c r="B484" s="6"/>
      <c r="C484" s="6"/>
      <c r="D484" s="6"/>
      <c r="E484" s="6"/>
      <c r="F484" s="6"/>
      <c r="G484" s="6"/>
      <c r="H484" s="6"/>
      <c r="I484" s="6"/>
      <c r="J484" s="6"/>
      <c r="K484" s="6"/>
      <c r="L484" s="6"/>
      <c r="M484" s="6"/>
      <c r="N484" s="6"/>
      <c r="O484" s="6"/>
    </row>
    <row r="485" spans="1:15" x14ac:dyDescent="0.25">
      <c r="A485" s="6"/>
      <c r="B485" s="6"/>
      <c r="C485" s="6"/>
      <c r="D485" s="6"/>
      <c r="E485" s="6"/>
      <c r="F485" s="6"/>
      <c r="G485" s="6"/>
      <c r="H485" s="6"/>
      <c r="I485" s="6"/>
      <c r="J485" s="6"/>
      <c r="K485" s="6"/>
      <c r="L485" s="6"/>
      <c r="M485" s="6"/>
      <c r="N485" s="6"/>
      <c r="O485" s="6"/>
    </row>
    <row r="486" spans="1:15" x14ac:dyDescent="0.25">
      <c r="A486" s="6"/>
      <c r="B486" s="6"/>
      <c r="C486" s="6"/>
      <c r="D486" s="6"/>
      <c r="E486" s="6"/>
      <c r="F486" s="6"/>
      <c r="G486" s="6"/>
      <c r="H486" s="6"/>
      <c r="I486" s="6"/>
      <c r="J486" s="6"/>
      <c r="K486" s="6"/>
      <c r="L486" s="6"/>
      <c r="M486" s="6"/>
      <c r="N486" s="6"/>
      <c r="O486" s="6"/>
    </row>
    <row r="487" spans="1:15" x14ac:dyDescent="0.25">
      <c r="A487" s="6"/>
      <c r="B487" s="6"/>
      <c r="C487" s="6"/>
      <c r="D487" s="6"/>
      <c r="E487" s="6"/>
      <c r="F487" s="6"/>
      <c r="G487" s="6"/>
      <c r="H487" s="6"/>
      <c r="I487" s="6"/>
      <c r="J487" s="6"/>
      <c r="K487" s="6"/>
      <c r="L487" s="6"/>
      <c r="M487" s="6"/>
      <c r="N487" s="6"/>
      <c r="O487" s="6"/>
    </row>
    <row r="488" spans="1:15" x14ac:dyDescent="0.25">
      <c r="A488" s="6"/>
      <c r="B488" s="6"/>
      <c r="C488" s="6"/>
      <c r="D488" s="6"/>
      <c r="E488" s="6"/>
      <c r="F488" s="6"/>
      <c r="G488" s="6"/>
      <c r="H488" s="6"/>
      <c r="I488" s="6"/>
      <c r="J488" s="6"/>
      <c r="K488" s="6"/>
      <c r="L488" s="6"/>
      <c r="M488" s="6"/>
      <c r="N488" s="6"/>
      <c r="O488" s="6"/>
    </row>
    <row r="489" spans="1:15" x14ac:dyDescent="0.25">
      <c r="A489" s="6"/>
      <c r="B489" s="6"/>
      <c r="C489" s="6"/>
      <c r="D489" s="6"/>
      <c r="E489" s="6"/>
      <c r="F489" s="6"/>
      <c r="G489" s="6"/>
      <c r="H489" s="6"/>
      <c r="I489" s="6"/>
      <c r="J489" s="6"/>
      <c r="K489" s="6"/>
      <c r="L489" s="6"/>
      <c r="M489" s="6"/>
      <c r="N489" s="6"/>
      <c r="O489" s="6"/>
    </row>
    <row r="490" spans="1:15" x14ac:dyDescent="0.25">
      <c r="A490" s="6"/>
      <c r="B490" s="6"/>
      <c r="C490" s="6"/>
      <c r="D490" s="6"/>
      <c r="E490" s="6"/>
      <c r="F490" s="6"/>
      <c r="G490" s="6"/>
      <c r="H490" s="6"/>
      <c r="I490" s="6"/>
      <c r="J490" s="6"/>
      <c r="K490" s="6"/>
      <c r="L490" s="6"/>
      <c r="M490" s="6"/>
      <c r="N490" s="6"/>
      <c r="O490" s="6"/>
    </row>
    <row r="491" spans="1:15" x14ac:dyDescent="0.25">
      <c r="A491" s="6"/>
      <c r="B491" s="6"/>
      <c r="C491" s="6"/>
      <c r="D491" s="6"/>
      <c r="E491" s="6"/>
      <c r="F491" s="6"/>
      <c r="G491" s="6"/>
      <c r="H491" s="6"/>
      <c r="I491" s="6"/>
      <c r="J491" s="6"/>
      <c r="K491" s="6"/>
      <c r="L491" s="6"/>
      <c r="M491" s="6"/>
      <c r="N491" s="6"/>
      <c r="O491" s="6"/>
    </row>
    <row r="492" spans="1:15" x14ac:dyDescent="0.25">
      <c r="A492" s="6"/>
      <c r="B492" s="6"/>
      <c r="C492" s="6"/>
      <c r="D492" s="6"/>
      <c r="E492" s="6"/>
      <c r="F492" s="6"/>
      <c r="G492" s="6"/>
      <c r="H492" s="6"/>
      <c r="I492" s="6"/>
      <c r="J492" s="6"/>
      <c r="K492" s="6"/>
      <c r="L492" s="6"/>
      <c r="M492" s="6"/>
      <c r="N492" s="6"/>
      <c r="O492" s="6"/>
    </row>
    <row r="493" spans="1:15" x14ac:dyDescent="0.25">
      <c r="A493" s="6"/>
      <c r="B493" s="6"/>
      <c r="C493" s="6"/>
      <c r="D493" s="6"/>
      <c r="E493" s="6"/>
      <c r="F493" s="6"/>
      <c r="G493" s="6"/>
      <c r="H493" s="6"/>
      <c r="I493" s="6"/>
      <c r="J493" s="6"/>
      <c r="K493" s="6"/>
      <c r="L493" s="6"/>
      <c r="M493" s="6"/>
      <c r="N493" s="6"/>
      <c r="O493" s="6"/>
    </row>
    <row r="494" spans="1:15" x14ac:dyDescent="0.25">
      <c r="A494" s="6"/>
      <c r="B494" s="6"/>
      <c r="C494" s="6"/>
      <c r="D494" s="6"/>
      <c r="E494" s="6"/>
      <c r="F494" s="6"/>
      <c r="G494" s="6"/>
      <c r="H494" s="6"/>
      <c r="I494" s="6"/>
      <c r="J494" s="6"/>
      <c r="K494" s="6"/>
      <c r="L494" s="6"/>
      <c r="M494" s="6"/>
      <c r="N494" s="6"/>
      <c r="O494" s="6"/>
    </row>
    <row r="495" spans="1:15" x14ac:dyDescent="0.25">
      <c r="A495" s="6"/>
      <c r="B495" s="6"/>
      <c r="C495" s="6"/>
      <c r="D495" s="6"/>
      <c r="E495" s="6"/>
      <c r="F495" s="6"/>
      <c r="G495" s="6"/>
      <c r="H495" s="6"/>
      <c r="I495" s="6"/>
      <c r="J495" s="6"/>
      <c r="K495" s="6"/>
      <c r="L495" s="6"/>
      <c r="M495" s="6"/>
      <c r="N495" s="6"/>
      <c r="O495" s="6"/>
    </row>
    <row r="496" spans="1:15" x14ac:dyDescent="0.25">
      <c r="A496" s="6"/>
      <c r="B496" s="6"/>
      <c r="C496" s="6"/>
      <c r="D496" s="6"/>
      <c r="E496" s="6"/>
      <c r="F496" s="6"/>
      <c r="G496" s="6"/>
      <c r="H496" s="6"/>
      <c r="I496" s="6"/>
      <c r="J496" s="6"/>
      <c r="K496" s="6"/>
      <c r="L496" s="6"/>
      <c r="M496" s="6"/>
      <c r="N496" s="6"/>
      <c r="O496" s="6"/>
    </row>
    <row r="497" spans="1:15" x14ac:dyDescent="0.25">
      <c r="A497" s="6"/>
      <c r="B497" s="6"/>
      <c r="C497" s="6"/>
      <c r="D497" s="6"/>
      <c r="E497" s="6"/>
      <c r="F497" s="6"/>
      <c r="G497" s="6"/>
      <c r="H497" s="6"/>
      <c r="I497" s="6"/>
      <c r="J497" s="6"/>
      <c r="K497" s="6"/>
      <c r="L497" s="6"/>
      <c r="M497" s="6"/>
      <c r="N497" s="6"/>
      <c r="O497" s="6"/>
    </row>
    <row r="498" spans="1:15" x14ac:dyDescent="0.25">
      <c r="A498" s="6"/>
      <c r="B498" s="6"/>
      <c r="C498" s="6"/>
      <c r="D498" s="6"/>
      <c r="E498" s="6"/>
      <c r="F498" s="6"/>
      <c r="G498" s="6"/>
      <c r="H498" s="6"/>
      <c r="I498" s="6"/>
      <c r="J498" s="6"/>
      <c r="K498" s="6"/>
      <c r="L498" s="6"/>
      <c r="M498" s="6"/>
      <c r="N498" s="6"/>
      <c r="O498" s="6"/>
    </row>
    <row r="499" spans="1:15" x14ac:dyDescent="0.25">
      <c r="A499" s="6"/>
      <c r="B499" s="6"/>
      <c r="C499" s="6"/>
      <c r="D499" s="6"/>
      <c r="E499" s="6"/>
      <c r="F499" s="6"/>
      <c r="G499" s="6"/>
      <c r="H499" s="6"/>
      <c r="I499" s="6"/>
      <c r="J499" s="6"/>
      <c r="K499" s="6"/>
      <c r="L499" s="6"/>
      <c r="M499" s="6"/>
      <c r="N499" s="6"/>
      <c r="O499" s="6"/>
    </row>
    <row r="500" spans="1:15" x14ac:dyDescent="0.25">
      <c r="A500" s="6"/>
      <c r="B500" s="6"/>
      <c r="C500" s="6"/>
      <c r="D500" s="6"/>
      <c r="E500" s="6"/>
      <c r="F500" s="6"/>
      <c r="G500" s="6"/>
      <c r="H500" s="6"/>
      <c r="I500" s="6"/>
      <c r="J500" s="6"/>
      <c r="K500" s="6"/>
      <c r="L500" s="6"/>
      <c r="M500" s="6"/>
      <c r="N500" s="6"/>
      <c r="O500" s="6"/>
    </row>
    <row r="501" spans="1:15" x14ac:dyDescent="0.25">
      <c r="A501" s="6"/>
      <c r="B501" s="6"/>
      <c r="C501" s="6"/>
      <c r="D501" s="6"/>
      <c r="E501" s="6"/>
      <c r="F501" s="6"/>
      <c r="G501" s="6"/>
      <c r="H501" s="6"/>
      <c r="I501" s="6"/>
      <c r="J501" s="6"/>
      <c r="K501" s="6"/>
      <c r="L501" s="6"/>
      <c r="M501" s="6"/>
      <c r="N501" s="6"/>
      <c r="O501" s="6"/>
    </row>
    <row r="502" spans="1:15" x14ac:dyDescent="0.25">
      <c r="A502" s="6"/>
      <c r="B502" s="6"/>
      <c r="C502" s="6"/>
      <c r="D502" s="6"/>
      <c r="E502" s="6"/>
      <c r="F502" s="6"/>
      <c r="G502" s="6"/>
      <c r="H502" s="6"/>
      <c r="I502" s="6"/>
      <c r="J502" s="6"/>
      <c r="K502" s="6"/>
      <c r="L502" s="6"/>
      <c r="M502" s="6"/>
      <c r="N502" s="6"/>
      <c r="O502" s="6"/>
    </row>
    <row r="503" spans="1:15" x14ac:dyDescent="0.25">
      <c r="A503" s="6"/>
      <c r="B503" s="6"/>
      <c r="C503" s="6"/>
      <c r="D503" s="6"/>
      <c r="E503" s="6"/>
      <c r="F503" s="6"/>
      <c r="G503" s="6"/>
      <c r="H503" s="6"/>
      <c r="I503" s="6"/>
      <c r="J503" s="6"/>
      <c r="K503" s="6"/>
      <c r="L503" s="6"/>
      <c r="M503" s="6"/>
      <c r="N503" s="6"/>
      <c r="O503" s="6"/>
    </row>
    <row r="504" spans="1:15" x14ac:dyDescent="0.25">
      <c r="A504" s="6"/>
      <c r="B504" s="6"/>
      <c r="C504" s="6"/>
      <c r="D504" s="6"/>
      <c r="E504" s="6"/>
      <c r="F504" s="6"/>
      <c r="G504" s="6"/>
      <c r="H504" s="6"/>
      <c r="I504" s="6"/>
      <c r="J504" s="6"/>
      <c r="K504" s="6"/>
      <c r="L504" s="6"/>
      <c r="M504" s="6"/>
      <c r="N504" s="6"/>
      <c r="O504" s="6"/>
    </row>
    <row r="505" spans="1:15" x14ac:dyDescent="0.25">
      <c r="A505" s="6"/>
      <c r="B505" s="6"/>
      <c r="C505" s="6"/>
      <c r="D505" s="6"/>
      <c r="E505" s="6"/>
      <c r="F505" s="6"/>
      <c r="G505" s="6"/>
      <c r="H505" s="6"/>
      <c r="I505" s="6"/>
      <c r="J505" s="6"/>
      <c r="K505" s="6"/>
      <c r="L505" s="6"/>
      <c r="M505" s="6"/>
      <c r="N505" s="6"/>
      <c r="O505" s="6"/>
    </row>
    <row r="506" spans="1:15" x14ac:dyDescent="0.25">
      <c r="A506" s="6"/>
      <c r="B506" s="6"/>
      <c r="C506" s="6"/>
      <c r="D506" s="6"/>
      <c r="E506" s="6"/>
      <c r="F506" s="6"/>
      <c r="G506" s="6"/>
      <c r="H506" s="6"/>
      <c r="I506" s="6"/>
      <c r="J506" s="6"/>
      <c r="K506" s="6"/>
      <c r="L506" s="6"/>
      <c r="M506" s="6"/>
      <c r="N506" s="6"/>
      <c r="O506" s="6"/>
    </row>
    <row r="507" spans="1:15" x14ac:dyDescent="0.25">
      <c r="A507" s="6"/>
      <c r="B507" s="6"/>
      <c r="C507" s="6"/>
      <c r="D507" s="6"/>
      <c r="E507" s="6"/>
      <c r="F507" s="6"/>
      <c r="G507" s="6"/>
      <c r="H507" s="6"/>
      <c r="I507" s="6"/>
      <c r="J507" s="6"/>
      <c r="K507" s="6"/>
      <c r="L507" s="6"/>
      <c r="M507" s="6"/>
      <c r="N507" s="6"/>
      <c r="O507" s="6"/>
    </row>
    <row r="508" spans="1:15" x14ac:dyDescent="0.25">
      <c r="A508" s="6"/>
      <c r="B508" s="6"/>
      <c r="C508" s="6"/>
      <c r="D508" s="6"/>
      <c r="E508" s="6"/>
      <c r="F508" s="6"/>
      <c r="G508" s="6"/>
      <c r="H508" s="6"/>
      <c r="I508" s="6"/>
      <c r="J508" s="6"/>
      <c r="K508" s="6"/>
      <c r="L508" s="6"/>
      <c r="M508" s="6"/>
      <c r="N508" s="6"/>
      <c r="O508" s="6"/>
    </row>
    <row r="509" spans="1:15" x14ac:dyDescent="0.25">
      <c r="A509" s="6"/>
      <c r="B509" s="6"/>
      <c r="C509" s="6"/>
      <c r="D509" s="6"/>
      <c r="E509" s="6"/>
      <c r="F509" s="6"/>
      <c r="G509" s="6"/>
      <c r="H509" s="6"/>
      <c r="I509" s="6"/>
      <c r="J509" s="6"/>
      <c r="K509" s="6"/>
      <c r="L509" s="6"/>
      <c r="M509" s="6"/>
      <c r="N509" s="6"/>
      <c r="O509" s="6"/>
    </row>
    <row r="510" spans="1:15" x14ac:dyDescent="0.25">
      <c r="A510" s="6"/>
      <c r="B510" s="6"/>
      <c r="C510" s="6"/>
      <c r="D510" s="6"/>
      <c r="E510" s="6"/>
      <c r="F510" s="6"/>
      <c r="G510" s="6"/>
      <c r="H510" s="6"/>
      <c r="I510" s="6"/>
      <c r="J510" s="6"/>
      <c r="K510" s="6"/>
      <c r="L510" s="6"/>
      <c r="M510" s="6"/>
      <c r="N510" s="6"/>
      <c r="O510" s="6"/>
    </row>
    <row r="511" spans="1:15" x14ac:dyDescent="0.25">
      <c r="A511" s="6"/>
      <c r="B511" s="6"/>
      <c r="C511" s="6"/>
      <c r="D511" s="6"/>
      <c r="E511" s="6"/>
      <c r="F511" s="6"/>
      <c r="G511" s="6"/>
      <c r="H511" s="6"/>
      <c r="I511" s="6"/>
      <c r="J511" s="6"/>
      <c r="K511" s="6"/>
      <c r="L511" s="6"/>
      <c r="M511" s="6"/>
      <c r="N511" s="6"/>
      <c r="O511" s="6"/>
    </row>
    <row r="512" spans="1:15" x14ac:dyDescent="0.25">
      <c r="A512" s="6"/>
      <c r="B512" s="6"/>
      <c r="C512" s="6"/>
      <c r="D512" s="6"/>
      <c r="E512" s="6"/>
      <c r="F512" s="6"/>
      <c r="G512" s="6"/>
      <c r="H512" s="6"/>
      <c r="I512" s="6"/>
      <c r="J512" s="6"/>
      <c r="K512" s="6"/>
      <c r="L512" s="6"/>
      <c r="M512" s="6"/>
      <c r="N512" s="6"/>
      <c r="O512" s="6"/>
    </row>
    <row r="513" spans="1:15" x14ac:dyDescent="0.25">
      <c r="A513" s="6"/>
      <c r="B513" s="6"/>
      <c r="C513" s="6"/>
      <c r="D513" s="6"/>
      <c r="E513" s="6"/>
      <c r="F513" s="6"/>
      <c r="G513" s="6"/>
      <c r="H513" s="6"/>
      <c r="I513" s="6"/>
      <c r="J513" s="6"/>
      <c r="K513" s="6"/>
      <c r="L513" s="6"/>
      <c r="M513" s="6"/>
      <c r="N513" s="6"/>
      <c r="O513" s="6"/>
    </row>
    <row r="514" spans="1:15" x14ac:dyDescent="0.25">
      <c r="A514" s="6"/>
      <c r="B514" s="6"/>
      <c r="C514" s="6"/>
      <c r="D514" s="6"/>
      <c r="E514" s="6"/>
      <c r="F514" s="6"/>
      <c r="G514" s="6"/>
      <c r="H514" s="6"/>
      <c r="I514" s="6"/>
      <c r="J514" s="6"/>
      <c r="K514" s="6"/>
      <c r="L514" s="6"/>
      <c r="M514" s="6"/>
      <c r="N514" s="6"/>
      <c r="O514" s="6"/>
    </row>
    <row r="515" spans="1:15" x14ac:dyDescent="0.25">
      <c r="A515" s="6"/>
      <c r="B515" s="6"/>
      <c r="C515" s="6"/>
      <c r="D515" s="6"/>
      <c r="E515" s="6"/>
      <c r="F515" s="6"/>
      <c r="G515" s="6"/>
      <c r="H515" s="6"/>
      <c r="I515" s="6"/>
      <c r="J515" s="6"/>
      <c r="K515" s="6"/>
      <c r="L515" s="6"/>
      <c r="M515" s="6"/>
      <c r="N515" s="6"/>
      <c r="O515" s="6"/>
    </row>
    <row r="516" spans="1:15" x14ac:dyDescent="0.25">
      <c r="A516" s="6"/>
      <c r="B516" s="6"/>
      <c r="C516" s="6"/>
      <c r="D516" s="6"/>
      <c r="E516" s="6"/>
      <c r="F516" s="6"/>
      <c r="G516" s="6"/>
      <c r="H516" s="6"/>
      <c r="I516" s="6"/>
      <c r="J516" s="6"/>
      <c r="K516" s="6"/>
      <c r="L516" s="6"/>
      <c r="M516" s="6"/>
      <c r="N516" s="6"/>
      <c r="O516" s="6"/>
    </row>
    <row r="517" spans="1:15" x14ac:dyDescent="0.25">
      <c r="A517" s="6"/>
      <c r="B517" s="6"/>
      <c r="C517" s="6"/>
      <c r="D517" s="6"/>
      <c r="E517" s="6"/>
      <c r="F517" s="6"/>
      <c r="G517" s="6"/>
      <c r="H517" s="6"/>
      <c r="I517" s="6"/>
      <c r="J517" s="6"/>
      <c r="K517" s="6"/>
      <c r="L517" s="6"/>
      <c r="M517" s="6"/>
      <c r="N517" s="6"/>
      <c r="O517" s="6"/>
    </row>
    <row r="518" spans="1:15" x14ac:dyDescent="0.25">
      <c r="A518" s="6"/>
      <c r="B518" s="6"/>
      <c r="C518" s="6"/>
      <c r="D518" s="6"/>
      <c r="E518" s="6"/>
      <c r="F518" s="6"/>
      <c r="G518" s="6"/>
      <c r="H518" s="6"/>
      <c r="I518" s="6"/>
      <c r="J518" s="6"/>
      <c r="K518" s="6"/>
      <c r="L518" s="6"/>
      <c r="M518" s="6"/>
      <c r="N518" s="6"/>
      <c r="O518" s="6"/>
    </row>
    <row r="519" spans="1:15" x14ac:dyDescent="0.25">
      <c r="A519" s="6"/>
      <c r="B519" s="6"/>
      <c r="C519" s="6"/>
      <c r="D519" s="6"/>
      <c r="E519" s="6"/>
      <c r="F519" s="6"/>
      <c r="G519" s="6"/>
      <c r="H519" s="6"/>
      <c r="I519" s="6"/>
      <c r="J519" s="6"/>
      <c r="K519" s="6"/>
      <c r="L519" s="6"/>
      <c r="M519" s="6"/>
      <c r="N519" s="6"/>
      <c r="O519" s="6"/>
    </row>
    <row r="520" spans="1:15" x14ac:dyDescent="0.25">
      <c r="A520" s="6"/>
      <c r="B520" s="6"/>
      <c r="C520" s="6"/>
      <c r="D520" s="6"/>
      <c r="E520" s="6"/>
      <c r="F520" s="6"/>
      <c r="G520" s="6"/>
      <c r="H520" s="6"/>
      <c r="I520" s="6"/>
      <c r="J520" s="6"/>
      <c r="K520" s="6"/>
      <c r="L520" s="6"/>
      <c r="M520" s="6"/>
      <c r="N520" s="6"/>
      <c r="O520" s="6"/>
    </row>
    <row r="521" spans="1:15" x14ac:dyDescent="0.25">
      <c r="A521" s="6"/>
      <c r="B521" s="6"/>
      <c r="C521" s="6"/>
      <c r="D521" s="6"/>
      <c r="E521" s="6"/>
      <c r="F521" s="6"/>
      <c r="G521" s="6"/>
      <c r="H521" s="6"/>
      <c r="I521" s="6"/>
      <c r="J521" s="6"/>
      <c r="K521" s="6"/>
      <c r="L521" s="6"/>
      <c r="M521" s="6"/>
      <c r="N521" s="6"/>
      <c r="O521" s="6"/>
    </row>
    <row r="522" spans="1:15" x14ac:dyDescent="0.25">
      <c r="A522" s="6"/>
      <c r="B522" s="6"/>
      <c r="C522" s="6"/>
      <c r="D522" s="6"/>
      <c r="E522" s="6"/>
      <c r="F522" s="6"/>
      <c r="G522" s="6"/>
      <c r="H522" s="6"/>
      <c r="I522" s="6"/>
      <c r="J522" s="6"/>
      <c r="K522" s="6"/>
      <c r="L522" s="6"/>
      <c r="M522" s="6"/>
      <c r="N522" s="6"/>
      <c r="O522" s="6"/>
    </row>
    <row r="523" spans="1:15" x14ac:dyDescent="0.25">
      <c r="A523" s="6"/>
      <c r="B523" s="6"/>
      <c r="C523" s="6"/>
      <c r="D523" s="6"/>
      <c r="E523" s="6"/>
      <c r="F523" s="6"/>
      <c r="G523" s="6"/>
      <c r="H523" s="6"/>
      <c r="I523" s="6"/>
      <c r="J523" s="6"/>
      <c r="K523" s="6"/>
      <c r="L523" s="6"/>
      <c r="M523" s="6"/>
      <c r="N523" s="6"/>
      <c r="O523" s="6"/>
    </row>
    <row r="524" spans="1:15" x14ac:dyDescent="0.25">
      <c r="A524" s="6"/>
      <c r="B524" s="6"/>
      <c r="C524" s="6"/>
      <c r="D524" s="6"/>
      <c r="E524" s="6"/>
      <c r="F524" s="6"/>
      <c r="G524" s="6"/>
      <c r="H524" s="6"/>
      <c r="I524" s="6"/>
      <c r="J524" s="6"/>
      <c r="K524" s="6"/>
      <c r="L524" s="6"/>
      <c r="M524" s="6"/>
      <c r="N524" s="6"/>
      <c r="O524" s="6"/>
    </row>
    <row r="525" spans="1:15" x14ac:dyDescent="0.25">
      <c r="A525" s="6"/>
      <c r="B525" s="6"/>
      <c r="C525" s="6"/>
      <c r="D525" s="6"/>
      <c r="E525" s="6"/>
      <c r="F525" s="6"/>
      <c r="G525" s="6"/>
      <c r="H525" s="6"/>
      <c r="I525" s="6"/>
      <c r="J525" s="6"/>
      <c r="K525" s="6"/>
      <c r="L525" s="6"/>
      <c r="M525" s="6"/>
      <c r="N525" s="6"/>
      <c r="O525" s="6"/>
    </row>
    <row r="526" spans="1:15" x14ac:dyDescent="0.25">
      <c r="A526" s="6"/>
      <c r="B526" s="6"/>
      <c r="C526" s="6"/>
      <c r="D526" s="6"/>
      <c r="E526" s="6"/>
      <c r="F526" s="6"/>
      <c r="G526" s="6"/>
      <c r="H526" s="6"/>
      <c r="I526" s="6"/>
      <c r="J526" s="6"/>
      <c r="K526" s="6"/>
      <c r="L526" s="6"/>
      <c r="M526" s="6"/>
      <c r="N526" s="6"/>
      <c r="O526" s="6"/>
    </row>
    <row r="527" spans="1:15" x14ac:dyDescent="0.25">
      <c r="A527" s="6"/>
      <c r="B527" s="6"/>
      <c r="C527" s="6"/>
      <c r="D527" s="6"/>
      <c r="E527" s="6"/>
      <c r="F527" s="6"/>
      <c r="G527" s="6"/>
      <c r="H527" s="6"/>
      <c r="I527" s="6"/>
      <c r="J527" s="6"/>
      <c r="K527" s="6"/>
      <c r="L527" s="6"/>
      <c r="M527" s="6"/>
      <c r="N527" s="6"/>
      <c r="O527" s="6"/>
    </row>
    <row r="528" spans="1:15" x14ac:dyDescent="0.25">
      <c r="A528" s="6"/>
      <c r="B528" s="6"/>
      <c r="C528" s="6"/>
      <c r="D528" s="6"/>
      <c r="E528" s="6"/>
      <c r="F528" s="6"/>
      <c r="G528" s="6"/>
      <c r="H528" s="6"/>
      <c r="I528" s="6"/>
      <c r="J528" s="6"/>
      <c r="K528" s="6"/>
      <c r="L528" s="6"/>
      <c r="M528" s="6"/>
      <c r="N528" s="6"/>
      <c r="O528" s="6"/>
    </row>
    <row r="529" spans="1:15" x14ac:dyDescent="0.25">
      <c r="A529" s="6"/>
      <c r="B529" s="6"/>
      <c r="C529" s="6"/>
      <c r="D529" s="6"/>
      <c r="E529" s="6"/>
      <c r="F529" s="6"/>
      <c r="G529" s="6"/>
      <c r="H529" s="6"/>
      <c r="I529" s="6"/>
      <c r="J529" s="6"/>
      <c r="K529" s="6"/>
      <c r="L529" s="6"/>
      <c r="M529" s="6"/>
      <c r="N529" s="6"/>
      <c r="O529" s="6"/>
    </row>
    <row r="530" spans="1:15" x14ac:dyDescent="0.25">
      <c r="A530" s="6"/>
      <c r="B530" s="6"/>
      <c r="C530" s="6"/>
      <c r="D530" s="6"/>
      <c r="E530" s="6"/>
      <c r="F530" s="6"/>
      <c r="G530" s="6"/>
      <c r="H530" s="6"/>
      <c r="I530" s="6"/>
      <c r="J530" s="6"/>
      <c r="K530" s="6"/>
      <c r="L530" s="6"/>
      <c r="M530" s="6"/>
      <c r="N530" s="6"/>
      <c r="O530" s="6"/>
    </row>
    <row r="531" spans="1:15" x14ac:dyDescent="0.25">
      <c r="A531" s="6"/>
      <c r="B531" s="6"/>
      <c r="C531" s="6"/>
      <c r="D531" s="6"/>
      <c r="E531" s="6"/>
      <c r="F531" s="6"/>
      <c r="G531" s="6"/>
      <c r="H531" s="6"/>
      <c r="I531" s="6"/>
      <c r="J531" s="6"/>
      <c r="K531" s="6"/>
      <c r="L531" s="6"/>
      <c r="M531" s="6"/>
      <c r="N531" s="6"/>
      <c r="O531" s="6"/>
    </row>
    <row r="532" spans="1:15" x14ac:dyDescent="0.25">
      <c r="A532" s="6"/>
      <c r="B532" s="6"/>
      <c r="C532" s="6"/>
      <c r="D532" s="6"/>
      <c r="E532" s="6"/>
      <c r="F532" s="6"/>
      <c r="G532" s="6"/>
      <c r="H532" s="6"/>
      <c r="I532" s="6"/>
      <c r="J532" s="6"/>
      <c r="K532" s="6"/>
      <c r="L532" s="6"/>
      <c r="M532" s="6"/>
      <c r="N532" s="6"/>
      <c r="O532" s="6"/>
    </row>
    <row r="533" spans="1:15" x14ac:dyDescent="0.25">
      <c r="A533" s="6"/>
      <c r="B533" s="6"/>
      <c r="C533" s="6"/>
      <c r="D533" s="6"/>
      <c r="E533" s="6"/>
      <c r="F533" s="6"/>
      <c r="G533" s="6"/>
      <c r="H533" s="6"/>
      <c r="I533" s="6"/>
      <c r="J533" s="6"/>
      <c r="K533" s="6"/>
      <c r="L533" s="6"/>
      <c r="M533" s="6"/>
      <c r="N533" s="6"/>
      <c r="O533" s="6"/>
    </row>
    <row r="534" spans="1:15" x14ac:dyDescent="0.25">
      <c r="A534" s="6"/>
      <c r="B534" s="6"/>
      <c r="C534" s="6"/>
      <c r="D534" s="6"/>
      <c r="E534" s="6"/>
      <c r="F534" s="6"/>
      <c r="G534" s="6"/>
      <c r="H534" s="6"/>
      <c r="I534" s="6"/>
      <c r="J534" s="6"/>
      <c r="K534" s="6"/>
      <c r="L534" s="6"/>
      <c r="M534" s="6"/>
      <c r="N534" s="6"/>
      <c r="O534" s="6"/>
    </row>
    <row r="535" spans="1:15" x14ac:dyDescent="0.25">
      <c r="A535" s="6"/>
      <c r="B535" s="6"/>
      <c r="C535" s="6"/>
      <c r="D535" s="6"/>
      <c r="E535" s="6"/>
      <c r="F535" s="6"/>
      <c r="G535" s="6"/>
      <c r="H535" s="6"/>
      <c r="I535" s="6"/>
      <c r="J535" s="6"/>
      <c r="K535" s="6"/>
      <c r="L535" s="6"/>
      <c r="M535" s="6"/>
      <c r="N535" s="6"/>
      <c r="O535" s="6"/>
    </row>
    <row r="536" spans="1:15" x14ac:dyDescent="0.25">
      <c r="A536" s="6"/>
      <c r="B536" s="6"/>
      <c r="C536" s="6"/>
      <c r="D536" s="6"/>
      <c r="E536" s="6"/>
      <c r="F536" s="6"/>
      <c r="G536" s="6"/>
      <c r="H536" s="6"/>
      <c r="I536" s="6"/>
      <c r="J536" s="6"/>
      <c r="K536" s="6"/>
      <c r="L536" s="6"/>
      <c r="M536" s="6"/>
      <c r="N536" s="6"/>
      <c r="O536" s="6"/>
    </row>
    <row r="537" spans="1:15" x14ac:dyDescent="0.25">
      <c r="A537" s="6"/>
      <c r="B537" s="6"/>
      <c r="C537" s="6"/>
      <c r="D537" s="6"/>
      <c r="E537" s="6"/>
      <c r="F537" s="6"/>
      <c r="G537" s="6"/>
      <c r="H537" s="6"/>
      <c r="I537" s="6"/>
      <c r="J537" s="6"/>
      <c r="K537" s="6"/>
      <c r="L537" s="6"/>
      <c r="M537" s="6"/>
      <c r="N537" s="6"/>
      <c r="O537" s="6"/>
    </row>
    <row r="538" spans="1:15" x14ac:dyDescent="0.25">
      <c r="A538" s="6"/>
      <c r="B538" s="6"/>
      <c r="C538" s="6"/>
      <c r="D538" s="6"/>
      <c r="E538" s="6"/>
      <c r="F538" s="6"/>
      <c r="G538" s="6"/>
      <c r="H538" s="6"/>
      <c r="I538" s="6"/>
      <c r="J538" s="6"/>
      <c r="K538" s="6"/>
      <c r="L538" s="6"/>
      <c r="M538" s="6"/>
      <c r="N538" s="6"/>
      <c r="O538" s="6"/>
    </row>
    <row r="539" spans="1:15" x14ac:dyDescent="0.25">
      <c r="A539" s="6"/>
      <c r="B539" s="6"/>
      <c r="C539" s="6"/>
      <c r="D539" s="6"/>
      <c r="E539" s="6"/>
      <c r="F539" s="6"/>
      <c r="G539" s="6"/>
      <c r="H539" s="6"/>
      <c r="I539" s="6"/>
      <c r="J539" s="6"/>
      <c r="K539" s="6"/>
      <c r="L539" s="6"/>
      <c r="M539" s="6"/>
      <c r="N539" s="6"/>
      <c r="O539" s="6"/>
    </row>
    <row r="540" spans="1:15" x14ac:dyDescent="0.25">
      <c r="A540" s="6"/>
      <c r="B540" s="6"/>
      <c r="C540" s="6"/>
      <c r="D540" s="6"/>
      <c r="E540" s="6"/>
      <c r="F540" s="6"/>
      <c r="G540" s="6"/>
      <c r="H540" s="6"/>
      <c r="I540" s="6"/>
      <c r="J540" s="6"/>
      <c r="K540" s="6"/>
      <c r="L540" s="6"/>
      <c r="M540" s="6"/>
      <c r="N540" s="6"/>
      <c r="O540" s="6"/>
    </row>
    <row r="541" spans="1:15" x14ac:dyDescent="0.25">
      <c r="A541" s="6"/>
      <c r="B541" s="6"/>
      <c r="C541" s="6"/>
      <c r="D541" s="6"/>
      <c r="E541" s="6"/>
      <c r="F541" s="6"/>
      <c r="G541" s="6"/>
      <c r="H541" s="6"/>
      <c r="I541" s="6"/>
      <c r="J541" s="6"/>
      <c r="K541" s="6"/>
      <c r="L541" s="6"/>
      <c r="M541" s="6"/>
      <c r="N541" s="6"/>
      <c r="O541" s="6"/>
    </row>
    <row r="542" spans="1:15" x14ac:dyDescent="0.25">
      <c r="A542" s="6"/>
      <c r="B542" s="6"/>
      <c r="C542" s="6"/>
      <c r="D542" s="6"/>
      <c r="E542" s="6"/>
      <c r="F542" s="6"/>
      <c r="G542" s="6"/>
      <c r="H542" s="6"/>
      <c r="I542" s="6"/>
      <c r="J542" s="6"/>
      <c r="K542" s="6"/>
      <c r="L542" s="6"/>
      <c r="M542" s="6"/>
      <c r="N542" s="6"/>
      <c r="O542" s="6"/>
    </row>
    <row r="543" spans="1:15" x14ac:dyDescent="0.25">
      <c r="A543" s="6"/>
      <c r="B543" s="6"/>
      <c r="C543" s="6"/>
      <c r="D543" s="6"/>
      <c r="E543" s="6"/>
      <c r="F543" s="6"/>
      <c r="G543" s="6"/>
      <c r="H543" s="6"/>
      <c r="I543" s="6"/>
      <c r="J543" s="6"/>
      <c r="K543" s="6"/>
      <c r="L543" s="6"/>
      <c r="M543" s="6"/>
      <c r="N543" s="6"/>
      <c r="O543" s="6"/>
    </row>
    <row r="544" spans="1:15" x14ac:dyDescent="0.25">
      <c r="A544" s="6"/>
      <c r="B544" s="6"/>
      <c r="C544" s="6"/>
      <c r="D544" s="6"/>
      <c r="E544" s="6"/>
      <c r="F544" s="6"/>
      <c r="G544" s="6"/>
      <c r="H544" s="6"/>
      <c r="I544" s="6"/>
      <c r="J544" s="6"/>
      <c r="K544" s="6"/>
      <c r="L544" s="6"/>
      <c r="M544" s="6"/>
      <c r="N544" s="6"/>
      <c r="O544" s="6"/>
    </row>
    <row r="545" spans="1:15" x14ac:dyDescent="0.25">
      <c r="A545" s="6"/>
      <c r="B545" s="6"/>
      <c r="C545" s="6"/>
      <c r="D545" s="6"/>
      <c r="E545" s="6"/>
      <c r="F545" s="6"/>
      <c r="G545" s="6"/>
      <c r="H545" s="6"/>
      <c r="I545" s="6"/>
      <c r="J545" s="6"/>
      <c r="K545" s="6"/>
      <c r="L545" s="6"/>
      <c r="M545" s="6"/>
      <c r="N545" s="6"/>
      <c r="O545" s="6"/>
    </row>
    <row r="546" spans="1:15" x14ac:dyDescent="0.25">
      <c r="A546" s="6"/>
      <c r="B546" s="6"/>
      <c r="C546" s="6"/>
      <c r="D546" s="6"/>
      <c r="E546" s="6"/>
      <c r="F546" s="6"/>
      <c r="G546" s="6"/>
      <c r="H546" s="6"/>
      <c r="I546" s="6"/>
      <c r="J546" s="6"/>
      <c r="K546" s="6"/>
      <c r="L546" s="6"/>
      <c r="M546" s="6"/>
      <c r="N546" s="6"/>
      <c r="O546" s="6"/>
    </row>
    <row r="547" spans="1:15" x14ac:dyDescent="0.25">
      <c r="A547" s="6"/>
      <c r="B547" s="6"/>
      <c r="C547" s="6"/>
      <c r="D547" s="6"/>
      <c r="E547" s="6"/>
      <c r="F547" s="6"/>
      <c r="G547" s="6"/>
      <c r="H547" s="6"/>
      <c r="I547" s="6"/>
      <c r="J547" s="6"/>
      <c r="K547" s="6"/>
      <c r="L547" s="6"/>
      <c r="M547" s="6"/>
      <c r="N547" s="6"/>
      <c r="O547" s="6"/>
    </row>
    <row r="548" spans="1:15" x14ac:dyDescent="0.25">
      <c r="A548" s="6"/>
      <c r="B548" s="6"/>
      <c r="C548" s="6"/>
      <c r="D548" s="6"/>
      <c r="E548" s="6"/>
      <c r="F548" s="6"/>
      <c r="G548" s="6"/>
      <c r="H548" s="6"/>
      <c r="I548" s="6"/>
      <c r="J548" s="6"/>
      <c r="K548" s="6"/>
      <c r="L548" s="6"/>
      <c r="M548" s="6"/>
      <c r="N548" s="6"/>
      <c r="O548" s="6"/>
    </row>
    <row r="549" spans="1:15" x14ac:dyDescent="0.25">
      <c r="A549" s="6"/>
      <c r="B549" s="6"/>
      <c r="C549" s="6"/>
      <c r="D549" s="6"/>
      <c r="E549" s="6"/>
      <c r="F549" s="6"/>
      <c r="G549" s="6"/>
      <c r="H549" s="6"/>
      <c r="I549" s="6"/>
      <c r="J549" s="6"/>
      <c r="K549" s="6"/>
      <c r="L549" s="6"/>
      <c r="M549" s="6"/>
      <c r="N549" s="6"/>
      <c r="O549" s="6"/>
    </row>
    <row r="550" spans="1:15" x14ac:dyDescent="0.25">
      <c r="A550" s="6"/>
      <c r="B550" s="6"/>
      <c r="C550" s="6"/>
      <c r="D550" s="6"/>
      <c r="E550" s="6"/>
      <c r="F550" s="6"/>
      <c r="G550" s="6"/>
      <c r="H550" s="6"/>
      <c r="I550" s="6"/>
      <c r="J550" s="6"/>
      <c r="K550" s="6"/>
      <c r="L550" s="6"/>
      <c r="M550" s="6"/>
      <c r="N550" s="6"/>
      <c r="O550" s="6"/>
    </row>
    <row r="551" spans="1:15" x14ac:dyDescent="0.25">
      <c r="A551" s="6"/>
      <c r="B551" s="6"/>
      <c r="C551" s="6"/>
      <c r="D551" s="6"/>
      <c r="E551" s="6"/>
      <c r="F551" s="6"/>
      <c r="G551" s="6"/>
      <c r="H551" s="6"/>
      <c r="I551" s="6"/>
      <c r="J551" s="6"/>
      <c r="K551" s="6"/>
      <c r="L551" s="6"/>
      <c r="M551" s="6"/>
      <c r="N551" s="6"/>
      <c r="O551" s="6"/>
    </row>
    <row r="552" spans="1:15" x14ac:dyDescent="0.25">
      <c r="A552" s="6"/>
      <c r="B552" s="6"/>
      <c r="C552" s="6"/>
      <c r="D552" s="6"/>
      <c r="E552" s="6"/>
      <c r="F552" s="6"/>
      <c r="G552" s="6"/>
      <c r="H552" s="6"/>
      <c r="I552" s="6"/>
      <c r="J552" s="6"/>
      <c r="K552" s="6"/>
      <c r="L552" s="6"/>
      <c r="M552" s="6"/>
      <c r="N552" s="6"/>
      <c r="O552" s="6"/>
    </row>
    <row r="553" spans="1:15" x14ac:dyDescent="0.25">
      <c r="A553" s="6"/>
      <c r="B553" s="6"/>
      <c r="C553" s="6"/>
      <c r="D553" s="6"/>
      <c r="E553" s="6"/>
      <c r="F553" s="6"/>
      <c r="G553" s="6"/>
      <c r="H553" s="6"/>
      <c r="I553" s="6"/>
      <c r="J553" s="6"/>
      <c r="K553" s="6"/>
      <c r="L553" s="6"/>
      <c r="M553" s="6"/>
      <c r="N553" s="6"/>
      <c r="O553" s="6"/>
    </row>
    <row r="554" spans="1:15" x14ac:dyDescent="0.25">
      <c r="A554" s="6"/>
      <c r="B554" s="6"/>
      <c r="C554" s="6"/>
      <c r="D554" s="6"/>
      <c r="E554" s="6"/>
      <c r="F554" s="6"/>
      <c r="G554" s="6"/>
      <c r="H554" s="6"/>
      <c r="I554" s="6"/>
      <c r="J554" s="6"/>
      <c r="K554" s="6"/>
      <c r="L554" s="6"/>
      <c r="M554" s="6"/>
      <c r="N554" s="6"/>
      <c r="O554" s="6"/>
    </row>
    <row r="555" spans="1:15" x14ac:dyDescent="0.25">
      <c r="A555" s="6"/>
      <c r="B555" s="6"/>
      <c r="C555" s="6"/>
      <c r="D555" s="6"/>
      <c r="E555" s="6"/>
      <c r="F555" s="6"/>
      <c r="G555" s="6"/>
      <c r="H555" s="6"/>
      <c r="I555" s="6"/>
      <c r="J555" s="6"/>
      <c r="K555" s="6"/>
      <c r="L555" s="6"/>
      <c r="M555" s="6"/>
      <c r="N555" s="6"/>
      <c r="O555" s="6"/>
    </row>
    <row r="556" spans="1:15" x14ac:dyDescent="0.25">
      <c r="A556" s="6"/>
      <c r="B556" s="6"/>
      <c r="C556" s="6"/>
      <c r="D556" s="6"/>
      <c r="E556" s="6"/>
      <c r="F556" s="6"/>
      <c r="G556" s="6"/>
      <c r="H556" s="6"/>
      <c r="I556" s="6"/>
      <c r="J556" s="6"/>
      <c r="K556" s="6"/>
      <c r="L556" s="6"/>
      <c r="M556" s="6"/>
      <c r="N556" s="6"/>
      <c r="O556" s="6"/>
    </row>
    <row r="557" spans="1:15" x14ac:dyDescent="0.25">
      <c r="A557" s="6"/>
      <c r="B557" s="6"/>
      <c r="C557" s="6"/>
      <c r="D557" s="6"/>
      <c r="E557" s="6"/>
      <c r="F557" s="6"/>
      <c r="G557" s="6"/>
      <c r="H557" s="6"/>
      <c r="I557" s="6"/>
      <c r="J557" s="6"/>
      <c r="K557" s="6"/>
      <c r="L557" s="6"/>
      <c r="M557" s="6"/>
      <c r="N557" s="6"/>
      <c r="O557" s="6"/>
    </row>
    <row r="558" spans="1:15" x14ac:dyDescent="0.25">
      <c r="A558" s="6"/>
      <c r="B558" s="6"/>
      <c r="C558" s="6"/>
      <c r="D558" s="6"/>
      <c r="E558" s="6"/>
      <c r="F558" s="6"/>
      <c r="G558" s="6"/>
      <c r="H558" s="6"/>
      <c r="I558" s="6"/>
      <c r="J558" s="6"/>
      <c r="K558" s="6"/>
      <c r="L558" s="6"/>
      <c r="M558" s="6"/>
      <c r="N558" s="6"/>
      <c r="O558" s="6"/>
    </row>
    <row r="559" spans="1:15" x14ac:dyDescent="0.25">
      <c r="A559" s="6"/>
      <c r="B559" s="6"/>
      <c r="C559" s="6"/>
      <c r="D559" s="6"/>
      <c r="E559" s="6"/>
      <c r="F559" s="6"/>
      <c r="G559" s="6"/>
      <c r="H559" s="6"/>
      <c r="I559" s="6"/>
      <c r="J559" s="6"/>
      <c r="K559" s="6"/>
      <c r="L559" s="6"/>
      <c r="M559" s="6"/>
      <c r="N559" s="6"/>
      <c r="O559" s="6"/>
    </row>
    <row r="560" spans="1:15" x14ac:dyDescent="0.25">
      <c r="A560" s="6"/>
      <c r="B560" s="6"/>
      <c r="C560" s="6"/>
      <c r="D560" s="6"/>
      <c r="E560" s="6"/>
      <c r="F560" s="6"/>
      <c r="G560" s="6"/>
      <c r="H560" s="6"/>
      <c r="I560" s="6"/>
      <c r="J560" s="6"/>
      <c r="K560" s="6"/>
      <c r="L560" s="6"/>
      <c r="M560" s="6"/>
      <c r="N560" s="6"/>
      <c r="O560" s="6"/>
    </row>
    <row r="561" spans="1:15" x14ac:dyDescent="0.25">
      <c r="A561" s="6"/>
      <c r="B561" s="6"/>
      <c r="C561" s="6"/>
      <c r="D561" s="6"/>
      <c r="E561" s="6"/>
      <c r="F561" s="6"/>
      <c r="G561" s="6"/>
      <c r="H561" s="6"/>
      <c r="I561" s="6"/>
      <c r="J561" s="6"/>
      <c r="K561" s="6"/>
      <c r="L561" s="6"/>
      <c r="M561" s="6"/>
      <c r="N561" s="6"/>
      <c r="O561" s="6"/>
    </row>
    <row r="562" spans="1:15" x14ac:dyDescent="0.25">
      <c r="A562" s="6"/>
      <c r="B562" s="6"/>
      <c r="C562" s="6"/>
      <c r="D562" s="6"/>
      <c r="E562" s="6"/>
      <c r="F562" s="6"/>
      <c r="G562" s="6"/>
      <c r="H562" s="6"/>
      <c r="I562" s="6"/>
      <c r="J562" s="6"/>
      <c r="K562" s="6"/>
      <c r="L562" s="6"/>
      <c r="M562" s="6"/>
      <c r="N562" s="6"/>
      <c r="O562" s="6"/>
    </row>
    <row r="563" spans="1:15" x14ac:dyDescent="0.25">
      <c r="A563" s="6"/>
      <c r="B563" s="6"/>
      <c r="C563" s="6"/>
      <c r="D563" s="6"/>
      <c r="E563" s="6"/>
      <c r="F563" s="6"/>
      <c r="G563" s="6"/>
      <c r="H563" s="6"/>
      <c r="I563" s="6"/>
      <c r="J563" s="6"/>
      <c r="K563" s="6"/>
      <c r="L563" s="6"/>
      <c r="M563" s="6"/>
      <c r="N563" s="6"/>
      <c r="O563" s="6"/>
    </row>
    <row r="564" spans="1:15" x14ac:dyDescent="0.25">
      <c r="A564" s="6"/>
      <c r="B564" s="6"/>
      <c r="C564" s="6"/>
      <c r="D564" s="6"/>
      <c r="E564" s="6"/>
      <c r="F564" s="6"/>
      <c r="G564" s="6"/>
      <c r="H564" s="6"/>
      <c r="I564" s="6"/>
      <c r="J564" s="6"/>
      <c r="K564" s="6"/>
      <c r="L564" s="6"/>
      <c r="M564" s="6"/>
      <c r="N564" s="6"/>
      <c r="O564" s="6"/>
    </row>
    <row r="565" spans="1:15" x14ac:dyDescent="0.25">
      <c r="A565" s="6"/>
      <c r="B565" s="6"/>
      <c r="C565" s="6"/>
      <c r="D565" s="6"/>
      <c r="E565" s="6"/>
      <c r="F565" s="6"/>
      <c r="G565" s="6"/>
      <c r="H565" s="6"/>
      <c r="I565" s="6"/>
      <c r="J565" s="6"/>
      <c r="K565" s="6"/>
      <c r="L565" s="6"/>
      <c r="M565" s="6"/>
      <c r="N565" s="6"/>
      <c r="O565" s="6"/>
    </row>
    <row r="566" spans="1:15" x14ac:dyDescent="0.25">
      <c r="A566" s="6"/>
      <c r="B566" s="6"/>
      <c r="C566" s="6"/>
      <c r="D566" s="6"/>
      <c r="E566" s="6"/>
      <c r="F566" s="6"/>
      <c r="G566" s="6"/>
      <c r="H566" s="6"/>
      <c r="I566" s="6"/>
      <c r="J566" s="6"/>
      <c r="K566" s="6"/>
      <c r="L566" s="6"/>
      <c r="M566" s="6"/>
      <c r="N566" s="6"/>
      <c r="O566" s="6"/>
    </row>
    <row r="567" spans="1:15" x14ac:dyDescent="0.25">
      <c r="A567" s="6"/>
      <c r="B567" s="6"/>
      <c r="C567" s="6"/>
      <c r="D567" s="6"/>
      <c r="E567" s="6"/>
      <c r="F567" s="6"/>
      <c r="G567" s="6"/>
      <c r="H567" s="6"/>
      <c r="I567" s="6"/>
      <c r="J567" s="6"/>
      <c r="K567" s="6"/>
      <c r="L567" s="6"/>
      <c r="M567" s="6"/>
      <c r="N567" s="6"/>
      <c r="O567" s="6"/>
    </row>
    <row r="568" spans="1:15" x14ac:dyDescent="0.25">
      <c r="A568" s="6"/>
      <c r="B568" s="6"/>
      <c r="C568" s="6"/>
      <c r="D568" s="6"/>
      <c r="E568" s="6"/>
      <c r="F568" s="6"/>
      <c r="G568" s="6"/>
      <c r="H568" s="6"/>
      <c r="I568" s="6"/>
      <c r="J568" s="6"/>
      <c r="K568" s="6"/>
      <c r="L568" s="6"/>
      <c r="M568" s="6"/>
      <c r="N568" s="6"/>
      <c r="O568" s="6"/>
    </row>
    <row r="569" spans="1:15" x14ac:dyDescent="0.25">
      <c r="A569" s="6"/>
      <c r="B569" s="6"/>
      <c r="C569" s="6"/>
      <c r="D569" s="6"/>
      <c r="E569" s="6"/>
      <c r="F569" s="6"/>
      <c r="G569" s="6"/>
      <c r="H569" s="6"/>
      <c r="I569" s="6"/>
      <c r="J569" s="6"/>
      <c r="K569" s="6"/>
      <c r="L569" s="6"/>
      <c r="M569" s="6"/>
      <c r="N569" s="6"/>
      <c r="O569" s="6"/>
    </row>
    <row r="570" spans="1:15" x14ac:dyDescent="0.25">
      <c r="A570" s="6"/>
      <c r="B570" s="6"/>
      <c r="C570" s="6"/>
      <c r="D570" s="6"/>
      <c r="E570" s="6"/>
      <c r="F570" s="6"/>
      <c r="G570" s="6"/>
      <c r="H570" s="6"/>
      <c r="I570" s="6"/>
      <c r="J570" s="6"/>
      <c r="K570" s="6"/>
      <c r="L570" s="6"/>
      <c r="M570" s="6"/>
      <c r="N570" s="6"/>
      <c r="O570" s="6"/>
    </row>
    <row r="571" spans="1:15" x14ac:dyDescent="0.25">
      <c r="A571" s="6"/>
      <c r="B571" s="6"/>
      <c r="C571" s="6"/>
      <c r="D571" s="6"/>
      <c r="E571" s="6"/>
      <c r="F571" s="6"/>
      <c r="G571" s="6"/>
      <c r="H571" s="6"/>
      <c r="I571" s="6"/>
      <c r="J571" s="6"/>
      <c r="K571" s="6"/>
      <c r="L571" s="6"/>
      <c r="M571" s="6"/>
      <c r="N571" s="6"/>
      <c r="O571" s="6"/>
    </row>
    <row r="572" spans="1:15" x14ac:dyDescent="0.25">
      <c r="A572" s="6"/>
      <c r="B572" s="6"/>
      <c r="C572" s="6"/>
      <c r="D572" s="6"/>
      <c r="E572" s="6"/>
      <c r="F572" s="6"/>
      <c r="G572" s="6"/>
      <c r="H572" s="6"/>
      <c r="I572" s="6"/>
      <c r="J572" s="6"/>
      <c r="K572" s="6"/>
      <c r="L572" s="6"/>
      <c r="M572" s="6"/>
      <c r="N572" s="6"/>
      <c r="O572" s="6"/>
    </row>
    <row r="573" spans="1:15" x14ac:dyDescent="0.25">
      <c r="A573" s="6"/>
      <c r="B573" s="6"/>
      <c r="C573" s="6"/>
      <c r="D573" s="6"/>
      <c r="E573" s="6"/>
      <c r="F573" s="6"/>
      <c r="G573" s="6"/>
      <c r="H573" s="6"/>
      <c r="I573" s="6"/>
      <c r="J573" s="6"/>
      <c r="K573" s="6"/>
      <c r="L573" s="6"/>
      <c r="M573" s="6"/>
      <c r="N573" s="6"/>
      <c r="O573" s="6"/>
    </row>
    <row r="574" spans="1:15" x14ac:dyDescent="0.25">
      <c r="A574" s="6"/>
      <c r="B574" s="6"/>
      <c r="C574" s="6"/>
      <c r="D574" s="6"/>
      <c r="E574" s="6"/>
      <c r="F574" s="6"/>
      <c r="G574" s="6"/>
      <c r="H574" s="6"/>
      <c r="I574" s="6"/>
      <c r="J574" s="6"/>
      <c r="K574" s="6"/>
      <c r="L574" s="6"/>
      <c r="M574" s="6"/>
      <c r="N574" s="6"/>
      <c r="O574" s="6"/>
    </row>
    <row r="575" spans="1:15" x14ac:dyDescent="0.25">
      <c r="A575" s="6"/>
      <c r="B575" s="6"/>
      <c r="C575" s="6"/>
      <c r="D575" s="6"/>
      <c r="E575" s="6"/>
      <c r="F575" s="6"/>
      <c r="G575" s="6"/>
      <c r="H575" s="6"/>
      <c r="I575" s="6"/>
      <c r="J575" s="6"/>
      <c r="K575" s="6"/>
      <c r="L575" s="6"/>
      <c r="M575" s="6"/>
      <c r="N575" s="6"/>
      <c r="O575" s="6"/>
    </row>
    <row r="576" spans="1:15" x14ac:dyDescent="0.25">
      <c r="A576" s="6"/>
      <c r="B576" s="6"/>
      <c r="C576" s="6"/>
      <c r="D576" s="6"/>
      <c r="E576" s="6"/>
      <c r="F576" s="6"/>
      <c r="G576" s="6"/>
      <c r="H576" s="6"/>
      <c r="I576" s="6"/>
      <c r="J576" s="6"/>
      <c r="K576" s="6"/>
      <c r="L576" s="6"/>
      <c r="M576" s="6"/>
      <c r="N576" s="6"/>
      <c r="O576" s="6"/>
    </row>
    <row r="577" spans="1:15" x14ac:dyDescent="0.25">
      <c r="A577" s="6"/>
      <c r="B577" s="6"/>
      <c r="C577" s="6"/>
      <c r="D577" s="6"/>
      <c r="E577" s="6"/>
      <c r="F577" s="6"/>
      <c r="G577" s="6"/>
      <c r="H577" s="6"/>
      <c r="I577" s="6"/>
      <c r="J577" s="6"/>
      <c r="K577" s="6"/>
      <c r="L577" s="6"/>
      <c r="M577" s="6"/>
      <c r="N577" s="6"/>
      <c r="O577" s="6"/>
    </row>
    <row r="578" spans="1:15" x14ac:dyDescent="0.25">
      <c r="A578" s="6"/>
      <c r="B578" s="6"/>
      <c r="C578" s="6"/>
      <c r="D578" s="6"/>
      <c r="E578" s="6"/>
      <c r="F578" s="6"/>
      <c r="G578" s="6"/>
      <c r="H578" s="6"/>
      <c r="I578" s="6"/>
      <c r="J578" s="6"/>
      <c r="K578" s="6"/>
      <c r="L578" s="6"/>
      <c r="M578" s="6"/>
      <c r="N578" s="6"/>
      <c r="O578" s="6"/>
    </row>
    <row r="579" spans="1:15" x14ac:dyDescent="0.25">
      <c r="A579" s="6"/>
      <c r="B579" s="6"/>
      <c r="C579" s="6"/>
      <c r="D579" s="6"/>
      <c r="E579" s="6"/>
      <c r="F579" s="6"/>
      <c r="G579" s="6"/>
      <c r="H579" s="6"/>
      <c r="I579" s="6"/>
      <c r="J579" s="6"/>
      <c r="K579" s="6"/>
      <c r="L579" s="6"/>
      <c r="M579" s="6"/>
      <c r="N579" s="6"/>
      <c r="O579" s="6"/>
    </row>
    <row r="580" spans="1:15" x14ac:dyDescent="0.25">
      <c r="A580" s="6"/>
      <c r="B580" s="6"/>
      <c r="C580" s="6"/>
      <c r="D580" s="6"/>
      <c r="E580" s="6"/>
      <c r="F580" s="6"/>
      <c r="G580" s="6"/>
      <c r="H580" s="6"/>
      <c r="I580" s="6"/>
      <c r="J580" s="6"/>
      <c r="K580" s="6"/>
      <c r="L580" s="6"/>
      <c r="M580" s="6"/>
      <c r="N580" s="6"/>
      <c r="O580" s="6"/>
    </row>
    <row r="581" spans="1:15" x14ac:dyDescent="0.25">
      <c r="A581" s="6"/>
      <c r="B581" s="6"/>
      <c r="C581" s="6"/>
      <c r="D581" s="6"/>
      <c r="E581" s="6"/>
      <c r="F581" s="6"/>
      <c r="G581" s="6"/>
      <c r="H581" s="6"/>
      <c r="I581" s="6"/>
      <c r="J581" s="6"/>
      <c r="K581" s="6"/>
      <c r="L581" s="6"/>
      <c r="M581" s="6"/>
      <c r="N581" s="6"/>
      <c r="O581" s="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324"/>
  <sheetViews>
    <sheetView workbookViewId="0"/>
  </sheetViews>
  <sheetFormatPr defaultRowHeight="15" x14ac:dyDescent="0.25"/>
  <cols>
    <col min="2" max="2" width="14.28515625" customWidth="1"/>
    <col min="3" max="3" width="29" customWidth="1"/>
    <col min="4" max="4" width="20.7109375" customWidth="1"/>
    <col min="5" max="5" width="31.42578125" customWidth="1"/>
    <col min="6" max="6" width="22.5703125" customWidth="1"/>
    <col min="7" max="7" width="35.85546875" customWidth="1"/>
    <col min="9" max="9" width="15" customWidth="1"/>
    <col min="10" max="10" width="31.7109375" customWidth="1"/>
  </cols>
  <sheetData>
    <row r="1" spans="1:17" ht="36.75" x14ac:dyDescent="0.25">
      <c r="A1" s="9" t="s">
        <v>0</v>
      </c>
      <c r="B1" s="10" t="s">
        <v>1</v>
      </c>
      <c r="C1" s="9" t="s">
        <v>2</v>
      </c>
      <c r="D1" s="9" t="s">
        <v>3</v>
      </c>
      <c r="E1" s="9" t="s">
        <v>4</v>
      </c>
      <c r="F1" s="9" t="s">
        <v>5</v>
      </c>
      <c r="G1" s="9" t="s">
        <v>6</v>
      </c>
      <c r="H1" s="9" t="s">
        <v>7</v>
      </c>
      <c r="I1" s="9" t="s">
        <v>8</v>
      </c>
      <c r="J1" s="9" t="s">
        <v>9</v>
      </c>
      <c r="K1" s="9" t="s">
        <v>10</v>
      </c>
      <c r="L1" s="9" t="s">
        <v>11</v>
      </c>
      <c r="M1" s="9" t="s">
        <v>12</v>
      </c>
      <c r="N1" s="9" t="s">
        <v>13</v>
      </c>
      <c r="O1" s="9" t="s">
        <v>14</v>
      </c>
      <c r="P1" s="9" t="s">
        <v>15</v>
      </c>
      <c r="Q1" s="28" t="s">
        <v>16</v>
      </c>
    </row>
    <row r="2" spans="1:17" ht="120" x14ac:dyDescent="0.25">
      <c r="A2" s="14"/>
      <c r="B2" s="14"/>
      <c r="C2" s="12" t="s">
        <v>94</v>
      </c>
      <c r="D2" s="13" t="s">
        <v>39</v>
      </c>
      <c r="E2" s="13" t="s">
        <v>67</v>
      </c>
      <c r="F2" s="29" t="s">
        <v>17</v>
      </c>
      <c r="G2" s="13" t="s">
        <v>599</v>
      </c>
      <c r="H2" s="14"/>
      <c r="I2" s="15"/>
      <c r="J2" s="15" t="s">
        <v>80</v>
      </c>
      <c r="K2" s="14"/>
      <c r="L2" s="14"/>
      <c r="M2" s="14"/>
      <c r="N2" s="14"/>
      <c r="O2" s="14"/>
      <c r="P2" s="14"/>
      <c r="Q2" s="11"/>
    </row>
    <row r="3" spans="1:17" ht="108" x14ac:dyDescent="0.25">
      <c r="A3" s="14"/>
      <c r="B3" s="14"/>
      <c r="C3" s="12" t="s">
        <v>94</v>
      </c>
      <c r="D3" s="15"/>
      <c r="E3" s="15"/>
      <c r="F3" s="16" t="s">
        <v>19</v>
      </c>
      <c r="G3" s="13" t="s">
        <v>600</v>
      </c>
      <c r="H3" s="14"/>
      <c r="I3" s="15"/>
      <c r="J3" s="15" t="s">
        <v>80</v>
      </c>
      <c r="K3" s="14"/>
      <c r="L3" s="14"/>
      <c r="M3" s="14"/>
      <c r="N3" s="14"/>
      <c r="O3" s="14"/>
      <c r="P3" s="14"/>
      <c r="Q3" s="11"/>
    </row>
    <row r="4" spans="1:17" ht="24" x14ac:dyDescent="0.25">
      <c r="A4" s="14"/>
      <c r="B4" s="14"/>
      <c r="C4" s="12" t="s">
        <v>94</v>
      </c>
      <c r="D4" s="15"/>
      <c r="E4" s="15"/>
      <c r="F4" s="16" t="s">
        <v>26</v>
      </c>
      <c r="G4" s="17" t="s">
        <v>18</v>
      </c>
      <c r="H4" s="15"/>
      <c r="I4" s="15"/>
      <c r="J4" s="17" t="s">
        <v>20</v>
      </c>
      <c r="K4" s="14"/>
      <c r="L4" s="14"/>
      <c r="M4" s="14"/>
      <c r="N4" s="14"/>
      <c r="O4" s="14"/>
      <c r="P4" s="14"/>
      <c r="Q4" s="11"/>
    </row>
    <row r="5" spans="1:17" ht="36" x14ac:dyDescent="0.25">
      <c r="A5" s="14"/>
      <c r="B5" s="14"/>
      <c r="C5" s="12" t="s">
        <v>94</v>
      </c>
      <c r="D5" s="15"/>
      <c r="E5" s="15"/>
      <c r="F5" s="16" t="s">
        <v>28</v>
      </c>
      <c r="G5" s="17" t="s">
        <v>21</v>
      </c>
      <c r="H5" s="15"/>
      <c r="I5" s="15"/>
      <c r="J5" s="17" t="s">
        <v>22</v>
      </c>
      <c r="K5" s="14"/>
      <c r="L5" s="14"/>
      <c r="M5" s="14"/>
      <c r="N5" s="14"/>
      <c r="O5" s="14"/>
      <c r="P5" s="14"/>
      <c r="Q5" s="11"/>
    </row>
    <row r="6" spans="1:17" ht="48" x14ac:dyDescent="0.25">
      <c r="A6" s="14"/>
      <c r="B6" s="14"/>
      <c r="C6" s="12" t="s">
        <v>94</v>
      </c>
      <c r="D6" s="15"/>
      <c r="E6" s="15"/>
      <c r="F6" s="16" t="s">
        <v>29</v>
      </c>
      <c r="G6" s="17" t="s">
        <v>23</v>
      </c>
      <c r="H6" s="15"/>
      <c r="I6" s="15"/>
      <c r="J6" s="17" t="s">
        <v>41</v>
      </c>
      <c r="K6" s="14"/>
      <c r="L6" s="14"/>
      <c r="M6" s="14"/>
      <c r="N6" s="14"/>
      <c r="O6" s="14"/>
      <c r="P6" s="14"/>
      <c r="Q6" s="11"/>
    </row>
    <row r="7" spans="1:17" ht="24" x14ac:dyDescent="0.25">
      <c r="A7" s="14"/>
      <c r="B7" s="14"/>
      <c r="C7" s="12" t="s">
        <v>94</v>
      </c>
      <c r="D7" s="15"/>
      <c r="E7" s="15"/>
      <c r="F7" s="18" t="s">
        <v>30</v>
      </c>
      <c r="G7" s="18" t="s">
        <v>43</v>
      </c>
      <c r="H7" s="18"/>
      <c r="I7" s="18"/>
      <c r="J7" s="12" t="s">
        <v>44</v>
      </c>
      <c r="K7" s="14"/>
      <c r="L7" s="14"/>
      <c r="M7" s="14"/>
      <c r="N7" s="14"/>
      <c r="O7" s="14"/>
      <c r="P7" s="14"/>
      <c r="Q7" s="11"/>
    </row>
    <row r="8" spans="1:17" ht="24" x14ac:dyDescent="0.25">
      <c r="A8" s="14"/>
      <c r="B8" s="14"/>
      <c r="C8" s="12" t="s">
        <v>94</v>
      </c>
      <c r="D8" s="15"/>
      <c r="E8" s="15"/>
      <c r="F8" s="18" t="s">
        <v>31</v>
      </c>
      <c r="G8" s="16" t="s">
        <v>25</v>
      </c>
      <c r="H8" s="16"/>
      <c r="I8" s="16"/>
      <c r="J8" s="16" t="s">
        <v>27</v>
      </c>
      <c r="K8" s="14"/>
      <c r="L8" s="14"/>
      <c r="M8" s="14"/>
      <c r="N8" s="14"/>
      <c r="O8" s="14"/>
      <c r="P8" s="14"/>
      <c r="Q8" s="11"/>
    </row>
    <row r="9" spans="1:17" ht="132" x14ac:dyDescent="0.25">
      <c r="A9" s="14"/>
      <c r="B9" s="14"/>
      <c r="C9" s="12" t="s">
        <v>94</v>
      </c>
      <c r="D9" s="15"/>
      <c r="E9" s="15"/>
      <c r="F9" s="18" t="s">
        <v>32</v>
      </c>
      <c r="G9" s="13" t="s">
        <v>572</v>
      </c>
      <c r="H9" s="14"/>
      <c r="I9" s="13" t="s">
        <v>75</v>
      </c>
      <c r="J9" s="13" t="s">
        <v>68</v>
      </c>
      <c r="K9" s="30"/>
      <c r="L9" s="14"/>
      <c r="M9" s="14"/>
      <c r="N9" s="14"/>
      <c r="O9" s="14"/>
      <c r="P9" s="14"/>
      <c r="Q9" s="11"/>
    </row>
    <row r="10" spans="1:17" ht="156" x14ac:dyDescent="0.25">
      <c r="A10" s="6"/>
      <c r="B10" s="6"/>
      <c r="C10" s="64" t="s">
        <v>259</v>
      </c>
      <c r="D10" s="13" t="s">
        <v>54</v>
      </c>
      <c r="E10" s="13" t="s">
        <v>260</v>
      </c>
      <c r="F10" s="29" t="s">
        <v>17</v>
      </c>
      <c r="G10" s="13" t="s">
        <v>601</v>
      </c>
      <c r="H10" s="14"/>
      <c r="I10" s="15"/>
      <c r="J10" s="15" t="s">
        <v>80</v>
      </c>
      <c r="K10" s="31"/>
      <c r="L10" s="6"/>
      <c r="M10" s="6"/>
      <c r="N10" s="6"/>
      <c r="O10" s="6"/>
      <c r="P10" s="6"/>
    </row>
    <row r="11" spans="1:17" ht="24" x14ac:dyDescent="0.25">
      <c r="A11" s="6"/>
      <c r="B11" s="6"/>
      <c r="C11" s="12" t="s">
        <v>259</v>
      </c>
      <c r="D11" s="15"/>
      <c r="E11" s="15"/>
      <c r="F11" s="16" t="s">
        <v>19</v>
      </c>
      <c r="G11" s="17" t="s">
        <v>18</v>
      </c>
      <c r="H11" s="15"/>
      <c r="I11" s="15"/>
      <c r="J11" s="17" t="s">
        <v>20</v>
      </c>
    </row>
    <row r="12" spans="1:17" ht="36" x14ac:dyDescent="0.25">
      <c r="A12" s="6"/>
      <c r="B12" s="6"/>
      <c r="C12" s="12" t="s">
        <v>259</v>
      </c>
      <c r="D12" s="15"/>
      <c r="E12" s="15"/>
      <c r="F12" s="16" t="s">
        <v>26</v>
      </c>
      <c r="G12" s="17" t="s">
        <v>21</v>
      </c>
      <c r="H12" s="15"/>
      <c r="I12" s="15"/>
      <c r="J12" s="17" t="s">
        <v>22</v>
      </c>
    </row>
    <row r="13" spans="1:17" ht="51" x14ac:dyDescent="0.25">
      <c r="A13" s="6"/>
      <c r="B13" s="6"/>
      <c r="C13" s="12" t="s">
        <v>259</v>
      </c>
      <c r="D13" s="15"/>
      <c r="E13" s="15"/>
      <c r="F13" s="16" t="s">
        <v>28</v>
      </c>
      <c r="G13" s="26" t="s">
        <v>23</v>
      </c>
      <c r="H13" s="24"/>
      <c r="I13" s="24"/>
      <c r="J13" s="26" t="s">
        <v>41</v>
      </c>
    </row>
    <row r="14" spans="1:17" ht="25.5" x14ac:dyDescent="0.25">
      <c r="A14" s="6"/>
      <c r="B14" s="6"/>
      <c r="C14" s="12" t="s">
        <v>259</v>
      </c>
      <c r="D14" s="15"/>
      <c r="E14" s="15"/>
      <c r="F14" s="16" t="s">
        <v>29</v>
      </c>
      <c r="G14" s="27" t="s">
        <v>76</v>
      </c>
      <c r="H14" s="27"/>
      <c r="I14" s="27"/>
      <c r="J14" s="21" t="s">
        <v>44</v>
      </c>
    </row>
    <row r="15" spans="1:17" ht="25.5" x14ac:dyDescent="0.25">
      <c r="A15" s="6"/>
      <c r="B15" s="6"/>
      <c r="C15" s="12" t="s">
        <v>259</v>
      </c>
      <c r="D15" s="15"/>
      <c r="E15" s="15"/>
      <c r="F15" s="16" t="s">
        <v>30</v>
      </c>
      <c r="G15" s="25" t="s">
        <v>25</v>
      </c>
      <c r="H15" s="25"/>
      <c r="I15" s="25"/>
      <c r="J15" s="25" t="s">
        <v>27</v>
      </c>
    </row>
    <row r="16" spans="1:17" ht="25.5" x14ac:dyDescent="0.25">
      <c r="A16" s="6"/>
      <c r="B16" s="6"/>
      <c r="C16" s="12" t="s">
        <v>259</v>
      </c>
      <c r="D16" s="15"/>
      <c r="E16" s="15"/>
      <c r="F16" s="16" t="s">
        <v>31</v>
      </c>
      <c r="G16" s="25" t="s">
        <v>45</v>
      </c>
      <c r="H16" s="25"/>
      <c r="I16" s="24"/>
      <c r="J16" s="25" t="s">
        <v>42</v>
      </c>
    </row>
    <row r="17" spans="1:10" ht="89.25" x14ac:dyDescent="0.25">
      <c r="A17" s="6"/>
      <c r="B17" s="6"/>
      <c r="C17" s="12" t="s">
        <v>259</v>
      </c>
      <c r="D17" s="6"/>
      <c r="E17" s="6"/>
      <c r="F17" s="16" t="s">
        <v>32</v>
      </c>
      <c r="G17" s="21" t="s">
        <v>602</v>
      </c>
      <c r="H17" s="27"/>
      <c r="I17" s="21" t="s">
        <v>78</v>
      </c>
      <c r="J17" s="21" t="s">
        <v>261</v>
      </c>
    </row>
    <row r="18" spans="1:10" ht="60.75" x14ac:dyDescent="0.25">
      <c r="A18" s="6"/>
      <c r="B18" s="6"/>
      <c r="C18" s="37" t="s">
        <v>537</v>
      </c>
      <c r="D18" s="37" t="s">
        <v>323</v>
      </c>
      <c r="E18" s="37" t="s">
        <v>324</v>
      </c>
      <c r="F18" s="38" t="s">
        <v>281</v>
      </c>
      <c r="G18" s="37" t="s">
        <v>325</v>
      </c>
      <c r="H18" s="39"/>
      <c r="I18" s="37" t="s">
        <v>326</v>
      </c>
      <c r="J18" s="37" t="s">
        <v>80</v>
      </c>
    </row>
    <row r="19" spans="1:10" ht="24.75" x14ac:dyDescent="0.25">
      <c r="A19" s="6"/>
      <c r="B19" s="6"/>
      <c r="C19" s="37" t="s">
        <v>537</v>
      </c>
      <c r="D19" s="39"/>
      <c r="E19" s="39"/>
      <c r="F19" s="37" t="s">
        <v>282</v>
      </c>
      <c r="G19" s="37" t="s">
        <v>265</v>
      </c>
      <c r="H19" s="39"/>
      <c r="I19" s="39"/>
      <c r="J19" s="37" t="s">
        <v>266</v>
      </c>
    </row>
    <row r="20" spans="1:10" ht="24.75" x14ac:dyDescent="0.25">
      <c r="A20" s="6"/>
      <c r="B20" s="6"/>
      <c r="C20" s="37" t="s">
        <v>537</v>
      </c>
      <c r="D20" s="39"/>
      <c r="E20" s="39"/>
      <c r="F20" s="37" t="s">
        <v>283</v>
      </c>
      <c r="G20" s="39" t="s">
        <v>267</v>
      </c>
      <c r="H20" s="39"/>
      <c r="I20" s="39"/>
      <c r="J20" s="37" t="s">
        <v>27</v>
      </c>
    </row>
    <row r="21" spans="1:10" ht="60.75" x14ac:dyDescent="0.25">
      <c r="A21" s="6"/>
      <c r="B21" s="6"/>
      <c r="C21" s="37" t="s">
        <v>537</v>
      </c>
      <c r="D21" s="39"/>
      <c r="E21" s="39"/>
      <c r="F21" s="37" t="s">
        <v>285</v>
      </c>
      <c r="G21" s="37" t="s">
        <v>327</v>
      </c>
      <c r="H21" s="39"/>
      <c r="I21" s="37" t="s">
        <v>328</v>
      </c>
      <c r="J21" s="40" t="s">
        <v>329</v>
      </c>
    </row>
    <row r="22" spans="1:10" ht="72.75" x14ac:dyDescent="0.25">
      <c r="A22" s="6"/>
      <c r="B22" s="6"/>
      <c r="C22" s="37" t="s">
        <v>537</v>
      </c>
      <c r="D22" s="39"/>
      <c r="E22" s="39"/>
      <c r="F22" s="37" t="s">
        <v>289</v>
      </c>
      <c r="G22" s="40" t="s">
        <v>330</v>
      </c>
      <c r="H22" s="39"/>
      <c r="I22" s="37" t="s">
        <v>331</v>
      </c>
      <c r="J22" s="40" t="s">
        <v>332</v>
      </c>
    </row>
    <row r="23" spans="1:10" ht="60.75" x14ac:dyDescent="0.25">
      <c r="A23" s="6"/>
      <c r="B23" s="6"/>
      <c r="C23" s="37" t="s">
        <v>538</v>
      </c>
      <c r="D23" s="37" t="s">
        <v>323</v>
      </c>
      <c r="E23" s="37" t="s">
        <v>333</v>
      </c>
      <c r="F23" s="38" t="s">
        <v>281</v>
      </c>
      <c r="G23" s="37" t="s">
        <v>334</v>
      </c>
      <c r="H23" s="39"/>
      <c r="I23" s="37" t="s">
        <v>326</v>
      </c>
      <c r="J23" s="37" t="s">
        <v>80</v>
      </c>
    </row>
    <row r="24" spans="1:10" ht="24.75" x14ac:dyDescent="0.25">
      <c r="A24" s="6"/>
      <c r="B24" s="6"/>
      <c r="C24" s="37" t="s">
        <v>538</v>
      </c>
      <c r="D24" s="39"/>
      <c r="E24" s="39"/>
      <c r="F24" s="37" t="s">
        <v>282</v>
      </c>
      <c r="G24" s="37" t="s">
        <v>265</v>
      </c>
      <c r="H24" s="39"/>
      <c r="I24" s="39"/>
      <c r="J24" s="37" t="s">
        <v>266</v>
      </c>
    </row>
    <row r="25" spans="1:10" ht="24.75" x14ac:dyDescent="0.25">
      <c r="A25" s="6"/>
      <c r="B25" s="6"/>
      <c r="C25" s="37" t="s">
        <v>538</v>
      </c>
      <c r="D25" s="39"/>
      <c r="E25" s="39"/>
      <c r="F25" s="37" t="s">
        <v>283</v>
      </c>
      <c r="G25" s="39" t="s">
        <v>267</v>
      </c>
      <c r="H25" s="39"/>
      <c r="I25" s="39"/>
      <c r="J25" s="37" t="s">
        <v>27</v>
      </c>
    </row>
    <row r="26" spans="1:10" ht="60.75" x14ac:dyDescent="0.25">
      <c r="A26" s="6"/>
      <c r="B26" s="6"/>
      <c r="C26" s="37" t="s">
        <v>538</v>
      </c>
      <c r="D26" s="39"/>
      <c r="E26" s="39"/>
      <c r="F26" s="37" t="s">
        <v>285</v>
      </c>
      <c r="G26" s="37" t="s">
        <v>335</v>
      </c>
      <c r="H26" s="39"/>
      <c r="I26" s="37" t="s">
        <v>328</v>
      </c>
      <c r="J26" s="40" t="s">
        <v>329</v>
      </c>
    </row>
    <row r="27" spans="1:10" ht="72.75" x14ac:dyDescent="0.25">
      <c r="A27" s="6"/>
      <c r="B27" s="6"/>
      <c r="C27" s="37" t="s">
        <v>538</v>
      </c>
      <c r="D27" s="39"/>
      <c r="E27" s="39"/>
      <c r="F27" s="37" t="s">
        <v>289</v>
      </c>
      <c r="G27" s="40" t="s">
        <v>336</v>
      </c>
      <c r="H27" s="39"/>
      <c r="I27" s="37" t="s">
        <v>331</v>
      </c>
      <c r="J27" s="40" t="s">
        <v>332</v>
      </c>
    </row>
    <row r="28" spans="1:10" ht="60.75" x14ac:dyDescent="0.25">
      <c r="A28" s="6"/>
      <c r="B28" s="6"/>
      <c r="C28" s="37" t="s">
        <v>539</v>
      </c>
      <c r="D28" s="37" t="s">
        <v>323</v>
      </c>
      <c r="E28" s="37" t="s">
        <v>338</v>
      </c>
      <c r="F28" s="38" t="s">
        <v>281</v>
      </c>
      <c r="G28" s="37" t="s">
        <v>265</v>
      </c>
      <c r="H28" s="39"/>
      <c r="I28" s="39"/>
      <c r="J28" s="37" t="s">
        <v>266</v>
      </c>
    </row>
    <row r="29" spans="1:10" ht="24.75" x14ac:dyDescent="0.25">
      <c r="A29" s="6"/>
      <c r="B29" s="6"/>
      <c r="C29" s="37" t="s">
        <v>539</v>
      </c>
      <c r="D29" s="39"/>
      <c r="E29" s="39"/>
      <c r="F29" s="40" t="s">
        <v>282</v>
      </c>
      <c r="G29" s="39" t="s">
        <v>267</v>
      </c>
      <c r="H29" s="39"/>
      <c r="I29" s="39"/>
      <c r="J29" s="37" t="s">
        <v>27</v>
      </c>
    </row>
    <row r="30" spans="1:10" ht="108.75" x14ac:dyDescent="0.25">
      <c r="A30" s="6"/>
      <c r="B30" s="6"/>
      <c r="C30" s="37" t="s">
        <v>539</v>
      </c>
      <c r="D30" s="39"/>
      <c r="E30" s="39"/>
      <c r="F30" s="40" t="s">
        <v>283</v>
      </c>
      <c r="G30" s="40" t="s">
        <v>339</v>
      </c>
      <c r="H30" s="39"/>
      <c r="I30" s="37" t="s">
        <v>340</v>
      </c>
      <c r="J30" s="40" t="s">
        <v>341</v>
      </c>
    </row>
    <row r="31" spans="1:10" ht="72.75" x14ac:dyDescent="0.25">
      <c r="A31" s="6"/>
      <c r="B31" s="6"/>
      <c r="C31" s="37" t="s">
        <v>540</v>
      </c>
      <c r="D31" s="37" t="s">
        <v>323</v>
      </c>
      <c r="E31" s="37" t="s">
        <v>343</v>
      </c>
      <c r="F31" s="38" t="s">
        <v>281</v>
      </c>
      <c r="G31" s="37" t="s">
        <v>265</v>
      </c>
      <c r="H31" s="39"/>
      <c r="I31" s="39"/>
      <c r="J31" s="37" t="s">
        <v>266</v>
      </c>
    </row>
    <row r="32" spans="1:10" ht="36.75" x14ac:dyDescent="0.25">
      <c r="A32" s="6"/>
      <c r="B32" s="6"/>
      <c r="C32" s="37" t="s">
        <v>540</v>
      </c>
      <c r="D32" s="39"/>
      <c r="E32" s="39"/>
      <c r="F32" s="40" t="s">
        <v>282</v>
      </c>
      <c r="G32" s="39" t="s">
        <v>267</v>
      </c>
      <c r="H32" s="39"/>
      <c r="I32" s="39"/>
      <c r="J32" s="37" t="s">
        <v>27</v>
      </c>
    </row>
    <row r="33" spans="1:10" ht="60.75" x14ac:dyDescent="0.25">
      <c r="A33" s="6"/>
      <c r="B33" s="6"/>
      <c r="C33" s="37" t="s">
        <v>540</v>
      </c>
      <c r="D33" s="39"/>
      <c r="E33" s="95"/>
      <c r="F33" s="40" t="s">
        <v>283</v>
      </c>
      <c r="G33" s="40" t="s">
        <v>344</v>
      </c>
      <c r="H33" s="39"/>
      <c r="I33" s="37" t="s">
        <v>345</v>
      </c>
      <c r="J33" s="40" t="s">
        <v>346</v>
      </c>
    </row>
    <row r="34" spans="1:10" ht="84.75" x14ac:dyDescent="0.25">
      <c r="A34" s="6"/>
      <c r="B34" s="6"/>
      <c r="C34" s="37" t="s">
        <v>540</v>
      </c>
      <c r="D34" s="39"/>
      <c r="E34" s="39"/>
      <c r="F34" s="40" t="s">
        <v>285</v>
      </c>
      <c r="G34" s="40" t="s">
        <v>347</v>
      </c>
      <c r="H34" s="39"/>
      <c r="I34" s="37" t="s">
        <v>348</v>
      </c>
      <c r="J34" s="40" t="s">
        <v>349</v>
      </c>
    </row>
    <row r="35" spans="1:10" ht="72.75" x14ac:dyDescent="0.25">
      <c r="A35" s="6"/>
      <c r="B35" s="6"/>
      <c r="C35" s="43" t="s">
        <v>541</v>
      </c>
      <c r="D35" s="43" t="s">
        <v>317</v>
      </c>
      <c r="E35" s="43" t="s">
        <v>318</v>
      </c>
      <c r="F35" s="44" t="s">
        <v>281</v>
      </c>
      <c r="G35" s="43" t="s">
        <v>265</v>
      </c>
      <c r="H35" s="14"/>
      <c r="I35" s="14"/>
      <c r="J35" s="43" t="s">
        <v>266</v>
      </c>
    </row>
    <row r="36" spans="1:10" ht="36.75" x14ac:dyDescent="0.25">
      <c r="A36" s="6"/>
      <c r="B36" s="6"/>
      <c r="C36" s="43" t="s">
        <v>541</v>
      </c>
      <c r="D36" s="14"/>
      <c r="E36" s="14"/>
      <c r="F36" s="45" t="s">
        <v>282</v>
      </c>
      <c r="G36" s="43" t="s">
        <v>267</v>
      </c>
      <c r="H36" s="14"/>
      <c r="I36" s="14"/>
      <c r="J36" s="43" t="s">
        <v>27</v>
      </c>
    </row>
    <row r="37" spans="1:10" ht="36.75" x14ac:dyDescent="0.25">
      <c r="A37" s="6"/>
      <c r="B37" s="6"/>
      <c r="C37" s="43" t="s">
        <v>541</v>
      </c>
      <c r="D37" s="14"/>
      <c r="E37" s="14"/>
      <c r="F37" s="45" t="s">
        <v>283</v>
      </c>
      <c r="G37" s="45" t="s">
        <v>268</v>
      </c>
      <c r="H37" s="14"/>
      <c r="I37" s="43" t="s">
        <v>269</v>
      </c>
      <c r="J37" s="45" t="s">
        <v>270</v>
      </c>
    </row>
    <row r="38" spans="1:10" ht="72.75" x14ac:dyDescent="0.25">
      <c r="A38" s="6"/>
      <c r="B38" s="6"/>
      <c r="C38" s="43" t="s">
        <v>541</v>
      </c>
      <c r="D38" s="14"/>
      <c r="E38" s="14"/>
      <c r="F38" s="45" t="s">
        <v>285</v>
      </c>
      <c r="G38" s="45" t="s">
        <v>319</v>
      </c>
      <c r="H38" s="14"/>
      <c r="I38" s="45" t="s">
        <v>320</v>
      </c>
      <c r="J38" s="45" t="s">
        <v>321</v>
      </c>
    </row>
    <row r="39" spans="1:10" ht="36.75" x14ac:dyDescent="0.25">
      <c r="A39" s="6"/>
      <c r="B39" s="6"/>
      <c r="C39" s="43" t="s">
        <v>541</v>
      </c>
      <c r="D39" s="46"/>
      <c r="E39" s="46"/>
      <c r="F39" s="45" t="s">
        <v>289</v>
      </c>
      <c r="G39" s="45" t="s">
        <v>322</v>
      </c>
      <c r="H39" s="46"/>
      <c r="I39" s="46"/>
      <c r="J39" s="45" t="s">
        <v>46</v>
      </c>
    </row>
    <row r="40" spans="1:10" ht="96.75" x14ac:dyDescent="0.25">
      <c r="A40" s="6"/>
      <c r="B40" s="6"/>
      <c r="C40" s="43" t="s">
        <v>541</v>
      </c>
      <c r="D40" s="14"/>
      <c r="E40" s="14"/>
      <c r="F40" s="45" t="s">
        <v>293</v>
      </c>
      <c r="G40" s="45" t="s">
        <v>47</v>
      </c>
      <c r="H40" s="14"/>
      <c r="I40" s="43" t="s">
        <v>79</v>
      </c>
      <c r="J40" s="45" t="s">
        <v>48</v>
      </c>
    </row>
    <row r="41" spans="1:10" x14ac:dyDescent="0.25">
      <c r="A41" s="6"/>
      <c r="B41" s="6"/>
      <c r="C41" s="6"/>
      <c r="D41" s="6"/>
      <c r="E41" s="6"/>
      <c r="F41" s="6"/>
      <c r="G41" s="6"/>
      <c r="H41" s="6"/>
      <c r="I41" s="6"/>
      <c r="J41" s="6"/>
    </row>
    <row r="42" spans="1:10" x14ac:dyDescent="0.25">
      <c r="A42" s="6"/>
      <c r="B42" s="6"/>
      <c r="C42" s="6"/>
      <c r="D42" s="6"/>
      <c r="E42" s="6"/>
      <c r="F42" s="6"/>
      <c r="G42" s="6"/>
      <c r="H42" s="6"/>
      <c r="I42" s="6"/>
      <c r="J42" s="6"/>
    </row>
    <row r="43" spans="1:10" x14ac:dyDescent="0.25">
      <c r="A43" s="6"/>
      <c r="B43" s="6"/>
      <c r="C43" s="6"/>
      <c r="D43" s="6"/>
      <c r="E43" s="6"/>
      <c r="F43" s="6"/>
      <c r="G43" s="6"/>
      <c r="H43" s="6"/>
      <c r="I43" s="6"/>
      <c r="J43" s="6"/>
    </row>
    <row r="44" spans="1:10" x14ac:dyDescent="0.25">
      <c r="A44" s="6"/>
      <c r="B44" s="6"/>
      <c r="C44" s="6"/>
      <c r="D44" s="6"/>
      <c r="E44" s="6"/>
      <c r="F44" s="6"/>
      <c r="G44" s="6"/>
      <c r="H44" s="6"/>
      <c r="I44" s="6"/>
      <c r="J44" s="6"/>
    </row>
    <row r="45" spans="1:10" x14ac:dyDescent="0.25">
      <c r="A45" s="6"/>
      <c r="B45" s="6"/>
      <c r="C45" s="6"/>
      <c r="D45" s="6"/>
      <c r="E45" s="6"/>
      <c r="F45" s="6"/>
      <c r="G45" s="6"/>
      <c r="H45" s="6"/>
      <c r="I45" s="6"/>
      <c r="J45" s="6"/>
    </row>
    <row r="46" spans="1:10" x14ac:dyDescent="0.25">
      <c r="A46" s="6"/>
      <c r="B46" s="6"/>
      <c r="C46" s="6"/>
      <c r="D46" s="6"/>
      <c r="E46" s="6"/>
      <c r="F46" s="6"/>
      <c r="G46" s="6"/>
      <c r="H46" s="6"/>
      <c r="I46" s="6"/>
      <c r="J46" s="6"/>
    </row>
    <row r="47" spans="1:10" x14ac:dyDescent="0.25">
      <c r="A47" s="6"/>
      <c r="B47" s="6"/>
      <c r="C47" s="6"/>
      <c r="D47" s="6"/>
      <c r="E47" s="6"/>
      <c r="F47" s="6"/>
      <c r="G47" s="6"/>
      <c r="H47" s="6"/>
      <c r="I47" s="6"/>
      <c r="J47" s="6"/>
    </row>
    <row r="48" spans="1:10" x14ac:dyDescent="0.25">
      <c r="A48" s="6"/>
      <c r="B48" s="6"/>
      <c r="C48" s="6"/>
      <c r="D48" s="6"/>
      <c r="E48" s="6"/>
      <c r="F48" s="6"/>
      <c r="G48" s="6"/>
      <c r="H48" s="6"/>
      <c r="I48" s="6"/>
      <c r="J48" s="6"/>
    </row>
    <row r="49" spans="1:10" x14ac:dyDescent="0.25">
      <c r="A49" s="6"/>
      <c r="B49" s="6"/>
      <c r="C49" s="6"/>
      <c r="D49" s="6"/>
      <c r="E49" s="6"/>
      <c r="F49" s="6"/>
      <c r="G49" s="6"/>
      <c r="H49" s="6"/>
      <c r="I49" s="6"/>
      <c r="J49" s="6"/>
    </row>
    <row r="50" spans="1:10" x14ac:dyDescent="0.25">
      <c r="A50" s="6"/>
      <c r="B50" s="6"/>
      <c r="C50" s="6"/>
      <c r="D50" s="6"/>
      <c r="E50" s="6"/>
      <c r="F50" s="6"/>
      <c r="G50" s="6"/>
      <c r="H50" s="6"/>
      <c r="I50" s="6"/>
      <c r="J50" s="6"/>
    </row>
    <row r="51" spans="1:10" x14ac:dyDescent="0.25">
      <c r="A51" s="6"/>
      <c r="B51" s="6"/>
      <c r="C51" s="6"/>
      <c r="D51" s="6"/>
      <c r="E51" s="6"/>
      <c r="F51" s="6"/>
      <c r="G51" s="6"/>
      <c r="H51" s="6"/>
      <c r="I51" s="6"/>
      <c r="J51" s="6"/>
    </row>
    <row r="52" spans="1:10" x14ac:dyDescent="0.25">
      <c r="A52" s="6"/>
      <c r="B52" s="6"/>
      <c r="C52" s="6"/>
      <c r="D52" s="6"/>
      <c r="E52" s="6"/>
      <c r="F52" s="6"/>
      <c r="G52" s="6"/>
      <c r="H52" s="6"/>
      <c r="I52" s="6"/>
      <c r="J52" s="6"/>
    </row>
    <row r="53" spans="1:10" x14ac:dyDescent="0.25">
      <c r="A53" s="6"/>
      <c r="B53" s="6"/>
      <c r="C53" s="6"/>
      <c r="D53" s="6"/>
      <c r="E53" s="6"/>
      <c r="F53" s="6"/>
      <c r="G53" s="6"/>
      <c r="H53" s="6"/>
      <c r="I53" s="6"/>
      <c r="J53" s="6"/>
    </row>
    <row r="54" spans="1:10" x14ac:dyDescent="0.25">
      <c r="A54" s="6"/>
      <c r="B54" s="6"/>
      <c r="C54" s="6"/>
      <c r="D54" s="6"/>
      <c r="E54" s="6"/>
      <c r="F54" s="6"/>
      <c r="G54" s="6"/>
      <c r="H54" s="6"/>
      <c r="I54" s="6"/>
      <c r="J54" s="6"/>
    </row>
    <row r="55" spans="1:10" x14ac:dyDescent="0.25">
      <c r="A55" s="6"/>
      <c r="B55" s="6"/>
      <c r="C55" s="6"/>
      <c r="D55" s="6"/>
      <c r="E55" s="6"/>
      <c r="F55" s="6"/>
      <c r="G55" s="6"/>
      <c r="H55" s="6"/>
      <c r="I55" s="6"/>
      <c r="J55" s="6"/>
    </row>
    <row r="56" spans="1:10" x14ac:dyDescent="0.25">
      <c r="A56" s="6"/>
      <c r="B56" s="6"/>
      <c r="C56" s="6"/>
      <c r="D56" s="6"/>
      <c r="E56" s="6"/>
      <c r="F56" s="6"/>
      <c r="G56" s="6"/>
      <c r="H56" s="6"/>
      <c r="I56" s="6"/>
      <c r="J56" s="6"/>
    </row>
    <row r="57" spans="1:10" x14ac:dyDescent="0.25">
      <c r="A57" s="6"/>
      <c r="B57" s="6"/>
      <c r="C57" s="6"/>
      <c r="D57" s="6"/>
      <c r="E57" s="6"/>
      <c r="F57" s="6"/>
      <c r="G57" s="6"/>
      <c r="H57" s="6"/>
      <c r="I57" s="6"/>
      <c r="J57" s="6"/>
    </row>
    <row r="58" spans="1:10" x14ac:dyDescent="0.25">
      <c r="A58" s="6"/>
      <c r="B58" s="6"/>
      <c r="C58" s="6"/>
      <c r="D58" s="6"/>
      <c r="E58" s="6"/>
      <c r="F58" s="6"/>
      <c r="G58" s="6"/>
      <c r="H58" s="6"/>
      <c r="I58" s="6"/>
      <c r="J58" s="6"/>
    </row>
    <row r="59" spans="1:10" x14ac:dyDescent="0.25">
      <c r="A59" s="6"/>
      <c r="B59" s="6"/>
      <c r="C59" s="6"/>
      <c r="D59" s="6"/>
      <c r="E59" s="6"/>
      <c r="F59" s="6"/>
      <c r="G59" s="6"/>
      <c r="H59" s="6"/>
      <c r="I59" s="6"/>
      <c r="J59" s="6"/>
    </row>
    <row r="60" spans="1:10" x14ac:dyDescent="0.25">
      <c r="A60" s="6"/>
      <c r="B60" s="6"/>
      <c r="C60" s="6"/>
      <c r="D60" s="6"/>
      <c r="E60" s="6"/>
      <c r="F60" s="6"/>
      <c r="G60" s="6"/>
      <c r="H60" s="6"/>
      <c r="I60" s="6"/>
      <c r="J60" s="6"/>
    </row>
    <row r="61" spans="1:10" x14ac:dyDescent="0.25">
      <c r="A61" s="6"/>
      <c r="B61" s="6"/>
      <c r="C61" s="6"/>
      <c r="D61" s="6"/>
      <c r="E61" s="6"/>
      <c r="F61" s="6"/>
      <c r="G61" s="6"/>
      <c r="H61" s="6"/>
      <c r="I61" s="6"/>
      <c r="J61" s="6"/>
    </row>
    <row r="62" spans="1:10" x14ac:dyDescent="0.25">
      <c r="A62" s="6"/>
      <c r="B62" s="6"/>
      <c r="C62" s="6"/>
      <c r="D62" s="6"/>
      <c r="E62" s="6"/>
      <c r="F62" s="6"/>
      <c r="G62" s="6"/>
      <c r="H62" s="6"/>
      <c r="I62" s="6"/>
      <c r="J62" s="6"/>
    </row>
    <row r="63" spans="1:10" x14ac:dyDescent="0.25">
      <c r="A63" s="6"/>
      <c r="B63" s="6"/>
      <c r="C63" s="6"/>
      <c r="D63" s="6"/>
      <c r="E63" s="6"/>
      <c r="F63" s="6"/>
      <c r="G63" s="6"/>
      <c r="H63" s="6"/>
      <c r="I63" s="6"/>
      <c r="J63" s="6"/>
    </row>
    <row r="64" spans="1:10" x14ac:dyDescent="0.25">
      <c r="A64" s="6"/>
      <c r="B64" s="6"/>
      <c r="C64" s="6"/>
      <c r="D64" s="6"/>
      <c r="E64" s="6"/>
      <c r="F64" s="6"/>
      <c r="G64" s="6"/>
      <c r="H64" s="6"/>
      <c r="I64" s="6"/>
      <c r="J64" s="6"/>
    </row>
    <row r="65" spans="1:10" x14ac:dyDescent="0.25">
      <c r="A65" s="6"/>
      <c r="B65" s="6"/>
      <c r="C65" s="6"/>
      <c r="D65" s="6"/>
      <c r="E65" s="6"/>
      <c r="F65" s="6"/>
      <c r="G65" s="6"/>
      <c r="H65" s="6"/>
      <c r="I65" s="6"/>
      <c r="J65" s="6"/>
    </row>
    <row r="66" spans="1:10" x14ac:dyDescent="0.25">
      <c r="A66" s="6"/>
      <c r="B66" s="6"/>
      <c r="C66" s="6"/>
      <c r="D66" s="6"/>
      <c r="E66" s="6"/>
      <c r="F66" s="6"/>
      <c r="G66" s="6"/>
      <c r="H66" s="6"/>
      <c r="I66" s="6"/>
      <c r="J66" s="6"/>
    </row>
    <row r="67" spans="1:10" x14ac:dyDescent="0.25">
      <c r="A67" s="6"/>
      <c r="B67" s="6"/>
      <c r="C67" s="6"/>
      <c r="D67" s="6"/>
      <c r="E67" s="6"/>
      <c r="F67" s="6"/>
      <c r="G67" s="6"/>
      <c r="H67" s="6"/>
      <c r="I67" s="6"/>
      <c r="J67" s="6"/>
    </row>
    <row r="68" spans="1:10" x14ac:dyDescent="0.25">
      <c r="A68" s="6"/>
      <c r="B68" s="6"/>
      <c r="C68" s="6"/>
      <c r="D68" s="6"/>
      <c r="E68" s="6"/>
      <c r="F68" s="6"/>
      <c r="G68" s="6"/>
      <c r="H68" s="6"/>
      <c r="I68" s="6"/>
      <c r="J68" s="6"/>
    </row>
    <row r="69" spans="1:10" x14ac:dyDescent="0.25">
      <c r="A69" s="6"/>
      <c r="B69" s="6"/>
      <c r="C69" s="6"/>
      <c r="D69" s="6"/>
      <c r="E69" s="6"/>
      <c r="F69" s="6"/>
      <c r="G69" s="6"/>
      <c r="H69" s="6"/>
      <c r="I69" s="6"/>
      <c r="J69" s="6"/>
    </row>
    <row r="70" spans="1:10" x14ac:dyDescent="0.25">
      <c r="A70" s="6"/>
      <c r="B70" s="6"/>
      <c r="C70" s="6"/>
      <c r="D70" s="6"/>
      <c r="E70" s="6"/>
      <c r="F70" s="6"/>
      <c r="G70" s="6"/>
      <c r="H70" s="6"/>
      <c r="I70" s="6"/>
      <c r="J70" s="6"/>
    </row>
    <row r="71" spans="1:10" x14ac:dyDescent="0.25">
      <c r="A71" s="6"/>
      <c r="B71" s="6"/>
      <c r="C71" s="6"/>
      <c r="D71" s="6"/>
      <c r="E71" s="6"/>
      <c r="F71" s="6"/>
      <c r="G71" s="6"/>
      <c r="H71" s="6"/>
      <c r="I71" s="6"/>
      <c r="J71" s="6"/>
    </row>
    <row r="72" spans="1:10" x14ac:dyDescent="0.25">
      <c r="A72" s="6"/>
      <c r="B72" s="6"/>
      <c r="C72" s="6"/>
      <c r="D72" s="6"/>
      <c r="E72" s="6"/>
      <c r="F72" s="6"/>
      <c r="G72" s="6"/>
      <c r="H72" s="6"/>
      <c r="I72" s="6"/>
      <c r="J72" s="6"/>
    </row>
    <row r="73" spans="1:10" x14ac:dyDescent="0.25">
      <c r="A73" s="6"/>
      <c r="B73" s="6"/>
      <c r="C73" s="6"/>
      <c r="D73" s="6"/>
      <c r="E73" s="6"/>
      <c r="F73" s="6"/>
      <c r="G73" s="6"/>
      <c r="H73" s="6"/>
      <c r="I73" s="6"/>
      <c r="J73" s="6"/>
    </row>
    <row r="74" spans="1:10" x14ac:dyDescent="0.25">
      <c r="A74" s="6"/>
      <c r="B74" s="6"/>
      <c r="C74" s="6"/>
      <c r="D74" s="6"/>
      <c r="E74" s="6"/>
      <c r="F74" s="6"/>
      <c r="G74" s="6"/>
      <c r="H74" s="6"/>
      <c r="I74" s="6"/>
      <c r="J74" s="6"/>
    </row>
    <row r="75" spans="1:10" x14ac:dyDescent="0.25">
      <c r="A75" s="6"/>
      <c r="B75" s="6"/>
      <c r="C75" s="6"/>
      <c r="D75" s="6"/>
      <c r="E75" s="6"/>
      <c r="F75" s="6"/>
      <c r="G75" s="6"/>
      <c r="H75" s="6"/>
      <c r="I75" s="6"/>
      <c r="J75" s="6"/>
    </row>
    <row r="76" spans="1:10" x14ac:dyDescent="0.25">
      <c r="A76" s="6"/>
      <c r="B76" s="6"/>
      <c r="C76" s="6"/>
      <c r="D76" s="6"/>
      <c r="E76" s="6"/>
      <c r="F76" s="6"/>
      <c r="G76" s="6"/>
      <c r="H76" s="6"/>
      <c r="I76" s="6"/>
      <c r="J76" s="6"/>
    </row>
    <row r="77" spans="1:10" x14ac:dyDescent="0.25">
      <c r="A77" s="6"/>
      <c r="B77" s="6"/>
      <c r="C77" s="6"/>
      <c r="D77" s="6"/>
      <c r="E77" s="6"/>
      <c r="F77" s="6"/>
      <c r="G77" s="6"/>
      <c r="H77" s="6"/>
      <c r="I77" s="6"/>
      <c r="J77" s="6"/>
    </row>
    <row r="78" spans="1:10" x14ac:dyDescent="0.25">
      <c r="A78" s="6"/>
      <c r="B78" s="6"/>
      <c r="C78" s="6"/>
      <c r="D78" s="6"/>
      <c r="E78" s="6"/>
      <c r="F78" s="6"/>
      <c r="G78" s="6"/>
      <c r="H78" s="6"/>
      <c r="I78" s="6"/>
      <c r="J78" s="6"/>
    </row>
    <row r="79" spans="1:10" x14ac:dyDescent="0.25">
      <c r="A79" s="6"/>
      <c r="B79" s="6"/>
      <c r="C79" s="6"/>
      <c r="D79" s="6"/>
      <c r="E79" s="6"/>
      <c r="F79" s="6"/>
      <c r="G79" s="6"/>
      <c r="H79" s="6"/>
      <c r="I79" s="6"/>
      <c r="J79" s="6"/>
    </row>
    <row r="80" spans="1:10" x14ac:dyDescent="0.25">
      <c r="A80" s="6"/>
      <c r="B80" s="6"/>
      <c r="C80" s="6"/>
      <c r="D80" s="6"/>
      <c r="E80" s="6"/>
      <c r="F80" s="6"/>
      <c r="G80" s="6"/>
      <c r="H80" s="6"/>
      <c r="I80" s="6"/>
      <c r="J80" s="6"/>
    </row>
    <row r="81" spans="1:10" x14ac:dyDescent="0.25">
      <c r="A81" s="6"/>
      <c r="B81" s="6"/>
      <c r="C81" s="6"/>
      <c r="D81" s="6"/>
      <c r="E81" s="6"/>
      <c r="F81" s="6"/>
      <c r="G81" s="6"/>
      <c r="H81" s="6"/>
      <c r="I81" s="6"/>
      <c r="J81" s="6"/>
    </row>
    <row r="82" spans="1:10" x14ac:dyDescent="0.25">
      <c r="A82" s="6"/>
      <c r="B82" s="6"/>
      <c r="C82" s="6"/>
      <c r="D82" s="6"/>
      <c r="E82" s="6"/>
      <c r="F82" s="6"/>
      <c r="G82" s="6"/>
      <c r="H82" s="6"/>
      <c r="I82" s="6"/>
      <c r="J82" s="6"/>
    </row>
    <row r="83" spans="1:10" x14ac:dyDescent="0.25">
      <c r="A83" s="6"/>
      <c r="B83" s="6"/>
      <c r="C83" s="6"/>
      <c r="D83" s="6"/>
      <c r="E83" s="6"/>
      <c r="F83" s="6"/>
      <c r="G83" s="6"/>
      <c r="H83" s="6"/>
      <c r="I83" s="6"/>
      <c r="J83" s="6"/>
    </row>
    <row r="84" spans="1:10" x14ac:dyDescent="0.25">
      <c r="A84" s="6"/>
      <c r="B84" s="6"/>
      <c r="C84" s="6"/>
      <c r="D84" s="6"/>
      <c r="E84" s="6"/>
      <c r="F84" s="6"/>
      <c r="G84" s="6"/>
      <c r="H84" s="6"/>
      <c r="I84" s="6"/>
      <c r="J84" s="6"/>
    </row>
    <row r="85" spans="1:10" x14ac:dyDescent="0.25">
      <c r="A85" s="6"/>
      <c r="B85" s="6"/>
      <c r="C85" s="6"/>
      <c r="D85" s="6"/>
      <c r="E85" s="6"/>
      <c r="F85" s="6"/>
      <c r="G85" s="6"/>
      <c r="H85" s="6"/>
      <c r="I85" s="6"/>
      <c r="J85" s="6"/>
    </row>
    <row r="86" spans="1:10" x14ac:dyDescent="0.25">
      <c r="A86" s="6"/>
      <c r="B86" s="6"/>
      <c r="C86" s="6"/>
      <c r="D86" s="6"/>
      <c r="E86" s="6"/>
      <c r="F86" s="6"/>
      <c r="G86" s="6"/>
      <c r="H86" s="6"/>
      <c r="I86" s="6"/>
      <c r="J86" s="6"/>
    </row>
    <row r="87" spans="1:10" x14ac:dyDescent="0.25">
      <c r="A87" s="6"/>
      <c r="B87" s="6"/>
      <c r="C87" s="6"/>
      <c r="D87" s="6"/>
      <c r="E87" s="6"/>
      <c r="F87" s="6"/>
      <c r="G87" s="6"/>
      <c r="H87" s="6"/>
      <c r="I87" s="6"/>
      <c r="J87" s="6"/>
    </row>
    <row r="88" spans="1:10" x14ac:dyDescent="0.25">
      <c r="A88" s="6"/>
      <c r="B88" s="6"/>
      <c r="C88" s="6"/>
      <c r="D88" s="6"/>
      <c r="E88" s="6"/>
      <c r="F88" s="6"/>
      <c r="G88" s="6"/>
      <c r="H88" s="6"/>
      <c r="I88" s="6"/>
      <c r="J88" s="6"/>
    </row>
    <row r="89" spans="1:10" x14ac:dyDescent="0.25">
      <c r="A89" s="6"/>
      <c r="B89" s="6"/>
      <c r="C89" s="6"/>
      <c r="D89" s="6"/>
      <c r="E89" s="6"/>
      <c r="F89" s="6"/>
      <c r="G89" s="6"/>
      <c r="H89" s="6"/>
      <c r="I89" s="6"/>
      <c r="J89" s="6"/>
    </row>
    <row r="90" spans="1:10" x14ac:dyDescent="0.25">
      <c r="A90" s="6"/>
      <c r="B90" s="6"/>
      <c r="C90" s="6"/>
      <c r="D90" s="6"/>
      <c r="E90" s="6"/>
      <c r="F90" s="6"/>
      <c r="G90" s="6"/>
      <c r="H90" s="6"/>
      <c r="I90" s="6"/>
      <c r="J90" s="6"/>
    </row>
    <row r="91" spans="1:10" x14ac:dyDescent="0.25">
      <c r="A91" s="6"/>
      <c r="B91" s="6"/>
      <c r="C91" s="6"/>
      <c r="D91" s="6"/>
      <c r="E91" s="6"/>
      <c r="F91" s="6"/>
      <c r="G91" s="6"/>
      <c r="H91" s="6"/>
      <c r="I91" s="6"/>
      <c r="J91" s="6"/>
    </row>
    <row r="92" spans="1:10" x14ac:dyDescent="0.25">
      <c r="A92" s="6"/>
      <c r="B92" s="6"/>
      <c r="C92" s="6"/>
      <c r="D92" s="6"/>
      <c r="E92" s="6"/>
      <c r="F92" s="6"/>
      <c r="G92" s="6"/>
      <c r="H92" s="6"/>
      <c r="I92" s="6"/>
      <c r="J92" s="6"/>
    </row>
    <row r="93" spans="1:10" x14ac:dyDescent="0.25">
      <c r="A93" s="6"/>
      <c r="B93" s="6"/>
      <c r="C93" s="6"/>
      <c r="D93" s="6"/>
      <c r="E93" s="6"/>
      <c r="F93" s="6"/>
      <c r="G93" s="6"/>
      <c r="H93" s="6"/>
      <c r="I93" s="6"/>
      <c r="J93" s="6"/>
    </row>
    <row r="94" spans="1:10" x14ac:dyDescent="0.25">
      <c r="A94" s="6"/>
      <c r="B94" s="6"/>
      <c r="C94" s="6"/>
      <c r="D94" s="6"/>
      <c r="E94" s="6"/>
      <c r="F94" s="6"/>
      <c r="G94" s="6"/>
      <c r="H94" s="6"/>
      <c r="I94" s="6"/>
      <c r="J94" s="6"/>
    </row>
    <row r="95" spans="1:10" x14ac:dyDescent="0.25">
      <c r="A95" s="6"/>
      <c r="B95" s="6"/>
      <c r="C95" s="6"/>
      <c r="D95" s="6"/>
      <c r="E95" s="6"/>
      <c r="F95" s="6"/>
      <c r="G95" s="6"/>
      <c r="H95" s="6"/>
      <c r="I95" s="6"/>
      <c r="J95" s="6"/>
    </row>
    <row r="96" spans="1:10" x14ac:dyDescent="0.25">
      <c r="A96" s="6"/>
      <c r="B96" s="6"/>
      <c r="C96" s="6"/>
      <c r="D96" s="6"/>
      <c r="E96" s="6"/>
      <c r="F96" s="6"/>
      <c r="G96" s="6"/>
      <c r="H96" s="6"/>
      <c r="I96" s="6"/>
      <c r="J96" s="6"/>
    </row>
    <row r="97" spans="1:10" x14ac:dyDescent="0.25">
      <c r="A97" s="6"/>
      <c r="B97" s="6"/>
      <c r="C97" s="6"/>
      <c r="D97" s="6"/>
      <c r="E97" s="6"/>
      <c r="F97" s="6"/>
      <c r="G97" s="6"/>
      <c r="H97" s="6"/>
      <c r="I97" s="6"/>
      <c r="J97" s="6"/>
    </row>
    <row r="98" spans="1:10" x14ac:dyDescent="0.25">
      <c r="A98" s="6"/>
      <c r="B98" s="6"/>
      <c r="C98" s="6"/>
      <c r="D98" s="6"/>
      <c r="E98" s="6"/>
      <c r="F98" s="6"/>
      <c r="G98" s="6"/>
      <c r="H98" s="6"/>
      <c r="I98" s="6"/>
      <c r="J98" s="6"/>
    </row>
    <row r="99" spans="1:10" x14ac:dyDescent="0.25">
      <c r="A99" s="6"/>
      <c r="B99" s="6"/>
      <c r="C99" s="6"/>
      <c r="D99" s="6"/>
      <c r="E99" s="6"/>
      <c r="F99" s="6"/>
      <c r="G99" s="6"/>
      <c r="H99" s="6"/>
      <c r="I99" s="6"/>
      <c r="J99" s="6"/>
    </row>
    <row r="100" spans="1:10" x14ac:dyDescent="0.25">
      <c r="A100" s="6"/>
      <c r="B100" s="6"/>
      <c r="C100" s="6"/>
      <c r="D100" s="6"/>
      <c r="E100" s="6"/>
      <c r="F100" s="6"/>
      <c r="G100" s="6"/>
      <c r="H100" s="6"/>
      <c r="I100" s="6"/>
      <c r="J100" s="6"/>
    </row>
    <row r="101" spans="1:10" x14ac:dyDescent="0.25">
      <c r="A101" s="6"/>
      <c r="B101" s="6"/>
      <c r="C101" s="6"/>
      <c r="D101" s="6"/>
      <c r="E101" s="6"/>
      <c r="F101" s="6"/>
      <c r="G101" s="6"/>
      <c r="H101" s="6"/>
      <c r="I101" s="6"/>
      <c r="J101" s="6"/>
    </row>
    <row r="102" spans="1:10" x14ac:dyDescent="0.25">
      <c r="A102" s="6"/>
      <c r="B102" s="6"/>
      <c r="C102" s="6"/>
      <c r="D102" s="6"/>
      <c r="E102" s="6"/>
      <c r="F102" s="6"/>
      <c r="G102" s="6"/>
      <c r="H102" s="6"/>
      <c r="I102" s="6"/>
      <c r="J102" s="6"/>
    </row>
    <row r="103" spans="1:10" x14ac:dyDescent="0.25">
      <c r="A103" s="6"/>
      <c r="B103" s="6"/>
      <c r="C103" s="6"/>
      <c r="D103" s="6"/>
      <c r="E103" s="6"/>
      <c r="F103" s="6"/>
      <c r="G103" s="6"/>
      <c r="H103" s="6"/>
      <c r="I103" s="6"/>
      <c r="J103" s="6"/>
    </row>
    <row r="104" spans="1:10" x14ac:dyDescent="0.25">
      <c r="A104" s="6"/>
      <c r="B104" s="6"/>
      <c r="C104" s="6"/>
      <c r="D104" s="6"/>
      <c r="E104" s="6"/>
      <c r="F104" s="6"/>
      <c r="G104" s="6"/>
      <c r="H104" s="6"/>
      <c r="I104" s="6"/>
      <c r="J104" s="6"/>
    </row>
    <row r="105" spans="1:10" x14ac:dyDescent="0.25">
      <c r="A105" s="6"/>
      <c r="B105" s="6"/>
      <c r="C105" s="6"/>
      <c r="D105" s="6"/>
      <c r="E105" s="6"/>
      <c r="F105" s="6"/>
      <c r="G105" s="6"/>
      <c r="H105" s="6"/>
      <c r="I105" s="6"/>
      <c r="J105" s="6"/>
    </row>
    <row r="106" spans="1:10" x14ac:dyDescent="0.25">
      <c r="A106" s="6"/>
      <c r="B106" s="6"/>
      <c r="C106" s="6"/>
      <c r="D106" s="6"/>
      <c r="E106" s="6"/>
      <c r="F106" s="6"/>
      <c r="G106" s="6"/>
      <c r="H106" s="6"/>
      <c r="I106" s="6"/>
      <c r="J106" s="6"/>
    </row>
    <row r="107" spans="1:10" x14ac:dyDescent="0.25">
      <c r="A107" s="6"/>
      <c r="B107" s="6"/>
      <c r="C107" s="6"/>
      <c r="D107" s="6"/>
      <c r="E107" s="6"/>
      <c r="F107" s="6"/>
      <c r="G107" s="6"/>
      <c r="H107" s="6"/>
      <c r="I107" s="6"/>
      <c r="J107" s="6"/>
    </row>
    <row r="108" spans="1:10" x14ac:dyDescent="0.25">
      <c r="A108" s="6"/>
      <c r="B108" s="6"/>
      <c r="C108" s="6"/>
      <c r="D108" s="6"/>
      <c r="E108" s="6"/>
      <c r="F108" s="6"/>
      <c r="G108" s="6"/>
      <c r="H108" s="6"/>
      <c r="I108" s="6"/>
      <c r="J108" s="6"/>
    </row>
    <row r="109" spans="1:10" x14ac:dyDescent="0.25">
      <c r="A109" s="6"/>
      <c r="B109" s="6"/>
      <c r="C109" s="6"/>
      <c r="D109" s="6"/>
      <c r="E109" s="6"/>
      <c r="F109" s="6"/>
      <c r="G109" s="6"/>
      <c r="H109" s="6"/>
      <c r="I109" s="6"/>
      <c r="J109" s="6"/>
    </row>
    <row r="110" spans="1:10" x14ac:dyDescent="0.25">
      <c r="A110" s="6"/>
      <c r="B110" s="6"/>
      <c r="C110" s="6"/>
      <c r="D110" s="6"/>
      <c r="E110" s="6"/>
      <c r="F110" s="6"/>
      <c r="G110" s="6"/>
      <c r="H110" s="6"/>
      <c r="I110" s="6"/>
      <c r="J110" s="6"/>
    </row>
    <row r="111" spans="1:10" x14ac:dyDescent="0.25">
      <c r="A111" s="6"/>
      <c r="B111" s="6"/>
      <c r="C111" s="6"/>
      <c r="D111" s="6"/>
      <c r="E111" s="6"/>
      <c r="F111" s="6"/>
      <c r="G111" s="6"/>
      <c r="H111" s="6"/>
      <c r="I111" s="6"/>
      <c r="J111" s="6"/>
    </row>
    <row r="112" spans="1:10" x14ac:dyDescent="0.25">
      <c r="A112" s="6"/>
      <c r="B112" s="6"/>
      <c r="C112" s="6"/>
      <c r="D112" s="6"/>
      <c r="E112" s="6"/>
      <c r="F112" s="6"/>
      <c r="G112" s="6"/>
      <c r="H112" s="6"/>
      <c r="I112" s="6"/>
      <c r="J112" s="6"/>
    </row>
    <row r="113" spans="1:10" x14ac:dyDescent="0.25">
      <c r="A113" s="6"/>
      <c r="B113" s="6"/>
      <c r="C113" s="6"/>
      <c r="D113" s="6"/>
      <c r="E113" s="6"/>
      <c r="F113" s="6"/>
      <c r="G113" s="6"/>
      <c r="H113" s="6"/>
      <c r="I113" s="6"/>
      <c r="J113" s="6"/>
    </row>
    <row r="114" spans="1:10" x14ac:dyDescent="0.25">
      <c r="A114" s="6"/>
      <c r="B114" s="6"/>
      <c r="C114" s="6"/>
      <c r="D114" s="6"/>
      <c r="E114" s="6"/>
      <c r="F114" s="6"/>
      <c r="G114" s="6"/>
      <c r="H114" s="6"/>
      <c r="I114" s="6"/>
      <c r="J114" s="6"/>
    </row>
    <row r="115" spans="1:10" x14ac:dyDescent="0.25">
      <c r="A115" s="6"/>
      <c r="B115" s="6"/>
      <c r="C115" s="6"/>
      <c r="D115" s="6"/>
      <c r="E115" s="6"/>
      <c r="F115" s="6"/>
      <c r="G115" s="6"/>
      <c r="H115" s="6"/>
      <c r="I115" s="6"/>
      <c r="J115" s="6"/>
    </row>
    <row r="116" spans="1:10" x14ac:dyDescent="0.25">
      <c r="A116" s="6"/>
      <c r="B116" s="6"/>
      <c r="C116" s="6"/>
      <c r="D116" s="6"/>
      <c r="E116" s="6"/>
      <c r="F116" s="6"/>
      <c r="G116" s="6"/>
      <c r="H116" s="6"/>
      <c r="I116" s="6"/>
      <c r="J116" s="6"/>
    </row>
    <row r="117" spans="1:10" x14ac:dyDescent="0.25">
      <c r="A117" s="6"/>
      <c r="B117" s="6"/>
      <c r="C117" s="6"/>
      <c r="D117" s="6"/>
      <c r="E117" s="6"/>
      <c r="F117" s="6"/>
      <c r="G117" s="6"/>
      <c r="H117" s="6"/>
      <c r="I117" s="6"/>
      <c r="J117" s="6"/>
    </row>
    <row r="118" spans="1:10" x14ac:dyDescent="0.25">
      <c r="A118" s="6"/>
      <c r="B118" s="6"/>
      <c r="C118" s="6"/>
      <c r="D118" s="6"/>
      <c r="E118" s="6"/>
      <c r="F118" s="6"/>
      <c r="G118" s="6"/>
      <c r="H118" s="6"/>
      <c r="I118" s="6"/>
      <c r="J118" s="6"/>
    </row>
    <row r="119" spans="1:10" x14ac:dyDescent="0.25">
      <c r="A119" s="6"/>
      <c r="B119" s="6"/>
      <c r="C119" s="6"/>
      <c r="D119" s="6"/>
      <c r="E119" s="6"/>
      <c r="F119" s="6"/>
      <c r="G119" s="6"/>
      <c r="H119" s="6"/>
      <c r="I119" s="6"/>
      <c r="J119" s="6"/>
    </row>
    <row r="120" spans="1:10" x14ac:dyDescent="0.25">
      <c r="A120" s="6"/>
      <c r="B120" s="6"/>
      <c r="C120" s="6"/>
      <c r="D120" s="6"/>
      <c r="E120" s="6"/>
      <c r="F120" s="6"/>
      <c r="G120" s="6"/>
      <c r="H120" s="6"/>
      <c r="I120" s="6"/>
      <c r="J120" s="6"/>
    </row>
    <row r="121" spans="1:10" x14ac:dyDescent="0.25">
      <c r="A121" s="6"/>
      <c r="B121" s="6"/>
      <c r="C121" s="6"/>
      <c r="D121" s="6"/>
      <c r="E121" s="6"/>
      <c r="F121" s="6"/>
      <c r="G121" s="6"/>
      <c r="H121" s="6"/>
      <c r="I121" s="6"/>
      <c r="J121" s="6"/>
    </row>
    <row r="122" spans="1:10" x14ac:dyDescent="0.25">
      <c r="A122" s="6"/>
      <c r="B122" s="6"/>
      <c r="C122" s="6"/>
      <c r="D122" s="6"/>
      <c r="E122" s="6"/>
      <c r="F122" s="6"/>
      <c r="G122" s="6"/>
      <c r="H122" s="6"/>
      <c r="I122" s="6"/>
      <c r="J122" s="6"/>
    </row>
    <row r="123" spans="1:10" x14ac:dyDescent="0.25">
      <c r="A123" s="6"/>
      <c r="B123" s="6"/>
      <c r="C123" s="6"/>
      <c r="D123" s="6"/>
      <c r="E123" s="6"/>
      <c r="F123" s="6"/>
      <c r="G123" s="6"/>
      <c r="H123" s="6"/>
      <c r="I123" s="6"/>
      <c r="J123" s="6"/>
    </row>
    <row r="124" spans="1:10" x14ac:dyDescent="0.25">
      <c r="A124" s="6"/>
      <c r="B124" s="6"/>
      <c r="C124" s="6"/>
      <c r="D124" s="6"/>
      <c r="E124" s="6"/>
      <c r="F124" s="6"/>
      <c r="G124" s="6"/>
      <c r="H124" s="6"/>
      <c r="I124" s="6"/>
      <c r="J124" s="6"/>
    </row>
    <row r="125" spans="1:10" x14ac:dyDescent="0.25">
      <c r="A125" s="6"/>
      <c r="B125" s="6"/>
      <c r="C125" s="6"/>
      <c r="D125" s="6"/>
      <c r="E125" s="6"/>
      <c r="F125" s="6"/>
      <c r="G125" s="6"/>
      <c r="H125" s="6"/>
      <c r="I125" s="6"/>
      <c r="J125" s="6"/>
    </row>
    <row r="126" spans="1:10" x14ac:dyDescent="0.25">
      <c r="A126" s="6"/>
      <c r="B126" s="6"/>
      <c r="C126" s="6"/>
      <c r="D126" s="6"/>
      <c r="E126" s="6"/>
      <c r="F126" s="6"/>
      <c r="G126" s="6"/>
      <c r="H126" s="6"/>
      <c r="I126" s="6"/>
      <c r="J126" s="6"/>
    </row>
    <row r="127" spans="1:10" x14ac:dyDescent="0.25">
      <c r="A127" s="6"/>
      <c r="B127" s="6"/>
      <c r="C127" s="6"/>
      <c r="D127" s="6"/>
      <c r="E127" s="6"/>
      <c r="F127" s="6"/>
      <c r="G127" s="6"/>
      <c r="H127" s="6"/>
      <c r="I127" s="6"/>
      <c r="J127" s="6"/>
    </row>
    <row r="128" spans="1:10" x14ac:dyDescent="0.25">
      <c r="A128" s="6"/>
      <c r="B128" s="6"/>
      <c r="C128" s="6"/>
      <c r="D128" s="6"/>
      <c r="E128" s="6"/>
      <c r="F128" s="6"/>
      <c r="G128" s="6"/>
      <c r="H128" s="6"/>
      <c r="I128" s="6"/>
      <c r="J128" s="6"/>
    </row>
    <row r="129" spans="1:10" x14ac:dyDescent="0.25">
      <c r="A129" s="6"/>
      <c r="B129" s="6"/>
      <c r="C129" s="6"/>
      <c r="D129" s="6"/>
      <c r="E129" s="6"/>
      <c r="F129" s="6"/>
      <c r="G129" s="6"/>
      <c r="H129" s="6"/>
      <c r="I129" s="6"/>
      <c r="J129" s="6"/>
    </row>
    <row r="130" spans="1:10" x14ac:dyDescent="0.25">
      <c r="A130" s="6"/>
      <c r="B130" s="6"/>
      <c r="C130" s="6"/>
      <c r="D130" s="6"/>
      <c r="E130" s="6"/>
      <c r="F130" s="6"/>
      <c r="G130" s="6"/>
      <c r="H130" s="6"/>
      <c r="I130" s="6"/>
      <c r="J130" s="6"/>
    </row>
    <row r="131" spans="1:10" x14ac:dyDescent="0.25">
      <c r="A131" s="6"/>
      <c r="B131" s="6"/>
      <c r="C131" s="6"/>
      <c r="D131" s="6"/>
      <c r="E131" s="6"/>
      <c r="F131" s="6"/>
      <c r="G131" s="6"/>
      <c r="H131" s="6"/>
      <c r="I131" s="6"/>
      <c r="J131" s="6"/>
    </row>
    <row r="132" spans="1:10" x14ac:dyDescent="0.25">
      <c r="A132" s="6"/>
      <c r="B132" s="6"/>
      <c r="C132" s="6"/>
      <c r="D132" s="6"/>
      <c r="E132" s="6"/>
      <c r="F132" s="6"/>
      <c r="G132" s="6"/>
      <c r="H132" s="6"/>
      <c r="I132" s="6"/>
      <c r="J132" s="6"/>
    </row>
    <row r="133" spans="1:10" x14ac:dyDescent="0.25">
      <c r="A133" s="6"/>
      <c r="B133" s="6"/>
      <c r="C133" s="6"/>
      <c r="D133" s="6"/>
      <c r="E133" s="6"/>
      <c r="F133" s="6"/>
      <c r="G133" s="6"/>
      <c r="H133" s="6"/>
      <c r="I133" s="6"/>
      <c r="J133" s="6"/>
    </row>
    <row r="134" spans="1:10" x14ac:dyDescent="0.25">
      <c r="A134" s="6"/>
      <c r="B134" s="6"/>
      <c r="C134" s="6"/>
      <c r="D134" s="6"/>
      <c r="E134" s="6"/>
      <c r="F134" s="6"/>
      <c r="G134" s="6"/>
      <c r="H134" s="6"/>
      <c r="I134" s="6"/>
      <c r="J134" s="6"/>
    </row>
    <row r="135" spans="1:10" x14ac:dyDescent="0.25">
      <c r="A135" s="6"/>
      <c r="B135" s="6"/>
      <c r="C135" s="6"/>
      <c r="D135" s="6"/>
      <c r="E135" s="6"/>
      <c r="F135" s="6"/>
      <c r="G135" s="6"/>
      <c r="H135" s="6"/>
      <c r="I135" s="6"/>
      <c r="J135" s="6"/>
    </row>
    <row r="136" spans="1:10" x14ac:dyDescent="0.25">
      <c r="A136" s="6"/>
      <c r="B136" s="6"/>
      <c r="C136" s="6"/>
      <c r="D136" s="6"/>
      <c r="E136" s="6"/>
      <c r="F136" s="6"/>
      <c r="G136" s="6"/>
      <c r="H136" s="6"/>
      <c r="I136" s="6"/>
      <c r="J136" s="6"/>
    </row>
    <row r="137" spans="1:10" x14ac:dyDescent="0.25">
      <c r="A137" s="6"/>
      <c r="B137" s="6"/>
      <c r="C137" s="6"/>
      <c r="D137" s="6"/>
      <c r="E137" s="6"/>
      <c r="F137" s="6"/>
      <c r="G137" s="6"/>
      <c r="H137" s="6"/>
      <c r="I137" s="6"/>
      <c r="J137" s="6"/>
    </row>
    <row r="138" spans="1:10" x14ac:dyDescent="0.25">
      <c r="A138" s="6"/>
      <c r="B138" s="6"/>
      <c r="C138" s="6"/>
      <c r="D138" s="6"/>
      <c r="E138" s="6"/>
      <c r="F138" s="6"/>
      <c r="G138" s="6"/>
      <c r="H138" s="6"/>
      <c r="I138" s="6"/>
      <c r="J138" s="6"/>
    </row>
    <row r="139" spans="1:10" x14ac:dyDescent="0.25">
      <c r="A139" s="6"/>
      <c r="B139" s="6"/>
      <c r="C139" s="6"/>
      <c r="D139" s="6"/>
      <c r="E139" s="6"/>
      <c r="F139" s="6"/>
      <c r="G139" s="6"/>
      <c r="H139" s="6"/>
      <c r="I139" s="6"/>
      <c r="J139" s="6"/>
    </row>
    <row r="140" spans="1:10" x14ac:dyDescent="0.25">
      <c r="A140" s="6"/>
      <c r="B140" s="6"/>
      <c r="C140" s="6"/>
      <c r="D140" s="6"/>
      <c r="E140" s="6"/>
      <c r="F140" s="6"/>
      <c r="G140" s="6"/>
      <c r="H140" s="6"/>
      <c r="I140" s="6"/>
      <c r="J140" s="6"/>
    </row>
    <row r="141" spans="1:10" x14ac:dyDescent="0.25">
      <c r="A141" s="6"/>
      <c r="B141" s="6"/>
      <c r="C141" s="6"/>
      <c r="D141" s="6"/>
      <c r="E141" s="6"/>
      <c r="F141" s="6"/>
      <c r="G141" s="6"/>
      <c r="H141" s="6"/>
      <c r="I141" s="6"/>
      <c r="J141" s="6"/>
    </row>
    <row r="142" spans="1:10" x14ac:dyDescent="0.25">
      <c r="A142" s="6"/>
      <c r="B142" s="6"/>
      <c r="C142" s="6"/>
      <c r="D142" s="6"/>
      <c r="E142" s="6"/>
      <c r="F142" s="6"/>
      <c r="G142" s="6"/>
      <c r="H142" s="6"/>
      <c r="I142" s="6"/>
      <c r="J142" s="6"/>
    </row>
    <row r="143" spans="1:10" x14ac:dyDescent="0.25">
      <c r="A143" s="6"/>
      <c r="B143" s="6"/>
      <c r="C143" s="6"/>
      <c r="D143" s="6"/>
      <c r="E143" s="6"/>
      <c r="F143" s="6"/>
      <c r="G143" s="6"/>
      <c r="H143" s="6"/>
      <c r="I143" s="6"/>
      <c r="J143" s="6"/>
    </row>
    <row r="144" spans="1:10" x14ac:dyDescent="0.25">
      <c r="A144" s="6"/>
      <c r="B144" s="6"/>
      <c r="C144" s="6"/>
      <c r="D144" s="6"/>
      <c r="E144" s="6"/>
      <c r="F144" s="6"/>
      <c r="G144" s="6"/>
      <c r="H144" s="6"/>
      <c r="I144" s="6"/>
      <c r="J144" s="6"/>
    </row>
    <row r="145" spans="1:10" x14ac:dyDescent="0.25">
      <c r="A145" s="6"/>
      <c r="B145" s="6"/>
      <c r="C145" s="6"/>
      <c r="D145" s="6"/>
      <c r="E145" s="6"/>
      <c r="F145" s="6"/>
      <c r="G145" s="6"/>
      <c r="H145" s="6"/>
      <c r="I145" s="6"/>
      <c r="J145" s="6"/>
    </row>
    <row r="146" spans="1:10" x14ac:dyDescent="0.25">
      <c r="A146" s="6"/>
      <c r="B146" s="6"/>
      <c r="C146" s="6"/>
      <c r="D146" s="6"/>
      <c r="E146" s="6"/>
      <c r="F146" s="6"/>
      <c r="G146" s="6"/>
      <c r="H146" s="6"/>
      <c r="I146" s="6"/>
      <c r="J146" s="6"/>
    </row>
    <row r="147" spans="1:10" x14ac:dyDescent="0.25">
      <c r="A147" s="6"/>
      <c r="B147" s="6"/>
      <c r="C147" s="6"/>
      <c r="D147" s="6"/>
      <c r="E147" s="6"/>
      <c r="F147" s="6"/>
      <c r="G147" s="6"/>
      <c r="H147" s="6"/>
      <c r="I147" s="6"/>
      <c r="J147" s="6"/>
    </row>
    <row r="148" spans="1:10" x14ac:dyDescent="0.25">
      <c r="A148" s="6"/>
      <c r="B148" s="6"/>
      <c r="C148" s="6"/>
      <c r="D148" s="6"/>
      <c r="E148" s="6"/>
      <c r="F148" s="6"/>
      <c r="G148" s="6"/>
      <c r="H148" s="6"/>
      <c r="I148" s="6"/>
      <c r="J148" s="6"/>
    </row>
    <row r="149" spans="1:10" x14ac:dyDescent="0.25">
      <c r="A149" s="6"/>
      <c r="B149" s="6"/>
      <c r="C149" s="6"/>
      <c r="D149" s="6"/>
      <c r="E149" s="6"/>
      <c r="F149" s="6"/>
      <c r="G149" s="6"/>
      <c r="H149" s="6"/>
      <c r="I149" s="6"/>
      <c r="J149" s="6"/>
    </row>
    <row r="150" spans="1:10" x14ac:dyDescent="0.25">
      <c r="A150" s="6"/>
      <c r="B150" s="6"/>
      <c r="C150" s="6"/>
      <c r="D150" s="6"/>
      <c r="E150" s="6"/>
      <c r="F150" s="6"/>
      <c r="G150" s="6"/>
      <c r="H150" s="6"/>
      <c r="I150" s="6"/>
      <c r="J150" s="6"/>
    </row>
    <row r="151" spans="1:10" x14ac:dyDescent="0.25">
      <c r="A151" s="6"/>
      <c r="B151" s="6"/>
      <c r="C151" s="6"/>
      <c r="D151" s="6"/>
      <c r="E151" s="6"/>
      <c r="F151" s="6"/>
      <c r="G151" s="6"/>
      <c r="H151" s="6"/>
      <c r="I151" s="6"/>
      <c r="J151" s="6"/>
    </row>
    <row r="152" spans="1:10" x14ac:dyDescent="0.25">
      <c r="A152" s="6"/>
      <c r="B152" s="6"/>
      <c r="C152" s="6"/>
      <c r="D152" s="6"/>
      <c r="E152" s="6"/>
      <c r="F152" s="6"/>
      <c r="G152" s="6"/>
      <c r="H152" s="6"/>
      <c r="I152" s="6"/>
      <c r="J152" s="6"/>
    </row>
    <row r="153" spans="1:10" x14ac:dyDescent="0.25">
      <c r="A153" s="6"/>
      <c r="B153" s="6"/>
      <c r="C153" s="6"/>
      <c r="D153" s="6"/>
      <c r="E153" s="6"/>
      <c r="F153" s="6"/>
      <c r="G153" s="6"/>
      <c r="H153" s="6"/>
      <c r="I153" s="6"/>
      <c r="J153" s="6"/>
    </row>
    <row r="154" spans="1:10" x14ac:dyDescent="0.25">
      <c r="A154" s="6"/>
      <c r="B154" s="6"/>
      <c r="C154" s="6"/>
      <c r="D154" s="6"/>
      <c r="E154" s="6"/>
      <c r="F154" s="6"/>
      <c r="G154" s="6"/>
      <c r="H154" s="6"/>
      <c r="I154" s="6"/>
      <c r="J154" s="6"/>
    </row>
    <row r="155" spans="1:10" x14ac:dyDescent="0.25">
      <c r="A155" s="6"/>
      <c r="B155" s="6"/>
      <c r="C155" s="6"/>
      <c r="D155" s="6"/>
      <c r="E155" s="6"/>
      <c r="F155" s="6"/>
      <c r="G155" s="6"/>
      <c r="H155" s="6"/>
      <c r="I155" s="6"/>
      <c r="J155" s="6"/>
    </row>
    <row r="156" spans="1:10" x14ac:dyDescent="0.25">
      <c r="A156" s="6"/>
      <c r="B156" s="6"/>
      <c r="C156" s="6"/>
      <c r="D156" s="6"/>
      <c r="E156" s="6"/>
      <c r="F156" s="6"/>
      <c r="G156" s="6"/>
      <c r="H156" s="6"/>
      <c r="I156" s="6"/>
      <c r="J156" s="6"/>
    </row>
    <row r="157" spans="1:10" x14ac:dyDescent="0.25">
      <c r="A157" s="6"/>
      <c r="B157" s="6"/>
      <c r="C157" s="6"/>
      <c r="D157" s="6"/>
      <c r="E157" s="6"/>
      <c r="F157" s="6"/>
      <c r="G157" s="6"/>
      <c r="H157" s="6"/>
      <c r="I157" s="6"/>
      <c r="J157" s="6"/>
    </row>
    <row r="158" spans="1:10" x14ac:dyDescent="0.25">
      <c r="A158" s="6"/>
      <c r="B158" s="6"/>
      <c r="C158" s="6"/>
      <c r="D158" s="6"/>
      <c r="E158" s="6"/>
      <c r="F158" s="6"/>
      <c r="G158" s="6"/>
      <c r="H158" s="6"/>
      <c r="I158" s="6"/>
      <c r="J158" s="6"/>
    </row>
    <row r="159" spans="1:10" x14ac:dyDescent="0.25">
      <c r="A159" s="6"/>
      <c r="B159" s="6"/>
      <c r="C159" s="6"/>
      <c r="D159" s="6"/>
      <c r="E159" s="6"/>
      <c r="F159" s="6"/>
      <c r="G159" s="6"/>
      <c r="H159" s="6"/>
      <c r="I159" s="6"/>
      <c r="J159" s="6"/>
    </row>
    <row r="160" spans="1:10" x14ac:dyDescent="0.25">
      <c r="A160" s="6"/>
      <c r="B160" s="6"/>
      <c r="C160" s="6"/>
      <c r="D160" s="6"/>
      <c r="E160" s="6"/>
      <c r="F160" s="6"/>
      <c r="G160" s="6"/>
      <c r="H160" s="6"/>
      <c r="I160" s="6"/>
      <c r="J160" s="6"/>
    </row>
    <row r="161" spans="1:10" x14ac:dyDescent="0.25">
      <c r="A161" s="6"/>
      <c r="B161" s="6"/>
      <c r="C161" s="6"/>
      <c r="D161" s="6"/>
      <c r="E161" s="6"/>
      <c r="F161" s="6"/>
      <c r="G161" s="6"/>
      <c r="H161" s="6"/>
      <c r="I161" s="6"/>
      <c r="J161" s="6"/>
    </row>
    <row r="162" spans="1:10" x14ac:dyDescent="0.25">
      <c r="A162" s="6"/>
      <c r="B162" s="6"/>
      <c r="C162" s="6"/>
      <c r="D162" s="6"/>
      <c r="E162" s="6"/>
      <c r="F162" s="6"/>
      <c r="G162" s="6"/>
      <c r="H162" s="6"/>
      <c r="I162" s="6"/>
      <c r="J162" s="6"/>
    </row>
    <row r="163" spans="1:10" x14ac:dyDescent="0.25">
      <c r="A163" s="6"/>
      <c r="B163" s="6"/>
      <c r="C163" s="6"/>
      <c r="D163" s="6"/>
      <c r="E163" s="6"/>
      <c r="F163" s="6"/>
      <c r="G163" s="6"/>
      <c r="H163" s="6"/>
      <c r="I163" s="6"/>
      <c r="J163" s="6"/>
    </row>
    <row r="164" spans="1:10" x14ac:dyDescent="0.25">
      <c r="A164" s="6"/>
      <c r="B164" s="6"/>
      <c r="C164" s="6"/>
      <c r="D164" s="6"/>
      <c r="E164" s="6"/>
      <c r="F164" s="6"/>
      <c r="G164" s="6"/>
      <c r="H164" s="6"/>
      <c r="I164" s="6"/>
      <c r="J164" s="6"/>
    </row>
    <row r="165" spans="1:10" x14ac:dyDescent="0.25">
      <c r="A165" s="6"/>
      <c r="B165" s="6"/>
      <c r="C165" s="6"/>
      <c r="D165" s="6"/>
      <c r="E165" s="6"/>
      <c r="F165" s="6"/>
      <c r="G165" s="6"/>
      <c r="H165" s="6"/>
      <c r="I165" s="6"/>
      <c r="J165" s="6"/>
    </row>
    <row r="166" spans="1:10" x14ac:dyDescent="0.25">
      <c r="A166" s="6"/>
      <c r="B166" s="6"/>
      <c r="C166" s="6"/>
      <c r="D166" s="6"/>
      <c r="E166" s="6"/>
      <c r="F166" s="6"/>
      <c r="G166" s="6"/>
      <c r="H166" s="6"/>
      <c r="I166" s="6"/>
      <c r="J166" s="6"/>
    </row>
    <row r="167" spans="1:10" x14ac:dyDescent="0.25">
      <c r="A167" s="6"/>
      <c r="B167" s="6"/>
      <c r="C167" s="6"/>
      <c r="D167" s="6"/>
      <c r="E167" s="6"/>
      <c r="F167" s="6"/>
      <c r="G167" s="6"/>
      <c r="H167" s="6"/>
      <c r="I167" s="6"/>
      <c r="J167" s="6"/>
    </row>
    <row r="168" spans="1:10" x14ac:dyDescent="0.25">
      <c r="A168" s="6"/>
      <c r="B168" s="6"/>
      <c r="C168" s="6"/>
      <c r="D168" s="6"/>
      <c r="E168" s="6"/>
      <c r="F168" s="6"/>
      <c r="G168" s="6"/>
      <c r="H168" s="6"/>
      <c r="I168" s="6"/>
      <c r="J168" s="6"/>
    </row>
    <row r="169" spans="1:10" x14ac:dyDescent="0.25">
      <c r="A169" s="6"/>
      <c r="B169" s="6"/>
      <c r="C169" s="6"/>
      <c r="D169" s="6"/>
      <c r="E169" s="6"/>
      <c r="F169" s="6"/>
      <c r="G169" s="6"/>
      <c r="H169" s="6"/>
      <c r="I169" s="6"/>
      <c r="J169" s="6"/>
    </row>
    <row r="170" spans="1:10" x14ac:dyDescent="0.25">
      <c r="A170" s="6"/>
      <c r="B170" s="6"/>
      <c r="C170" s="6"/>
      <c r="D170" s="6"/>
      <c r="E170" s="6"/>
      <c r="F170" s="6"/>
      <c r="G170" s="6"/>
      <c r="H170" s="6"/>
      <c r="I170" s="6"/>
      <c r="J170" s="6"/>
    </row>
    <row r="171" spans="1:10" x14ac:dyDescent="0.25">
      <c r="A171" s="6"/>
      <c r="B171" s="6"/>
      <c r="C171" s="6"/>
      <c r="D171" s="6"/>
      <c r="E171" s="6"/>
      <c r="F171" s="6"/>
      <c r="G171" s="6"/>
      <c r="H171" s="6"/>
      <c r="I171" s="6"/>
      <c r="J171" s="6"/>
    </row>
    <row r="172" spans="1:10" x14ac:dyDescent="0.25">
      <c r="A172" s="6"/>
      <c r="B172" s="6"/>
      <c r="C172" s="6"/>
      <c r="D172" s="6"/>
      <c r="E172" s="6"/>
      <c r="F172" s="6"/>
      <c r="G172" s="6"/>
      <c r="H172" s="6"/>
      <c r="I172" s="6"/>
      <c r="J172" s="6"/>
    </row>
    <row r="173" spans="1:10" x14ac:dyDescent="0.25">
      <c r="A173" s="6"/>
      <c r="B173" s="6"/>
      <c r="C173" s="6"/>
      <c r="D173" s="6"/>
      <c r="E173" s="6"/>
      <c r="F173" s="6"/>
      <c r="G173" s="6"/>
      <c r="H173" s="6"/>
      <c r="I173" s="6"/>
      <c r="J173" s="6"/>
    </row>
    <row r="174" spans="1:10" x14ac:dyDescent="0.25">
      <c r="A174" s="6"/>
      <c r="B174" s="6"/>
      <c r="C174" s="6"/>
      <c r="D174" s="6"/>
      <c r="E174" s="6"/>
      <c r="F174" s="6"/>
      <c r="G174" s="6"/>
      <c r="H174" s="6"/>
      <c r="I174" s="6"/>
      <c r="J174" s="6"/>
    </row>
    <row r="175" spans="1:10" x14ac:dyDescent="0.25">
      <c r="A175" s="6"/>
      <c r="B175" s="6"/>
      <c r="C175" s="6"/>
      <c r="D175" s="6"/>
      <c r="E175" s="6"/>
      <c r="F175" s="6"/>
      <c r="G175" s="6"/>
      <c r="H175" s="6"/>
      <c r="I175" s="6"/>
      <c r="J175" s="6"/>
    </row>
    <row r="176" spans="1:10" x14ac:dyDescent="0.25">
      <c r="A176" s="6"/>
      <c r="B176" s="6"/>
      <c r="C176" s="6"/>
      <c r="D176" s="6"/>
      <c r="E176" s="6"/>
      <c r="F176" s="6"/>
      <c r="G176" s="6"/>
      <c r="H176" s="6"/>
      <c r="I176" s="6"/>
      <c r="J176" s="6"/>
    </row>
    <row r="177" spans="1:10" x14ac:dyDescent="0.25">
      <c r="A177" s="6"/>
      <c r="B177" s="6"/>
      <c r="C177" s="6"/>
      <c r="D177" s="6"/>
      <c r="E177" s="6"/>
      <c r="F177" s="6"/>
      <c r="G177" s="6"/>
      <c r="H177" s="6"/>
      <c r="I177" s="6"/>
      <c r="J177" s="6"/>
    </row>
    <row r="178" spans="1:10" x14ac:dyDescent="0.25">
      <c r="A178" s="6"/>
      <c r="B178" s="6"/>
      <c r="C178" s="6"/>
      <c r="D178" s="6"/>
      <c r="E178" s="6"/>
      <c r="F178" s="6"/>
      <c r="G178" s="6"/>
      <c r="H178" s="6"/>
      <c r="I178" s="6"/>
      <c r="J178" s="6"/>
    </row>
    <row r="179" spans="1:10" x14ac:dyDescent="0.25">
      <c r="A179" s="6"/>
      <c r="B179" s="6"/>
      <c r="C179" s="6"/>
      <c r="D179" s="6"/>
      <c r="E179" s="6"/>
      <c r="F179" s="6"/>
      <c r="G179" s="6"/>
      <c r="H179" s="6"/>
      <c r="I179" s="6"/>
      <c r="J179" s="6"/>
    </row>
    <row r="180" spans="1:10" x14ac:dyDescent="0.25">
      <c r="A180" s="6"/>
      <c r="B180" s="6"/>
      <c r="C180" s="6"/>
      <c r="D180" s="6"/>
      <c r="E180" s="6"/>
      <c r="F180" s="6"/>
      <c r="G180" s="6"/>
      <c r="H180" s="6"/>
      <c r="I180" s="6"/>
      <c r="J180" s="6"/>
    </row>
    <row r="181" spans="1:10" x14ac:dyDescent="0.25">
      <c r="A181" s="6"/>
      <c r="B181" s="6"/>
      <c r="C181" s="6"/>
      <c r="D181" s="6"/>
      <c r="E181" s="6"/>
      <c r="F181" s="6"/>
      <c r="G181" s="6"/>
      <c r="H181" s="6"/>
      <c r="I181" s="6"/>
      <c r="J181" s="6"/>
    </row>
    <row r="182" spans="1:10" x14ac:dyDescent="0.25">
      <c r="A182" s="6"/>
      <c r="B182" s="6"/>
      <c r="C182" s="6"/>
      <c r="D182" s="6"/>
      <c r="E182" s="6"/>
      <c r="F182" s="6"/>
      <c r="G182" s="6"/>
      <c r="H182" s="6"/>
      <c r="I182" s="6"/>
      <c r="J182" s="6"/>
    </row>
    <row r="183" spans="1:10" x14ac:dyDescent="0.25">
      <c r="A183" s="6"/>
      <c r="B183" s="6"/>
      <c r="C183" s="6"/>
      <c r="D183" s="6"/>
      <c r="E183" s="6"/>
      <c r="F183" s="6"/>
      <c r="G183" s="6"/>
      <c r="H183" s="6"/>
      <c r="I183" s="6"/>
      <c r="J183" s="6"/>
    </row>
    <row r="184" spans="1:10" x14ac:dyDescent="0.25">
      <c r="A184" s="6"/>
      <c r="B184" s="6"/>
      <c r="C184" s="6"/>
      <c r="D184" s="6"/>
      <c r="E184" s="6"/>
      <c r="F184" s="6"/>
      <c r="G184" s="6"/>
      <c r="H184" s="6"/>
      <c r="I184" s="6"/>
      <c r="J184" s="6"/>
    </row>
    <row r="185" spans="1:10" x14ac:dyDescent="0.25">
      <c r="A185" s="6"/>
      <c r="B185" s="6"/>
      <c r="C185" s="6"/>
      <c r="D185" s="6"/>
      <c r="E185" s="6"/>
      <c r="F185" s="6"/>
      <c r="G185" s="6"/>
      <c r="H185" s="6"/>
      <c r="I185" s="6"/>
      <c r="J185" s="6"/>
    </row>
    <row r="186" spans="1:10" x14ac:dyDescent="0.25">
      <c r="A186" s="6"/>
      <c r="B186" s="6"/>
      <c r="C186" s="6"/>
      <c r="D186" s="6"/>
      <c r="E186" s="6"/>
      <c r="F186" s="6"/>
      <c r="G186" s="6"/>
      <c r="H186" s="6"/>
      <c r="I186" s="6"/>
      <c r="J186" s="6"/>
    </row>
    <row r="187" spans="1:10" x14ac:dyDescent="0.25">
      <c r="A187" s="6"/>
      <c r="B187" s="6"/>
      <c r="C187" s="6"/>
      <c r="D187" s="6"/>
      <c r="E187" s="6"/>
      <c r="F187" s="6"/>
      <c r="G187" s="6"/>
      <c r="H187" s="6"/>
      <c r="I187" s="6"/>
      <c r="J187" s="6"/>
    </row>
    <row r="188" spans="1:10" x14ac:dyDescent="0.25">
      <c r="A188" s="6"/>
      <c r="B188" s="6"/>
      <c r="C188" s="6"/>
      <c r="D188" s="6"/>
      <c r="E188" s="6"/>
      <c r="F188" s="6"/>
      <c r="G188" s="6"/>
      <c r="H188" s="6"/>
      <c r="I188" s="6"/>
      <c r="J188" s="6"/>
    </row>
    <row r="189" spans="1:10" x14ac:dyDescent="0.25">
      <c r="A189" s="6"/>
      <c r="B189" s="6"/>
      <c r="C189" s="6"/>
      <c r="D189" s="6"/>
      <c r="E189" s="6"/>
      <c r="F189" s="6"/>
      <c r="G189" s="6"/>
      <c r="H189" s="6"/>
      <c r="I189" s="6"/>
      <c r="J189" s="6"/>
    </row>
    <row r="190" spans="1:10" x14ac:dyDescent="0.25">
      <c r="A190" s="6"/>
      <c r="B190" s="6"/>
      <c r="C190" s="6"/>
      <c r="D190" s="6"/>
      <c r="E190" s="6"/>
      <c r="F190" s="6"/>
      <c r="G190" s="6"/>
      <c r="H190" s="6"/>
      <c r="I190" s="6"/>
      <c r="J190" s="6"/>
    </row>
    <row r="191" spans="1:10" x14ac:dyDescent="0.25">
      <c r="A191" s="6"/>
      <c r="B191" s="6"/>
      <c r="C191" s="6"/>
      <c r="D191" s="6"/>
      <c r="E191" s="6"/>
      <c r="F191" s="6"/>
      <c r="G191" s="6"/>
      <c r="H191" s="6"/>
      <c r="I191" s="6"/>
      <c r="J191" s="6"/>
    </row>
    <row r="192" spans="1:10" x14ac:dyDescent="0.25">
      <c r="A192" s="6"/>
      <c r="B192" s="6"/>
      <c r="C192" s="6"/>
      <c r="D192" s="6"/>
      <c r="E192" s="6"/>
      <c r="F192" s="6"/>
      <c r="G192" s="6"/>
      <c r="H192" s="6"/>
      <c r="I192" s="6"/>
      <c r="J192" s="6"/>
    </row>
    <row r="193" spans="1:10" x14ac:dyDescent="0.25">
      <c r="A193" s="6"/>
      <c r="B193" s="6"/>
      <c r="C193" s="6"/>
      <c r="D193" s="6"/>
      <c r="E193" s="6"/>
      <c r="F193" s="6"/>
      <c r="G193" s="6"/>
      <c r="H193" s="6"/>
      <c r="I193" s="6"/>
      <c r="J193" s="6"/>
    </row>
    <row r="194" spans="1:10" x14ac:dyDescent="0.25">
      <c r="A194" s="6"/>
      <c r="B194" s="6"/>
      <c r="C194" s="6"/>
      <c r="D194" s="6"/>
      <c r="E194" s="6"/>
      <c r="F194" s="6"/>
      <c r="G194" s="6"/>
      <c r="H194" s="6"/>
      <c r="I194" s="6"/>
      <c r="J194" s="6"/>
    </row>
    <row r="195" spans="1:10" x14ac:dyDescent="0.25">
      <c r="A195" s="6"/>
      <c r="B195" s="6"/>
      <c r="C195" s="6"/>
      <c r="D195" s="6"/>
      <c r="E195" s="6"/>
      <c r="F195" s="6"/>
      <c r="G195" s="6"/>
      <c r="H195" s="6"/>
      <c r="I195" s="6"/>
      <c r="J195" s="6"/>
    </row>
    <row r="196" spans="1:10" x14ac:dyDescent="0.25">
      <c r="A196" s="6"/>
      <c r="B196" s="6"/>
      <c r="C196" s="6"/>
      <c r="D196" s="6"/>
      <c r="E196" s="6"/>
      <c r="F196" s="6"/>
      <c r="G196" s="6"/>
      <c r="H196" s="6"/>
      <c r="I196" s="6"/>
      <c r="J196" s="6"/>
    </row>
    <row r="197" spans="1:10" x14ac:dyDescent="0.25">
      <c r="A197" s="6"/>
      <c r="B197" s="6"/>
      <c r="C197" s="6"/>
      <c r="D197" s="6"/>
      <c r="E197" s="6"/>
      <c r="F197" s="6"/>
      <c r="G197" s="6"/>
      <c r="H197" s="6"/>
      <c r="I197" s="6"/>
      <c r="J197" s="6"/>
    </row>
    <row r="198" spans="1:10" x14ac:dyDescent="0.25">
      <c r="A198" s="6"/>
      <c r="B198" s="6"/>
      <c r="C198" s="6"/>
      <c r="D198" s="6"/>
      <c r="E198" s="6"/>
      <c r="F198" s="6"/>
      <c r="G198" s="6"/>
      <c r="H198" s="6"/>
      <c r="I198" s="6"/>
      <c r="J198" s="6"/>
    </row>
    <row r="199" spans="1:10" x14ac:dyDescent="0.25">
      <c r="A199" s="6"/>
      <c r="B199" s="6"/>
      <c r="C199" s="6"/>
      <c r="D199" s="6"/>
      <c r="E199" s="6"/>
      <c r="F199" s="6"/>
      <c r="G199" s="6"/>
      <c r="H199" s="6"/>
      <c r="I199" s="6"/>
      <c r="J199" s="6"/>
    </row>
    <row r="200" spans="1:10" x14ac:dyDescent="0.25">
      <c r="A200" s="6"/>
      <c r="B200" s="6"/>
      <c r="C200" s="6"/>
      <c r="D200" s="6"/>
      <c r="E200" s="6"/>
      <c r="F200" s="6"/>
      <c r="G200" s="6"/>
      <c r="H200" s="6"/>
      <c r="I200" s="6"/>
      <c r="J200" s="6"/>
    </row>
    <row r="201" spans="1:10" x14ac:dyDescent="0.25">
      <c r="A201" s="6"/>
      <c r="B201" s="6"/>
      <c r="C201" s="6"/>
      <c r="D201" s="6"/>
      <c r="E201" s="6"/>
      <c r="F201" s="6"/>
      <c r="G201" s="6"/>
      <c r="H201" s="6"/>
      <c r="I201" s="6"/>
      <c r="J201" s="6"/>
    </row>
    <row r="202" spans="1:10" x14ac:dyDescent="0.25">
      <c r="A202" s="6"/>
      <c r="B202" s="6"/>
      <c r="C202" s="6"/>
      <c r="D202" s="6"/>
      <c r="E202" s="6"/>
      <c r="F202" s="6"/>
      <c r="G202" s="6"/>
      <c r="H202" s="6"/>
      <c r="I202" s="6"/>
      <c r="J202" s="6"/>
    </row>
    <row r="203" spans="1:10" x14ac:dyDescent="0.25">
      <c r="A203" s="6"/>
      <c r="B203" s="6"/>
      <c r="C203" s="6"/>
      <c r="D203" s="6"/>
      <c r="E203" s="6"/>
      <c r="F203" s="6"/>
      <c r="G203" s="6"/>
      <c r="H203" s="6"/>
      <c r="I203" s="6"/>
      <c r="J203" s="6"/>
    </row>
    <row r="204" spans="1:10" x14ac:dyDescent="0.25">
      <c r="A204" s="6"/>
      <c r="B204" s="6"/>
      <c r="C204" s="6"/>
      <c r="D204" s="6"/>
      <c r="E204" s="6"/>
      <c r="F204" s="6"/>
      <c r="G204" s="6"/>
      <c r="H204" s="6"/>
      <c r="I204" s="6"/>
      <c r="J204" s="6"/>
    </row>
    <row r="205" spans="1:10" x14ac:dyDescent="0.25">
      <c r="A205" s="6"/>
      <c r="B205" s="6"/>
      <c r="C205" s="6"/>
      <c r="D205" s="6"/>
      <c r="E205" s="6"/>
      <c r="F205" s="6"/>
      <c r="G205" s="6"/>
      <c r="H205" s="6"/>
      <c r="I205" s="6"/>
      <c r="J205" s="6"/>
    </row>
    <row r="206" spans="1:10" x14ac:dyDescent="0.25">
      <c r="A206" s="6"/>
      <c r="B206" s="6"/>
      <c r="C206" s="6"/>
      <c r="D206" s="6"/>
      <c r="E206" s="6"/>
      <c r="F206" s="6"/>
      <c r="G206" s="6"/>
      <c r="H206" s="6"/>
      <c r="I206" s="6"/>
      <c r="J206" s="6"/>
    </row>
    <row r="207" spans="1:10" x14ac:dyDescent="0.25">
      <c r="A207" s="6"/>
      <c r="B207" s="6"/>
      <c r="C207" s="6"/>
      <c r="D207" s="6"/>
      <c r="E207" s="6"/>
      <c r="F207" s="6"/>
      <c r="G207" s="6"/>
      <c r="H207" s="6"/>
      <c r="I207" s="6"/>
      <c r="J207" s="6"/>
    </row>
    <row r="208" spans="1:10" x14ac:dyDescent="0.25">
      <c r="A208" s="6"/>
      <c r="B208" s="6"/>
      <c r="C208" s="6"/>
      <c r="D208" s="6"/>
      <c r="E208" s="6"/>
      <c r="F208" s="6"/>
      <c r="G208" s="6"/>
      <c r="H208" s="6"/>
      <c r="I208" s="6"/>
      <c r="J208" s="6"/>
    </row>
    <row r="209" spans="1:10" x14ac:dyDescent="0.25">
      <c r="A209" s="6"/>
      <c r="B209" s="6"/>
      <c r="C209" s="6"/>
      <c r="D209" s="6"/>
      <c r="E209" s="6"/>
      <c r="F209" s="6"/>
      <c r="G209" s="6"/>
      <c r="H209" s="6"/>
      <c r="I209" s="6"/>
      <c r="J209" s="6"/>
    </row>
    <row r="210" spans="1:10" x14ac:dyDescent="0.25">
      <c r="A210" s="6"/>
      <c r="B210" s="6"/>
      <c r="C210" s="6"/>
      <c r="D210" s="6"/>
      <c r="E210" s="6"/>
      <c r="F210" s="6"/>
      <c r="G210" s="6"/>
      <c r="H210" s="6"/>
      <c r="I210" s="6"/>
      <c r="J210" s="6"/>
    </row>
    <row r="211" spans="1:10" x14ac:dyDescent="0.25">
      <c r="A211" s="6"/>
      <c r="B211" s="6"/>
      <c r="C211" s="6"/>
      <c r="D211" s="6"/>
      <c r="E211" s="6"/>
      <c r="F211" s="6"/>
      <c r="G211" s="6"/>
      <c r="H211" s="6"/>
      <c r="I211" s="6"/>
      <c r="J211" s="6"/>
    </row>
    <row r="212" spans="1:10" x14ac:dyDescent="0.25">
      <c r="A212" s="6"/>
      <c r="B212" s="6"/>
      <c r="C212" s="6"/>
      <c r="D212" s="6"/>
      <c r="E212" s="6"/>
      <c r="F212" s="6"/>
      <c r="G212" s="6"/>
      <c r="H212" s="6"/>
      <c r="I212" s="6"/>
      <c r="J212" s="6"/>
    </row>
    <row r="213" spans="1:10" x14ac:dyDescent="0.25">
      <c r="A213" s="6"/>
      <c r="B213" s="6"/>
      <c r="C213" s="6"/>
      <c r="D213" s="6"/>
      <c r="E213" s="6"/>
      <c r="F213" s="6"/>
      <c r="G213" s="6"/>
      <c r="H213" s="6"/>
      <c r="I213" s="6"/>
      <c r="J213" s="6"/>
    </row>
    <row r="214" spans="1:10" x14ac:dyDescent="0.25">
      <c r="A214" s="6"/>
      <c r="B214" s="6"/>
      <c r="C214" s="6"/>
      <c r="D214" s="6"/>
      <c r="E214" s="6"/>
      <c r="F214" s="6"/>
      <c r="G214" s="6"/>
      <c r="H214" s="6"/>
      <c r="I214" s="6"/>
      <c r="J214" s="6"/>
    </row>
    <row r="215" spans="1:10" x14ac:dyDescent="0.25">
      <c r="A215" s="6"/>
      <c r="B215" s="6"/>
      <c r="C215" s="6"/>
      <c r="D215" s="6"/>
      <c r="E215" s="6"/>
      <c r="F215" s="6"/>
      <c r="G215" s="6"/>
      <c r="H215" s="6"/>
      <c r="I215" s="6"/>
      <c r="J215" s="6"/>
    </row>
    <row r="216" spans="1:10" x14ac:dyDescent="0.25">
      <c r="A216" s="6"/>
      <c r="B216" s="6"/>
      <c r="C216" s="6"/>
      <c r="D216" s="6"/>
      <c r="E216" s="6"/>
      <c r="F216" s="6"/>
      <c r="G216" s="6"/>
      <c r="H216" s="6"/>
      <c r="I216" s="6"/>
      <c r="J216" s="6"/>
    </row>
    <row r="217" spans="1:10" x14ac:dyDescent="0.25">
      <c r="A217" s="6"/>
      <c r="B217" s="6"/>
      <c r="C217" s="6"/>
      <c r="D217" s="6"/>
      <c r="E217" s="6"/>
      <c r="F217" s="6"/>
      <c r="G217" s="6"/>
      <c r="H217" s="6"/>
      <c r="I217" s="6"/>
      <c r="J217" s="6"/>
    </row>
    <row r="218" spans="1:10" x14ac:dyDescent="0.25">
      <c r="A218" s="6"/>
      <c r="B218" s="6"/>
      <c r="C218" s="6"/>
      <c r="D218" s="6"/>
      <c r="E218" s="6"/>
      <c r="F218" s="6"/>
      <c r="G218" s="6"/>
      <c r="H218" s="6"/>
      <c r="I218" s="6"/>
      <c r="J218" s="6"/>
    </row>
    <row r="219" spans="1:10" x14ac:dyDescent="0.25">
      <c r="A219" s="6"/>
      <c r="B219" s="6"/>
      <c r="C219" s="6"/>
      <c r="D219" s="6"/>
      <c r="E219" s="6"/>
      <c r="F219" s="6"/>
      <c r="G219" s="6"/>
      <c r="H219" s="6"/>
      <c r="I219" s="6"/>
      <c r="J219" s="6"/>
    </row>
    <row r="220" spans="1:10" x14ac:dyDescent="0.25">
      <c r="A220" s="6"/>
      <c r="B220" s="6"/>
      <c r="C220" s="6"/>
      <c r="D220" s="6"/>
      <c r="E220" s="6"/>
      <c r="F220" s="6"/>
      <c r="G220" s="6"/>
      <c r="H220" s="6"/>
      <c r="I220" s="6"/>
      <c r="J220" s="6"/>
    </row>
    <row r="221" spans="1:10" x14ac:dyDescent="0.25">
      <c r="A221" s="6"/>
      <c r="B221" s="6"/>
      <c r="C221" s="6"/>
      <c r="D221" s="6"/>
      <c r="E221" s="6"/>
      <c r="F221" s="6"/>
      <c r="G221" s="6"/>
      <c r="H221" s="6"/>
      <c r="I221" s="6"/>
      <c r="J221" s="6"/>
    </row>
    <row r="222" spans="1:10" x14ac:dyDescent="0.25">
      <c r="A222" s="6"/>
      <c r="B222" s="6"/>
      <c r="C222" s="6"/>
      <c r="D222" s="6"/>
      <c r="E222" s="6"/>
      <c r="F222" s="6"/>
      <c r="G222" s="6"/>
      <c r="H222" s="6"/>
      <c r="I222" s="6"/>
      <c r="J222" s="6"/>
    </row>
    <row r="223" spans="1:10" x14ac:dyDescent="0.25">
      <c r="A223" s="6"/>
      <c r="B223" s="6"/>
      <c r="C223" s="6"/>
      <c r="D223" s="6"/>
      <c r="E223" s="6"/>
      <c r="F223" s="6"/>
      <c r="G223" s="6"/>
      <c r="H223" s="6"/>
      <c r="I223" s="6"/>
      <c r="J223" s="6"/>
    </row>
    <row r="224" spans="1:10" x14ac:dyDescent="0.25">
      <c r="A224" s="6"/>
      <c r="B224" s="6"/>
      <c r="C224" s="6"/>
      <c r="D224" s="6"/>
      <c r="E224" s="6"/>
      <c r="F224" s="6"/>
      <c r="G224" s="6"/>
      <c r="H224" s="6"/>
      <c r="I224" s="6"/>
      <c r="J224" s="6"/>
    </row>
    <row r="225" spans="1:10" x14ac:dyDescent="0.25">
      <c r="A225" s="6"/>
      <c r="B225" s="6"/>
      <c r="C225" s="6"/>
      <c r="D225" s="6"/>
      <c r="E225" s="6"/>
      <c r="F225" s="6"/>
      <c r="G225" s="6"/>
      <c r="H225" s="6"/>
      <c r="I225" s="6"/>
      <c r="J225" s="6"/>
    </row>
    <row r="226" spans="1:10" x14ac:dyDescent="0.25">
      <c r="A226" s="6"/>
      <c r="B226" s="6"/>
      <c r="C226" s="6"/>
      <c r="D226" s="6"/>
      <c r="E226" s="6"/>
      <c r="F226" s="6"/>
      <c r="G226" s="6"/>
      <c r="H226" s="6"/>
      <c r="I226" s="6"/>
      <c r="J226" s="6"/>
    </row>
    <row r="227" spans="1:10" x14ac:dyDescent="0.25">
      <c r="A227" s="6"/>
      <c r="B227" s="6"/>
      <c r="C227" s="6"/>
      <c r="D227" s="6"/>
      <c r="E227" s="6"/>
      <c r="F227" s="6"/>
      <c r="G227" s="6"/>
      <c r="H227" s="6"/>
      <c r="I227" s="6"/>
      <c r="J227" s="6"/>
    </row>
    <row r="228" spans="1:10" x14ac:dyDescent="0.25">
      <c r="A228" s="6"/>
      <c r="B228" s="6"/>
      <c r="C228" s="6"/>
      <c r="D228" s="6"/>
      <c r="E228" s="6"/>
      <c r="F228" s="6"/>
      <c r="G228" s="6"/>
      <c r="H228" s="6"/>
      <c r="I228" s="6"/>
      <c r="J228" s="6"/>
    </row>
    <row r="229" spans="1:10" x14ac:dyDescent="0.25">
      <c r="A229" s="6"/>
      <c r="B229" s="6"/>
      <c r="C229" s="6"/>
      <c r="D229" s="6"/>
      <c r="E229" s="6"/>
      <c r="F229" s="6"/>
      <c r="G229" s="6"/>
      <c r="H229" s="6"/>
      <c r="I229" s="6"/>
      <c r="J229" s="6"/>
    </row>
    <row r="230" spans="1:10" x14ac:dyDescent="0.25">
      <c r="A230" s="6"/>
      <c r="B230" s="6"/>
      <c r="C230" s="6"/>
      <c r="D230" s="6"/>
      <c r="E230" s="6"/>
      <c r="F230" s="6"/>
      <c r="G230" s="6"/>
      <c r="H230" s="6"/>
      <c r="I230" s="6"/>
      <c r="J230" s="6"/>
    </row>
    <row r="231" spans="1:10" x14ac:dyDescent="0.25">
      <c r="A231" s="6"/>
      <c r="B231" s="6"/>
      <c r="C231" s="6"/>
      <c r="D231" s="6"/>
      <c r="E231" s="6"/>
      <c r="F231" s="6"/>
      <c r="G231" s="6"/>
      <c r="H231" s="6"/>
      <c r="I231" s="6"/>
      <c r="J231" s="6"/>
    </row>
    <row r="232" spans="1:10" x14ac:dyDescent="0.25">
      <c r="A232" s="6"/>
      <c r="B232" s="6"/>
      <c r="C232" s="6"/>
      <c r="D232" s="6"/>
      <c r="E232" s="6"/>
      <c r="F232" s="6"/>
      <c r="G232" s="6"/>
      <c r="H232" s="6"/>
      <c r="I232" s="6"/>
      <c r="J232" s="6"/>
    </row>
    <row r="233" spans="1:10" x14ac:dyDescent="0.25">
      <c r="A233" s="6"/>
      <c r="B233" s="6"/>
      <c r="C233" s="6"/>
      <c r="D233" s="6"/>
      <c r="E233" s="6"/>
      <c r="F233" s="6"/>
      <c r="G233" s="6"/>
      <c r="H233" s="6"/>
      <c r="I233" s="6"/>
      <c r="J233" s="6"/>
    </row>
    <row r="234" spans="1:10" x14ac:dyDescent="0.25">
      <c r="A234" s="6"/>
      <c r="B234" s="6"/>
      <c r="C234" s="6"/>
      <c r="D234" s="6"/>
      <c r="E234" s="6"/>
      <c r="F234" s="6"/>
      <c r="G234" s="6"/>
      <c r="H234" s="6"/>
      <c r="I234" s="6"/>
      <c r="J234" s="6"/>
    </row>
    <row r="235" spans="1:10" x14ac:dyDescent="0.25">
      <c r="A235" s="6"/>
      <c r="B235" s="6"/>
      <c r="C235" s="6"/>
      <c r="D235" s="6"/>
      <c r="E235" s="6"/>
      <c r="F235" s="6"/>
      <c r="G235" s="6"/>
      <c r="H235" s="6"/>
      <c r="I235" s="6"/>
      <c r="J235" s="6"/>
    </row>
    <row r="236" spans="1:10" x14ac:dyDescent="0.25">
      <c r="A236" s="6"/>
      <c r="B236" s="6"/>
      <c r="C236" s="6"/>
      <c r="D236" s="6"/>
      <c r="E236" s="6"/>
      <c r="F236" s="6"/>
      <c r="G236" s="6"/>
      <c r="H236" s="6"/>
      <c r="I236" s="6"/>
      <c r="J236" s="6"/>
    </row>
    <row r="237" spans="1:10" x14ac:dyDescent="0.25">
      <c r="A237" s="6"/>
      <c r="B237" s="6"/>
      <c r="C237" s="6"/>
      <c r="D237" s="6"/>
      <c r="E237" s="6"/>
      <c r="F237" s="6"/>
      <c r="G237" s="6"/>
      <c r="H237" s="6"/>
      <c r="I237" s="6"/>
      <c r="J237" s="6"/>
    </row>
    <row r="238" spans="1:10" x14ac:dyDescent="0.25">
      <c r="A238" s="6"/>
      <c r="B238" s="6"/>
      <c r="C238" s="6"/>
      <c r="D238" s="6"/>
      <c r="E238" s="6"/>
      <c r="F238" s="6"/>
      <c r="G238" s="6"/>
      <c r="H238" s="6"/>
      <c r="I238" s="6"/>
      <c r="J238" s="6"/>
    </row>
    <row r="239" spans="1:10" x14ac:dyDescent="0.25">
      <c r="A239" s="6"/>
      <c r="B239" s="6"/>
      <c r="C239" s="6"/>
      <c r="D239" s="6"/>
      <c r="E239" s="6"/>
      <c r="F239" s="6"/>
      <c r="G239" s="6"/>
      <c r="H239" s="6"/>
      <c r="I239" s="6"/>
      <c r="J239" s="6"/>
    </row>
    <row r="240" spans="1:10" x14ac:dyDescent="0.25">
      <c r="A240" s="6"/>
      <c r="B240" s="6"/>
      <c r="C240" s="6"/>
      <c r="D240" s="6"/>
      <c r="E240" s="6"/>
      <c r="F240" s="6"/>
      <c r="G240" s="6"/>
      <c r="H240" s="6"/>
      <c r="I240" s="6"/>
      <c r="J240" s="6"/>
    </row>
    <row r="241" spans="1:10" x14ac:dyDescent="0.25">
      <c r="A241" s="6"/>
      <c r="B241" s="6"/>
      <c r="C241" s="6"/>
      <c r="D241" s="6"/>
      <c r="E241" s="6"/>
      <c r="F241" s="6"/>
      <c r="G241" s="6"/>
      <c r="H241" s="6"/>
      <c r="I241" s="6"/>
      <c r="J241" s="6"/>
    </row>
    <row r="242" spans="1:10" x14ac:dyDescent="0.25">
      <c r="A242" s="6"/>
      <c r="B242" s="6"/>
      <c r="C242" s="6"/>
      <c r="D242" s="6"/>
      <c r="E242" s="6"/>
      <c r="F242" s="6"/>
      <c r="G242" s="6"/>
      <c r="H242" s="6"/>
      <c r="I242" s="6"/>
      <c r="J242" s="6"/>
    </row>
    <row r="243" spans="1:10" x14ac:dyDescent="0.25">
      <c r="A243" s="6"/>
      <c r="B243" s="6"/>
      <c r="C243" s="6"/>
      <c r="D243" s="6"/>
      <c r="E243" s="6"/>
      <c r="F243" s="6"/>
      <c r="G243" s="6"/>
      <c r="H243" s="6"/>
      <c r="I243" s="6"/>
      <c r="J243" s="6"/>
    </row>
    <row r="244" spans="1:10" x14ac:dyDescent="0.25">
      <c r="A244" s="6"/>
      <c r="B244" s="6"/>
      <c r="C244" s="6"/>
      <c r="D244" s="6"/>
      <c r="E244" s="6"/>
      <c r="F244" s="6"/>
      <c r="G244" s="6"/>
      <c r="H244" s="6"/>
      <c r="I244" s="6"/>
      <c r="J244" s="6"/>
    </row>
    <row r="245" spans="1:10" x14ac:dyDescent="0.25">
      <c r="A245" s="6"/>
      <c r="B245" s="6"/>
      <c r="C245" s="6"/>
      <c r="D245" s="6"/>
      <c r="E245" s="6"/>
      <c r="F245" s="6"/>
      <c r="G245" s="6"/>
      <c r="H245" s="6"/>
      <c r="I245" s="6"/>
      <c r="J245" s="6"/>
    </row>
    <row r="246" spans="1:10" x14ac:dyDescent="0.25">
      <c r="A246" s="6"/>
      <c r="B246" s="6"/>
      <c r="C246" s="6"/>
      <c r="D246" s="6"/>
      <c r="E246" s="6"/>
      <c r="F246" s="6"/>
      <c r="G246" s="6"/>
      <c r="H246" s="6"/>
      <c r="I246" s="6"/>
      <c r="J246" s="6"/>
    </row>
    <row r="247" spans="1:10" x14ac:dyDescent="0.25">
      <c r="A247" s="6"/>
      <c r="B247" s="6"/>
      <c r="C247" s="6"/>
      <c r="D247" s="6"/>
      <c r="E247" s="6"/>
      <c r="F247" s="6"/>
      <c r="G247" s="6"/>
      <c r="H247" s="6"/>
      <c r="I247" s="6"/>
      <c r="J247" s="6"/>
    </row>
    <row r="248" spans="1:10" x14ac:dyDescent="0.25">
      <c r="A248" s="6"/>
      <c r="B248" s="6"/>
      <c r="C248" s="6"/>
      <c r="D248" s="6"/>
      <c r="E248" s="6"/>
      <c r="F248" s="6"/>
      <c r="G248" s="6"/>
      <c r="H248" s="6"/>
      <c r="I248" s="6"/>
      <c r="J248" s="6"/>
    </row>
    <row r="249" spans="1:10" x14ac:dyDescent="0.25">
      <c r="A249" s="6"/>
      <c r="B249" s="6"/>
      <c r="C249" s="6"/>
      <c r="D249" s="6"/>
      <c r="E249" s="6"/>
      <c r="F249" s="6"/>
      <c r="G249" s="6"/>
      <c r="H249" s="6"/>
      <c r="I249" s="6"/>
      <c r="J249" s="6"/>
    </row>
    <row r="250" spans="1:10" x14ac:dyDescent="0.25">
      <c r="A250" s="6"/>
      <c r="B250" s="6"/>
      <c r="C250" s="6"/>
      <c r="D250" s="6"/>
      <c r="E250" s="6"/>
      <c r="F250" s="6"/>
      <c r="G250" s="6"/>
      <c r="H250" s="6"/>
      <c r="I250" s="6"/>
      <c r="J250" s="6"/>
    </row>
    <row r="251" spans="1:10" x14ac:dyDescent="0.25">
      <c r="A251" s="6"/>
      <c r="B251" s="6"/>
      <c r="C251" s="6"/>
      <c r="D251" s="6"/>
      <c r="E251" s="6"/>
      <c r="F251" s="6"/>
      <c r="G251" s="6"/>
      <c r="H251" s="6"/>
      <c r="I251" s="6"/>
      <c r="J251" s="6"/>
    </row>
    <row r="252" spans="1:10" x14ac:dyDescent="0.25">
      <c r="A252" s="6"/>
      <c r="B252" s="6"/>
      <c r="C252" s="6"/>
      <c r="D252" s="6"/>
      <c r="E252" s="6"/>
      <c r="F252" s="6"/>
      <c r="G252" s="6"/>
      <c r="H252" s="6"/>
      <c r="I252" s="6"/>
      <c r="J252" s="6"/>
    </row>
    <row r="253" spans="1:10" x14ac:dyDescent="0.25">
      <c r="A253" s="6"/>
      <c r="B253" s="6"/>
      <c r="C253" s="6"/>
      <c r="D253" s="6"/>
      <c r="E253" s="6"/>
      <c r="F253" s="6"/>
      <c r="G253" s="6"/>
      <c r="H253" s="6"/>
      <c r="I253" s="6"/>
      <c r="J253" s="6"/>
    </row>
    <row r="254" spans="1:10" x14ac:dyDescent="0.25">
      <c r="A254" s="6"/>
      <c r="B254" s="6"/>
      <c r="C254" s="6"/>
      <c r="D254" s="6"/>
      <c r="E254" s="6"/>
      <c r="F254" s="6"/>
      <c r="G254" s="6"/>
      <c r="H254" s="6"/>
      <c r="I254" s="6"/>
      <c r="J254" s="6"/>
    </row>
    <row r="255" spans="1:10" x14ac:dyDescent="0.25">
      <c r="A255" s="6"/>
      <c r="B255" s="6"/>
      <c r="C255" s="6"/>
      <c r="D255" s="6"/>
      <c r="E255" s="6"/>
      <c r="F255" s="6"/>
      <c r="G255" s="6"/>
      <c r="H255" s="6"/>
      <c r="I255" s="6"/>
      <c r="J255" s="6"/>
    </row>
    <row r="256" spans="1:10" x14ac:dyDescent="0.25">
      <c r="A256" s="6"/>
      <c r="B256" s="6"/>
      <c r="C256" s="6"/>
      <c r="D256" s="6"/>
      <c r="E256" s="6"/>
      <c r="F256" s="6"/>
      <c r="G256" s="6"/>
      <c r="H256" s="6"/>
      <c r="I256" s="6"/>
      <c r="J256" s="6"/>
    </row>
    <row r="257" spans="1:10" x14ac:dyDescent="0.25">
      <c r="A257" s="6"/>
      <c r="B257" s="6"/>
      <c r="C257" s="6"/>
      <c r="D257" s="6"/>
      <c r="E257" s="6"/>
      <c r="F257" s="6"/>
      <c r="G257" s="6"/>
      <c r="H257" s="6"/>
      <c r="I257" s="6"/>
      <c r="J257" s="6"/>
    </row>
    <row r="258" spans="1:10" x14ac:dyDescent="0.25">
      <c r="A258" s="6"/>
      <c r="B258" s="6"/>
      <c r="C258" s="6"/>
      <c r="D258" s="6"/>
      <c r="E258" s="6"/>
      <c r="F258" s="6"/>
      <c r="G258" s="6"/>
      <c r="H258" s="6"/>
      <c r="I258" s="6"/>
      <c r="J258" s="6"/>
    </row>
    <row r="259" spans="1:10" x14ac:dyDescent="0.25">
      <c r="A259" s="6"/>
      <c r="B259" s="6"/>
      <c r="C259" s="6"/>
      <c r="D259" s="6"/>
      <c r="E259" s="6"/>
      <c r="F259" s="6"/>
      <c r="G259" s="6"/>
      <c r="H259" s="6"/>
      <c r="I259" s="6"/>
      <c r="J259" s="6"/>
    </row>
    <row r="260" spans="1:10" x14ac:dyDescent="0.25">
      <c r="A260" s="6"/>
      <c r="B260" s="6"/>
      <c r="C260" s="6"/>
      <c r="D260" s="6"/>
      <c r="E260" s="6"/>
      <c r="F260" s="6"/>
      <c r="G260" s="6"/>
      <c r="H260" s="6"/>
      <c r="I260" s="6"/>
      <c r="J260" s="6"/>
    </row>
    <row r="261" spans="1:10" x14ac:dyDescent="0.25">
      <c r="A261" s="6"/>
      <c r="B261" s="6"/>
      <c r="C261" s="6"/>
      <c r="D261" s="6"/>
      <c r="E261" s="6"/>
      <c r="F261" s="6"/>
      <c r="G261" s="6"/>
      <c r="H261" s="6"/>
      <c r="I261" s="6"/>
      <c r="J261" s="6"/>
    </row>
    <row r="262" spans="1:10" x14ac:dyDescent="0.25">
      <c r="A262" s="6"/>
      <c r="B262" s="6"/>
      <c r="C262" s="6"/>
      <c r="D262" s="6"/>
      <c r="E262" s="6"/>
      <c r="F262" s="6"/>
      <c r="G262" s="6"/>
      <c r="H262" s="6"/>
      <c r="I262" s="6"/>
      <c r="J262" s="6"/>
    </row>
    <row r="263" spans="1:10" x14ac:dyDescent="0.25">
      <c r="A263" s="6"/>
      <c r="B263" s="6"/>
      <c r="C263" s="6"/>
      <c r="D263" s="6"/>
      <c r="E263" s="6"/>
      <c r="F263" s="6"/>
      <c r="G263" s="6"/>
      <c r="H263" s="6"/>
      <c r="I263" s="6"/>
      <c r="J263" s="6"/>
    </row>
    <row r="264" spans="1:10" x14ac:dyDescent="0.25">
      <c r="A264" s="6"/>
      <c r="B264" s="6"/>
      <c r="C264" s="6"/>
      <c r="D264" s="6"/>
      <c r="E264" s="6"/>
      <c r="F264" s="6"/>
      <c r="G264" s="6"/>
      <c r="H264" s="6"/>
      <c r="I264" s="6"/>
      <c r="J264" s="6"/>
    </row>
    <row r="265" spans="1:10" x14ac:dyDescent="0.25">
      <c r="A265" s="6"/>
      <c r="B265" s="6"/>
      <c r="C265" s="6"/>
      <c r="D265" s="6"/>
      <c r="E265" s="6"/>
      <c r="F265" s="6"/>
      <c r="G265" s="6"/>
      <c r="H265" s="6"/>
      <c r="I265" s="6"/>
      <c r="J265" s="6"/>
    </row>
    <row r="266" spans="1:10" x14ac:dyDescent="0.25">
      <c r="A266" s="6"/>
      <c r="B266" s="6"/>
      <c r="C266" s="6"/>
      <c r="D266" s="6"/>
      <c r="E266" s="6"/>
      <c r="F266" s="6"/>
      <c r="G266" s="6"/>
      <c r="H266" s="6"/>
      <c r="I266" s="6"/>
      <c r="J266" s="6"/>
    </row>
    <row r="267" spans="1:10" x14ac:dyDescent="0.25">
      <c r="A267" s="6"/>
      <c r="B267" s="6"/>
      <c r="C267" s="6"/>
      <c r="D267" s="6"/>
      <c r="E267" s="6"/>
      <c r="F267" s="6"/>
      <c r="G267" s="6"/>
      <c r="H267" s="6"/>
      <c r="I267" s="6"/>
      <c r="J267" s="6"/>
    </row>
    <row r="268" spans="1:10" x14ac:dyDescent="0.25">
      <c r="A268" s="6"/>
      <c r="B268" s="6"/>
      <c r="C268" s="6"/>
      <c r="D268" s="6"/>
      <c r="E268" s="6"/>
      <c r="F268" s="6"/>
      <c r="G268" s="6"/>
      <c r="H268" s="6"/>
      <c r="I268" s="6"/>
      <c r="J268" s="6"/>
    </row>
    <row r="269" spans="1:10" x14ac:dyDescent="0.25">
      <c r="A269" s="6"/>
      <c r="B269" s="6"/>
      <c r="C269" s="6"/>
      <c r="D269" s="6"/>
      <c r="E269" s="6"/>
      <c r="F269" s="6"/>
      <c r="G269" s="6"/>
      <c r="H269" s="6"/>
      <c r="I269" s="6"/>
      <c r="J269" s="6"/>
    </row>
    <row r="270" spans="1:10" x14ac:dyDescent="0.25">
      <c r="A270" s="6"/>
      <c r="B270" s="6"/>
      <c r="C270" s="6"/>
      <c r="D270" s="6"/>
      <c r="E270" s="6"/>
      <c r="F270" s="6"/>
      <c r="G270" s="6"/>
      <c r="H270" s="6"/>
      <c r="I270" s="6"/>
      <c r="J270" s="6"/>
    </row>
    <row r="271" spans="1:10" x14ac:dyDescent="0.25">
      <c r="A271" s="6"/>
      <c r="B271" s="6"/>
      <c r="C271" s="6"/>
      <c r="D271" s="6"/>
      <c r="E271" s="6"/>
      <c r="F271" s="6"/>
      <c r="G271" s="6"/>
      <c r="H271" s="6"/>
      <c r="I271" s="6"/>
      <c r="J271" s="6"/>
    </row>
    <row r="272" spans="1:10" x14ac:dyDescent="0.25">
      <c r="A272" s="6"/>
      <c r="B272" s="6"/>
      <c r="C272" s="6"/>
      <c r="D272" s="6"/>
      <c r="E272" s="6"/>
      <c r="F272" s="6"/>
      <c r="G272" s="6"/>
      <c r="H272" s="6"/>
      <c r="I272" s="6"/>
      <c r="J272" s="6"/>
    </row>
    <row r="273" spans="1:10" x14ac:dyDescent="0.25">
      <c r="A273" s="6"/>
      <c r="B273" s="6"/>
      <c r="C273" s="6"/>
      <c r="D273" s="6"/>
      <c r="E273" s="6"/>
      <c r="F273" s="6"/>
      <c r="G273" s="6"/>
      <c r="H273" s="6"/>
      <c r="I273" s="6"/>
      <c r="J273" s="6"/>
    </row>
    <row r="274" spans="1:10" x14ac:dyDescent="0.25">
      <c r="A274" s="6"/>
      <c r="B274" s="6"/>
      <c r="C274" s="6"/>
      <c r="D274" s="6"/>
      <c r="E274" s="6"/>
      <c r="F274" s="6"/>
      <c r="G274" s="6"/>
      <c r="H274" s="6"/>
      <c r="I274" s="6"/>
      <c r="J274" s="6"/>
    </row>
    <row r="275" spans="1:10" x14ac:dyDescent="0.25">
      <c r="A275" s="6"/>
      <c r="B275" s="6"/>
      <c r="C275" s="6"/>
      <c r="D275" s="6"/>
      <c r="E275" s="6"/>
      <c r="F275" s="6"/>
      <c r="G275" s="6"/>
      <c r="H275" s="6"/>
      <c r="I275" s="6"/>
      <c r="J275" s="6"/>
    </row>
    <row r="276" spans="1:10" x14ac:dyDescent="0.25">
      <c r="A276" s="6"/>
      <c r="B276" s="6"/>
      <c r="C276" s="6"/>
      <c r="D276" s="6"/>
      <c r="E276" s="6"/>
      <c r="F276" s="6"/>
      <c r="G276" s="6"/>
      <c r="H276" s="6"/>
      <c r="I276" s="6"/>
      <c r="J276" s="6"/>
    </row>
    <row r="277" spans="1:10" x14ac:dyDescent="0.25">
      <c r="A277" s="6"/>
      <c r="B277" s="6"/>
      <c r="C277" s="6"/>
      <c r="D277" s="6"/>
      <c r="E277" s="6"/>
      <c r="F277" s="6"/>
      <c r="G277" s="6"/>
      <c r="H277" s="6"/>
      <c r="I277" s="6"/>
      <c r="J277" s="6"/>
    </row>
    <row r="278" spans="1:10" x14ac:dyDescent="0.25">
      <c r="A278" s="6"/>
      <c r="B278" s="6"/>
      <c r="C278" s="6"/>
      <c r="D278" s="6"/>
      <c r="E278" s="6"/>
      <c r="F278" s="6"/>
      <c r="G278" s="6"/>
      <c r="H278" s="6"/>
      <c r="I278" s="6"/>
      <c r="J278" s="6"/>
    </row>
    <row r="279" spans="1:10" x14ac:dyDescent="0.25">
      <c r="A279" s="6"/>
      <c r="B279" s="6"/>
      <c r="C279" s="6"/>
      <c r="D279" s="6"/>
      <c r="E279" s="6"/>
      <c r="F279" s="6"/>
      <c r="G279" s="6"/>
      <c r="H279" s="6"/>
      <c r="I279" s="6"/>
      <c r="J279" s="6"/>
    </row>
    <row r="280" spans="1:10" x14ac:dyDescent="0.25">
      <c r="A280" s="6"/>
      <c r="B280" s="6"/>
      <c r="C280" s="6"/>
      <c r="D280" s="6"/>
      <c r="E280" s="6"/>
      <c r="F280" s="6"/>
      <c r="G280" s="6"/>
      <c r="H280" s="6"/>
      <c r="I280" s="6"/>
      <c r="J280" s="6"/>
    </row>
    <row r="281" spans="1:10" x14ac:dyDescent="0.25">
      <c r="A281" s="6"/>
      <c r="B281" s="6"/>
      <c r="C281" s="6"/>
      <c r="D281" s="6"/>
      <c r="E281" s="6"/>
      <c r="F281" s="6"/>
      <c r="G281" s="6"/>
      <c r="H281" s="6"/>
      <c r="I281" s="6"/>
      <c r="J281" s="6"/>
    </row>
    <row r="282" spans="1:10" x14ac:dyDescent="0.25">
      <c r="A282" s="6"/>
      <c r="B282" s="6"/>
      <c r="C282" s="6"/>
      <c r="D282" s="6"/>
      <c r="E282" s="6"/>
      <c r="F282" s="6"/>
      <c r="G282" s="6"/>
      <c r="H282" s="6"/>
      <c r="I282" s="6"/>
      <c r="J282" s="6"/>
    </row>
    <row r="283" spans="1:10" x14ac:dyDescent="0.25">
      <c r="A283" s="6"/>
      <c r="B283" s="6"/>
      <c r="C283" s="6"/>
      <c r="D283" s="6"/>
      <c r="E283" s="6"/>
      <c r="F283" s="6"/>
      <c r="G283" s="6"/>
      <c r="H283" s="6"/>
      <c r="I283" s="6"/>
      <c r="J283" s="6"/>
    </row>
    <row r="284" spans="1:10" x14ac:dyDescent="0.25">
      <c r="A284" s="6"/>
      <c r="B284" s="6"/>
      <c r="C284" s="6"/>
      <c r="D284" s="6"/>
      <c r="E284" s="6"/>
      <c r="F284" s="6"/>
      <c r="G284" s="6"/>
      <c r="H284" s="6"/>
      <c r="I284" s="6"/>
      <c r="J284" s="6"/>
    </row>
    <row r="285" spans="1:10" x14ac:dyDescent="0.25">
      <c r="A285" s="6"/>
      <c r="B285" s="6"/>
      <c r="C285" s="6"/>
      <c r="D285" s="6"/>
      <c r="E285" s="6"/>
      <c r="F285" s="6"/>
      <c r="G285" s="6"/>
      <c r="H285" s="6"/>
      <c r="I285" s="6"/>
      <c r="J285" s="6"/>
    </row>
    <row r="286" spans="1:10" x14ac:dyDescent="0.25">
      <c r="A286" s="6"/>
      <c r="B286" s="6"/>
      <c r="C286" s="6"/>
      <c r="D286" s="6"/>
      <c r="E286" s="6"/>
      <c r="F286" s="6"/>
      <c r="G286" s="6"/>
      <c r="H286" s="6"/>
      <c r="I286" s="6"/>
      <c r="J286" s="6"/>
    </row>
    <row r="287" spans="1:10" x14ac:dyDescent="0.25">
      <c r="A287" s="6"/>
      <c r="B287" s="6"/>
      <c r="C287" s="6"/>
      <c r="D287" s="6"/>
      <c r="E287" s="6"/>
      <c r="F287" s="6"/>
      <c r="G287" s="6"/>
      <c r="H287" s="6"/>
      <c r="I287" s="6"/>
      <c r="J287" s="6"/>
    </row>
    <row r="288" spans="1:10" x14ac:dyDescent="0.25">
      <c r="A288" s="6"/>
      <c r="B288" s="6"/>
      <c r="C288" s="6"/>
      <c r="D288" s="6"/>
      <c r="E288" s="6"/>
      <c r="F288" s="6"/>
      <c r="G288" s="6"/>
      <c r="H288" s="6"/>
      <c r="I288" s="6"/>
      <c r="J288" s="6"/>
    </row>
    <row r="289" spans="1:10" x14ac:dyDescent="0.25">
      <c r="A289" s="6"/>
      <c r="B289" s="6"/>
      <c r="C289" s="6"/>
      <c r="D289" s="6"/>
      <c r="E289" s="6"/>
      <c r="F289" s="6"/>
      <c r="G289" s="6"/>
      <c r="H289" s="6"/>
      <c r="I289" s="6"/>
      <c r="J289" s="6"/>
    </row>
    <row r="290" spans="1:10" x14ac:dyDescent="0.25">
      <c r="A290" s="6"/>
      <c r="B290" s="6"/>
      <c r="C290" s="6"/>
      <c r="D290" s="6"/>
      <c r="E290" s="6"/>
      <c r="F290" s="6"/>
      <c r="G290" s="6"/>
      <c r="H290" s="6"/>
      <c r="I290" s="6"/>
      <c r="J290" s="6"/>
    </row>
    <row r="291" spans="1:10" x14ac:dyDescent="0.25">
      <c r="A291" s="6"/>
      <c r="B291" s="6"/>
      <c r="C291" s="6"/>
      <c r="D291" s="6"/>
      <c r="E291" s="6"/>
      <c r="F291" s="6"/>
      <c r="G291" s="6"/>
      <c r="H291" s="6"/>
      <c r="I291" s="6"/>
      <c r="J291" s="6"/>
    </row>
    <row r="292" spans="1:10" x14ac:dyDescent="0.25">
      <c r="A292" s="6"/>
      <c r="B292" s="6"/>
      <c r="C292" s="6"/>
      <c r="D292" s="6"/>
      <c r="E292" s="6"/>
      <c r="F292" s="6"/>
      <c r="G292" s="6"/>
      <c r="H292" s="6"/>
      <c r="I292" s="6"/>
      <c r="J292" s="6"/>
    </row>
    <row r="293" spans="1:10" x14ac:dyDescent="0.25">
      <c r="A293" s="6"/>
      <c r="B293" s="6"/>
      <c r="C293" s="6"/>
      <c r="D293" s="6"/>
      <c r="E293" s="6"/>
      <c r="F293" s="6"/>
      <c r="G293" s="6"/>
      <c r="H293" s="6"/>
      <c r="I293" s="6"/>
      <c r="J293" s="6"/>
    </row>
    <row r="294" spans="1:10" x14ac:dyDescent="0.25">
      <c r="A294" s="6"/>
      <c r="B294" s="6"/>
      <c r="C294" s="6"/>
      <c r="D294" s="6"/>
      <c r="E294" s="6"/>
      <c r="F294" s="6"/>
      <c r="G294" s="6"/>
      <c r="H294" s="6"/>
      <c r="I294" s="6"/>
      <c r="J294" s="6"/>
    </row>
    <row r="295" spans="1:10" x14ac:dyDescent="0.25">
      <c r="A295" s="6"/>
      <c r="B295" s="6"/>
      <c r="C295" s="6"/>
      <c r="D295" s="6"/>
      <c r="E295" s="6"/>
      <c r="F295" s="6"/>
      <c r="G295" s="6"/>
      <c r="H295" s="6"/>
      <c r="I295" s="6"/>
      <c r="J295" s="6"/>
    </row>
    <row r="296" spans="1:10" x14ac:dyDescent="0.25">
      <c r="A296" s="6"/>
      <c r="B296" s="6"/>
      <c r="C296" s="6"/>
      <c r="D296" s="6"/>
      <c r="E296" s="6"/>
      <c r="F296" s="6"/>
      <c r="G296" s="6"/>
      <c r="H296" s="6"/>
      <c r="I296" s="6"/>
      <c r="J296" s="6"/>
    </row>
    <row r="297" spans="1:10" x14ac:dyDescent="0.25">
      <c r="A297" s="6"/>
      <c r="B297" s="6"/>
      <c r="C297" s="6"/>
      <c r="D297" s="6"/>
      <c r="E297" s="6"/>
      <c r="F297" s="6"/>
      <c r="G297" s="6"/>
      <c r="H297" s="6"/>
      <c r="I297" s="6"/>
      <c r="J297" s="6"/>
    </row>
    <row r="298" spans="1:10" x14ac:dyDescent="0.25">
      <c r="A298" s="6"/>
      <c r="B298" s="6"/>
      <c r="C298" s="6"/>
      <c r="D298" s="6"/>
      <c r="E298" s="6"/>
      <c r="F298" s="6"/>
      <c r="G298" s="6"/>
      <c r="H298" s="6"/>
      <c r="I298" s="6"/>
      <c r="J298" s="6"/>
    </row>
    <row r="299" spans="1:10" x14ac:dyDescent="0.25">
      <c r="A299" s="6"/>
      <c r="B299" s="6"/>
      <c r="C299" s="6"/>
      <c r="D299" s="6"/>
      <c r="E299" s="6"/>
      <c r="F299" s="6"/>
      <c r="G299" s="6"/>
      <c r="H299" s="6"/>
      <c r="I299" s="6"/>
      <c r="J299" s="6"/>
    </row>
    <row r="300" spans="1:10" x14ac:dyDescent="0.25">
      <c r="A300" s="6"/>
      <c r="B300" s="6"/>
      <c r="C300" s="6"/>
      <c r="D300" s="6"/>
      <c r="E300" s="6"/>
      <c r="F300" s="6"/>
      <c r="G300" s="6"/>
      <c r="H300" s="6"/>
      <c r="I300" s="6"/>
      <c r="J300" s="6"/>
    </row>
    <row r="301" spans="1:10" x14ac:dyDescent="0.25">
      <c r="A301" s="6"/>
      <c r="B301" s="6"/>
      <c r="C301" s="6"/>
      <c r="D301" s="6"/>
      <c r="E301" s="6"/>
      <c r="F301" s="6"/>
      <c r="G301" s="6"/>
      <c r="H301" s="6"/>
      <c r="I301" s="6"/>
      <c r="J301" s="6"/>
    </row>
    <row r="302" spans="1:10" x14ac:dyDescent="0.25">
      <c r="A302" s="6"/>
      <c r="B302" s="6"/>
      <c r="C302" s="6"/>
      <c r="D302" s="6"/>
      <c r="E302" s="6"/>
      <c r="F302" s="6"/>
      <c r="G302" s="6"/>
      <c r="H302" s="6"/>
      <c r="I302" s="6"/>
      <c r="J302" s="6"/>
    </row>
    <row r="303" spans="1:10" x14ac:dyDescent="0.25">
      <c r="A303" s="6"/>
      <c r="B303" s="6"/>
      <c r="C303" s="6"/>
      <c r="D303" s="6"/>
      <c r="E303" s="6"/>
      <c r="F303" s="6"/>
      <c r="G303" s="6"/>
      <c r="H303" s="6"/>
      <c r="I303" s="6"/>
      <c r="J303" s="6"/>
    </row>
    <row r="304" spans="1:10" x14ac:dyDescent="0.25">
      <c r="A304" s="6"/>
      <c r="B304" s="6"/>
      <c r="C304" s="6"/>
      <c r="D304" s="6"/>
      <c r="E304" s="6"/>
      <c r="F304" s="6"/>
      <c r="G304" s="6"/>
      <c r="H304" s="6"/>
      <c r="I304" s="6"/>
      <c r="J304" s="6"/>
    </row>
    <row r="305" spans="1:10" x14ac:dyDescent="0.25">
      <c r="A305" s="6"/>
      <c r="B305" s="6"/>
      <c r="C305" s="6"/>
      <c r="D305" s="6"/>
      <c r="E305" s="6"/>
      <c r="F305" s="6"/>
      <c r="G305" s="6"/>
      <c r="H305" s="6"/>
      <c r="I305" s="6"/>
      <c r="J305" s="6"/>
    </row>
    <row r="306" spans="1:10" x14ac:dyDescent="0.25">
      <c r="A306" s="6"/>
      <c r="B306" s="6"/>
      <c r="C306" s="6"/>
      <c r="D306" s="6"/>
      <c r="E306" s="6"/>
      <c r="F306" s="6"/>
      <c r="G306" s="6"/>
      <c r="H306" s="6"/>
      <c r="I306" s="6"/>
      <c r="J306" s="6"/>
    </row>
    <row r="307" spans="1:10" x14ac:dyDescent="0.25">
      <c r="A307" s="6"/>
      <c r="B307" s="6"/>
      <c r="C307" s="6"/>
      <c r="D307" s="6"/>
      <c r="E307" s="6"/>
      <c r="F307" s="6"/>
      <c r="G307" s="6"/>
      <c r="H307" s="6"/>
      <c r="I307" s="6"/>
      <c r="J307" s="6"/>
    </row>
    <row r="308" spans="1:10" x14ac:dyDescent="0.25">
      <c r="A308" s="6"/>
      <c r="B308" s="6"/>
      <c r="C308" s="6"/>
      <c r="D308" s="6"/>
      <c r="E308" s="6"/>
      <c r="F308" s="6"/>
      <c r="G308" s="6"/>
      <c r="H308" s="6"/>
      <c r="I308" s="6"/>
      <c r="J308" s="6"/>
    </row>
    <row r="309" spans="1:10" x14ac:dyDescent="0.25">
      <c r="A309" s="6"/>
      <c r="B309" s="6"/>
      <c r="C309" s="6"/>
      <c r="D309" s="6"/>
      <c r="E309" s="6"/>
      <c r="F309" s="6"/>
      <c r="G309" s="6"/>
      <c r="H309" s="6"/>
      <c r="I309" s="6"/>
      <c r="J309" s="6"/>
    </row>
    <row r="310" spans="1:10" x14ac:dyDescent="0.25">
      <c r="A310" s="6"/>
      <c r="B310" s="6"/>
      <c r="C310" s="6"/>
      <c r="D310" s="6"/>
      <c r="E310" s="6"/>
      <c r="F310" s="6"/>
      <c r="G310" s="6"/>
      <c r="H310" s="6"/>
      <c r="I310" s="6"/>
      <c r="J310" s="6"/>
    </row>
    <row r="311" spans="1:10" x14ac:dyDescent="0.25">
      <c r="A311" s="6"/>
      <c r="B311" s="6"/>
      <c r="C311" s="6"/>
      <c r="D311" s="6"/>
      <c r="E311" s="6"/>
      <c r="F311" s="6"/>
      <c r="G311" s="6"/>
      <c r="H311" s="6"/>
      <c r="I311" s="6"/>
      <c r="J311" s="6"/>
    </row>
    <row r="312" spans="1:10" x14ac:dyDescent="0.25">
      <c r="A312" s="6"/>
      <c r="B312" s="6"/>
      <c r="C312" s="6"/>
      <c r="D312" s="6"/>
      <c r="E312" s="6"/>
      <c r="F312" s="6"/>
      <c r="G312" s="6"/>
      <c r="H312" s="6"/>
      <c r="I312" s="6"/>
      <c r="J312" s="6"/>
    </row>
    <row r="313" spans="1:10" x14ac:dyDescent="0.25">
      <c r="A313" s="6"/>
      <c r="B313" s="6"/>
      <c r="C313" s="6"/>
      <c r="D313" s="6"/>
      <c r="E313" s="6"/>
      <c r="F313" s="6"/>
      <c r="G313" s="6"/>
      <c r="H313" s="6"/>
      <c r="I313" s="6"/>
      <c r="J313" s="6"/>
    </row>
    <row r="314" spans="1:10" x14ac:dyDescent="0.25">
      <c r="A314" s="6"/>
      <c r="B314" s="6"/>
      <c r="C314" s="6"/>
      <c r="D314" s="6"/>
      <c r="E314" s="6"/>
      <c r="F314" s="6"/>
      <c r="G314" s="6"/>
      <c r="H314" s="6"/>
      <c r="I314" s="6"/>
      <c r="J314" s="6"/>
    </row>
    <row r="315" spans="1:10" x14ac:dyDescent="0.25">
      <c r="A315" s="6"/>
      <c r="B315" s="6"/>
      <c r="C315" s="6"/>
      <c r="D315" s="6"/>
      <c r="E315" s="6"/>
      <c r="F315" s="6"/>
      <c r="G315" s="6"/>
      <c r="H315" s="6"/>
      <c r="I315" s="6"/>
      <c r="J315" s="6"/>
    </row>
    <row r="316" spans="1:10" x14ac:dyDescent="0.25">
      <c r="A316" s="6"/>
      <c r="B316" s="6"/>
      <c r="C316" s="6"/>
      <c r="D316" s="6"/>
      <c r="E316" s="6"/>
      <c r="F316" s="6"/>
      <c r="G316" s="6"/>
      <c r="H316" s="6"/>
      <c r="I316" s="6"/>
      <c r="J316" s="6"/>
    </row>
    <row r="317" spans="1:10" x14ac:dyDescent="0.25">
      <c r="A317" s="6"/>
      <c r="B317" s="6"/>
      <c r="C317" s="6"/>
      <c r="D317" s="6"/>
      <c r="E317" s="6"/>
      <c r="F317" s="6"/>
      <c r="G317" s="6"/>
      <c r="H317" s="6"/>
      <c r="I317" s="6"/>
      <c r="J317" s="6"/>
    </row>
    <row r="318" spans="1:10" x14ac:dyDescent="0.25">
      <c r="A318" s="6"/>
      <c r="B318" s="6"/>
      <c r="C318" s="6"/>
      <c r="D318" s="6"/>
      <c r="E318" s="6"/>
      <c r="F318" s="6"/>
      <c r="G318" s="6"/>
      <c r="H318" s="6"/>
      <c r="I318" s="6"/>
      <c r="J318" s="6"/>
    </row>
    <row r="319" spans="1:10" x14ac:dyDescent="0.25">
      <c r="A319" s="6"/>
      <c r="B319" s="6"/>
      <c r="C319" s="6"/>
      <c r="D319" s="6"/>
      <c r="E319" s="6"/>
      <c r="F319" s="6"/>
      <c r="G319" s="6"/>
      <c r="H319" s="6"/>
      <c r="I319" s="6"/>
      <c r="J319" s="6"/>
    </row>
    <row r="320" spans="1:10" x14ac:dyDescent="0.25">
      <c r="A320" s="6"/>
      <c r="B320" s="6"/>
      <c r="C320" s="6"/>
      <c r="D320" s="6"/>
      <c r="E320" s="6"/>
      <c r="F320" s="6"/>
      <c r="G320" s="6"/>
      <c r="H320" s="6"/>
      <c r="I320" s="6"/>
      <c r="J320" s="6"/>
    </row>
    <row r="321" spans="1:10" x14ac:dyDescent="0.25">
      <c r="A321" s="6"/>
      <c r="B321" s="6"/>
      <c r="C321" s="6"/>
      <c r="D321" s="6"/>
      <c r="E321" s="6"/>
      <c r="F321" s="6"/>
      <c r="G321" s="6"/>
      <c r="H321" s="6"/>
      <c r="I321" s="6"/>
      <c r="J321" s="6"/>
    </row>
    <row r="322" spans="1:10" x14ac:dyDescent="0.25">
      <c r="A322" s="6"/>
      <c r="B322" s="6"/>
      <c r="C322" s="6"/>
      <c r="D322" s="6"/>
      <c r="E322" s="6"/>
      <c r="F322" s="6"/>
      <c r="G322" s="6"/>
      <c r="H322" s="6"/>
      <c r="I322" s="6"/>
      <c r="J322" s="6"/>
    </row>
    <row r="323" spans="1:10" x14ac:dyDescent="0.25">
      <c r="A323" s="6"/>
      <c r="B323" s="6"/>
      <c r="C323" s="6"/>
      <c r="D323" s="6"/>
      <c r="E323" s="6"/>
      <c r="F323" s="6"/>
      <c r="G323" s="6"/>
      <c r="H323" s="6"/>
      <c r="I323" s="6"/>
      <c r="J323" s="6"/>
    </row>
    <row r="324" spans="1:10" x14ac:dyDescent="0.25">
      <c r="A324" s="6"/>
      <c r="B324" s="6"/>
      <c r="C324" s="6"/>
      <c r="D324" s="6"/>
      <c r="E324" s="6"/>
      <c r="F324" s="6"/>
      <c r="G324" s="6"/>
      <c r="H324" s="6"/>
      <c r="I324" s="6"/>
      <c r="J324"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39"/>
  <sheetViews>
    <sheetView zoomScale="115" zoomScaleNormal="115" workbookViewId="0"/>
  </sheetViews>
  <sheetFormatPr defaultRowHeight="15" x14ac:dyDescent="0.25"/>
  <cols>
    <col min="3" max="3" width="21.5703125" customWidth="1"/>
    <col min="4" max="4" width="17.140625" customWidth="1"/>
    <col min="5" max="5" width="34.140625" customWidth="1"/>
    <col min="6" max="6" width="12" customWidth="1"/>
    <col min="7" max="7" width="34.28515625" customWidth="1"/>
    <col min="9" max="9" width="22" customWidth="1"/>
    <col min="10" max="10" width="34.5703125" customWidth="1"/>
  </cols>
  <sheetData>
    <row r="1" spans="1:17" s="3" customFormat="1" ht="33" x14ac:dyDescent="0.25">
      <c r="A1" s="7" t="s">
        <v>0</v>
      </c>
      <c r="B1" s="8"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row>
    <row r="2" spans="1:17" ht="78.75" x14ac:dyDescent="0.25">
      <c r="A2" s="65"/>
      <c r="B2" s="65"/>
      <c r="C2" s="66" t="s">
        <v>167</v>
      </c>
      <c r="D2" s="67" t="s">
        <v>168</v>
      </c>
      <c r="E2" s="68" t="s">
        <v>178</v>
      </c>
      <c r="F2" s="69" t="s">
        <v>17</v>
      </c>
      <c r="G2" s="70" t="s">
        <v>603</v>
      </c>
      <c r="H2" s="65"/>
      <c r="I2" s="70" t="s">
        <v>523</v>
      </c>
      <c r="J2" s="65"/>
      <c r="K2" s="65"/>
      <c r="L2" s="65"/>
      <c r="M2" s="65"/>
      <c r="N2" s="65"/>
      <c r="O2" s="65"/>
      <c r="P2" s="65"/>
      <c r="Q2" s="65"/>
    </row>
    <row r="3" spans="1:17" x14ac:dyDescent="0.25">
      <c r="A3" s="65"/>
      <c r="B3" s="65"/>
      <c r="C3" s="66"/>
      <c r="D3" s="67"/>
      <c r="E3" s="68"/>
      <c r="F3" s="71" t="s">
        <v>19</v>
      </c>
      <c r="G3" s="72" t="s">
        <v>18</v>
      </c>
      <c r="H3" s="65"/>
      <c r="I3" s="73"/>
      <c r="J3" s="72" t="s">
        <v>20</v>
      </c>
      <c r="K3" s="65"/>
      <c r="L3" s="65"/>
      <c r="M3" s="65"/>
      <c r="N3" s="65"/>
      <c r="O3" s="65"/>
      <c r="P3" s="65"/>
      <c r="Q3" s="65"/>
    </row>
    <row r="4" spans="1:17" ht="22.5" x14ac:dyDescent="0.25">
      <c r="A4" s="65"/>
      <c r="B4" s="65"/>
      <c r="C4" s="74"/>
      <c r="D4" s="65"/>
      <c r="E4" s="75"/>
      <c r="F4" s="71" t="s">
        <v>26</v>
      </c>
      <c r="G4" s="72" t="s">
        <v>21</v>
      </c>
      <c r="H4" s="65"/>
      <c r="I4" s="73"/>
      <c r="J4" s="72" t="s">
        <v>22</v>
      </c>
      <c r="K4" s="65"/>
      <c r="L4" s="65"/>
      <c r="M4" s="65"/>
      <c r="N4" s="65"/>
      <c r="O4" s="65"/>
      <c r="P4" s="65"/>
      <c r="Q4" s="65"/>
    </row>
    <row r="5" spans="1:17" ht="33.75" x14ac:dyDescent="0.25">
      <c r="A5" s="65"/>
      <c r="B5" s="65"/>
      <c r="C5" s="74"/>
      <c r="D5" s="65"/>
      <c r="E5" s="75"/>
      <c r="F5" s="71" t="s">
        <v>28</v>
      </c>
      <c r="G5" s="72" t="s">
        <v>155</v>
      </c>
      <c r="H5" s="65"/>
      <c r="I5" s="73"/>
      <c r="J5" s="72" t="s">
        <v>156</v>
      </c>
      <c r="K5" s="65"/>
      <c r="L5" s="65"/>
      <c r="M5" s="65"/>
      <c r="N5" s="65"/>
      <c r="O5" s="65"/>
      <c r="P5" s="65"/>
      <c r="Q5" s="65"/>
    </row>
    <row r="6" spans="1:17" ht="22.5" x14ac:dyDescent="0.25">
      <c r="A6" s="65"/>
      <c r="B6" s="65"/>
      <c r="C6" s="74"/>
      <c r="D6" s="65"/>
      <c r="E6" s="75"/>
      <c r="F6" s="71" t="s">
        <v>29</v>
      </c>
      <c r="G6" s="68" t="s">
        <v>169</v>
      </c>
      <c r="H6" s="65"/>
      <c r="I6" s="73"/>
      <c r="J6" s="68" t="s">
        <v>170</v>
      </c>
      <c r="K6" s="65"/>
      <c r="L6" s="65"/>
      <c r="M6" s="65"/>
      <c r="N6" s="65"/>
      <c r="O6" s="65"/>
      <c r="P6" s="65"/>
      <c r="Q6" s="65"/>
    </row>
    <row r="7" spans="1:17" ht="22.5" x14ac:dyDescent="0.25">
      <c r="A7" s="65"/>
      <c r="B7" s="65"/>
      <c r="C7" s="74"/>
      <c r="D7" s="65"/>
      <c r="E7" s="75"/>
      <c r="F7" s="71" t="s">
        <v>30</v>
      </c>
      <c r="G7" s="68" t="s">
        <v>171</v>
      </c>
      <c r="H7" s="65"/>
      <c r="I7" s="73"/>
      <c r="J7" s="68" t="s">
        <v>172</v>
      </c>
      <c r="K7" s="65"/>
      <c r="L7" s="65"/>
      <c r="M7" s="65"/>
      <c r="N7" s="65"/>
      <c r="O7" s="65"/>
      <c r="P7" s="65"/>
      <c r="Q7" s="65"/>
    </row>
    <row r="8" spans="1:17" s="3" customFormat="1" ht="22.5" x14ac:dyDescent="0.25">
      <c r="A8" s="65"/>
      <c r="B8" s="65"/>
      <c r="C8" s="74"/>
      <c r="D8" s="65"/>
      <c r="E8" s="75"/>
      <c r="F8" s="71" t="s">
        <v>31</v>
      </c>
      <c r="G8" s="68" t="s">
        <v>174</v>
      </c>
      <c r="H8" s="65"/>
      <c r="I8" s="73"/>
      <c r="J8" s="68" t="s">
        <v>175</v>
      </c>
      <c r="K8" s="65"/>
      <c r="L8" s="65"/>
      <c r="M8" s="65"/>
      <c r="N8" s="65"/>
      <c r="O8" s="65"/>
      <c r="P8" s="65"/>
      <c r="Q8" s="65"/>
    </row>
    <row r="9" spans="1:17" s="3" customFormat="1" ht="33.75" x14ac:dyDescent="0.25">
      <c r="A9" s="65"/>
      <c r="B9" s="65"/>
      <c r="C9" s="74"/>
      <c r="D9" s="65"/>
      <c r="E9" s="75"/>
      <c r="F9" s="71" t="s">
        <v>32</v>
      </c>
      <c r="G9" s="68" t="s">
        <v>50</v>
      </c>
      <c r="H9" s="75"/>
      <c r="I9" s="68"/>
      <c r="J9" s="68" t="s">
        <v>51</v>
      </c>
      <c r="K9" s="65"/>
      <c r="L9" s="65"/>
      <c r="M9" s="65"/>
      <c r="N9" s="65"/>
      <c r="O9" s="65"/>
      <c r="P9" s="65"/>
      <c r="Q9" s="65"/>
    </row>
    <row r="10" spans="1:17" s="3" customFormat="1" ht="90" x14ac:dyDescent="0.25">
      <c r="A10" s="65"/>
      <c r="B10" s="65"/>
      <c r="C10" s="74"/>
      <c r="D10" s="65"/>
      <c r="E10" s="75"/>
      <c r="F10" s="71" t="s">
        <v>33</v>
      </c>
      <c r="G10" s="66" t="s">
        <v>566</v>
      </c>
      <c r="H10" s="65"/>
      <c r="I10" s="66" t="s">
        <v>119</v>
      </c>
      <c r="J10" s="66" t="s">
        <v>120</v>
      </c>
      <c r="K10" s="65"/>
      <c r="L10" s="65"/>
      <c r="M10" s="65"/>
      <c r="N10" s="65"/>
      <c r="O10" s="65"/>
      <c r="P10" s="65"/>
      <c r="Q10" s="65"/>
    </row>
    <row r="11" spans="1:17" ht="33.75" x14ac:dyDescent="0.25">
      <c r="A11" s="65"/>
      <c r="B11" s="65"/>
      <c r="C11" s="74"/>
      <c r="D11" s="65"/>
      <c r="E11" s="75"/>
      <c r="F11" s="71" t="s">
        <v>49</v>
      </c>
      <c r="G11" s="68" t="s">
        <v>549</v>
      </c>
      <c r="H11" s="65"/>
      <c r="I11" s="73"/>
      <c r="J11" s="68" t="s">
        <v>157</v>
      </c>
      <c r="K11" s="65"/>
      <c r="L11" s="65"/>
      <c r="M11" s="65"/>
      <c r="N11" s="65"/>
      <c r="O11" s="65"/>
      <c r="P11" s="65"/>
      <c r="Q11" s="65"/>
    </row>
    <row r="12" spans="1:17" ht="33.75" x14ac:dyDescent="0.25">
      <c r="A12" s="65"/>
      <c r="B12" s="65"/>
      <c r="C12" s="74"/>
      <c r="D12" s="65"/>
      <c r="E12" s="75"/>
      <c r="F12" s="71" t="s">
        <v>56</v>
      </c>
      <c r="G12" s="68" t="s">
        <v>176</v>
      </c>
      <c r="H12" s="65"/>
      <c r="I12" s="73" t="s">
        <v>159</v>
      </c>
      <c r="J12" s="75"/>
      <c r="K12" s="65"/>
      <c r="L12" s="65"/>
      <c r="M12" s="65"/>
      <c r="N12" s="65"/>
      <c r="O12" s="65"/>
      <c r="P12" s="65"/>
      <c r="Q12" s="65"/>
    </row>
    <row r="13" spans="1:17" ht="23.25" x14ac:dyDescent="0.25">
      <c r="A13" s="65"/>
      <c r="B13" s="65"/>
      <c r="C13" s="74"/>
      <c r="D13" s="65"/>
      <c r="E13" s="75"/>
      <c r="F13" s="71" t="s">
        <v>57</v>
      </c>
      <c r="G13" s="68" t="s">
        <v>160</v>
      </c>
      <c r="H13" s="65"/>
      <c r="I13" s="73" t="s">
        <v>161</v>
      </c>
      <c r="J13" s="68" t="s">
        <v>172</v>
      </c>
      <c r="K13" s="65"/>
      <c r="L13" s="65"/>
      <c r="M13" s="65"/>
      <c r="N13" s="65"/>
      <c r="O13" s="65"/>
      <c r="P13" s="65"/>
      <c r="Q13" s="65"/>
    </row>
    <row r="14" spans="1:17" ht="22.5" x14ac:dyDescent="0.25">
      <c r="A14" s="65"/>
      <c r="B14" s="65"/>
      <c r="C14" s="74"/>
      <c r="D14" s="65"/>
      <c r="E14" s="75"/>
      <c r="F14" s="71" t="s">
        <v>58</v>
      </c>
      <c r="G14" s="68" t="s">
        <v>162</v>
      </c>
      <c r="H14" s="65"/>
      <c r="I14" s="73"/>
      <c r="J14" s="68" t="s">
        <v>163</v>
      </c>
      <c r="K14" s="65"/>
      <c r="L14" s="65"/>
      <c r="M14" s="65"/>
      <c r="N14" s="65"/>
      <c r="O14" s="65"/>
      <c r="P14" s="65"/>
      <c r="Q14" s="65"/>
    </row>
    <row r="15" spans="1:17" ht="23.25" x14ac:dyDescent="0.25">
      <c r="A15" s="65"/>
      <c r="B15" s="65"/>
      <c r="C15" s="74"/>
      <c r="D15" s="65"/>
      <c r="E15" s="75"/>
      <c r="F15" s="71" t="s">
        <v>59</v>
      </c>
      <c r="G15" s="73" t="s">
        <v>180</v>
      </c>
      <c r="H15" s="65"/>
      <c r="I15" s="73"/>
      <c r="J15" s="73" t="s">
        <v>181</v>
      </c>
      <c r="K15" s="65"/>
      <c r="L15" s="65"/>
      <c r="M15" s="65"/>
      <c r="N15" s="65"/>
      <c r="O15" s="65"/>
      <c r="P15" s="65"/>
      <c r="Q15" s="65"/>
    </row>
    <row r="16" spans="1:17" ht="45.75" x14ac:dyDescent="0.25">
      <c r="A16" s="65"/>
      <c r="B16" s="65"/>
      <c r="C16" s="74"/>
      <c r="D16" s="65"/>
      <c r="E16" s="75"/>
      <c r="F16" s="71" t="s">
        <v>60</v>
      </c>
      <c r="G16" s="70" t="s">
        <v>165</v>
      </c>
      <c r="H16" s="65"/>
      <c r="I16" s="73" t="s">
        <v>166</v>
      </c>
      <c r="J16" s="68" t="s">
        <v>182</v>
      </c>
      <c r="K16" s="65"/>
      <c r="L16" s="65"/>
      <c r="M16" s="65"/>
      <c r="N16" s="65"/>
      <c r="O16" s="65"/>
      <c r="P16" s="65"/>
      <c r="Q16" s="65"/>
    </row>
    <row r="17" spans="1:17" ht="78.75" x14ac:dyDescent="0.25">
      <c r="A17" s="65"/>
      <c r="B17" s="65"/>
      <c r="C17" s="76" t="s">
        <v>177</v>
      </c>
      <c r="D17" s="67" t="s">
        <v>168</v>
      </c>
      <c r="E17" s="68" t="s">
        <v>179</v>
      </c>
      <c r="F17" s="69" t="s">
        <v>17</v>
      </c>
      <c r="G17" s="73" t="s">
        <v>604</v>
      </c>
      <c r="H17" s="65"/>
      <c r="I17" s="70" t="s">
        <v>523</v>
      </c>
      <c r="J17" s="65"/>
      <c r="K17" s="65"/>
      <c r="L17" s="65"/>
      <c r="M17" s="65"/>
      <c r="N17" s="65"/>
      <c r="O17" s="65"/>
      <c r="P17" s="65"/>
      <c r="Q17" s="65"/>
    </row>
    <row r="18" spans="1:17" x14ac:dyDescent="0.25">
      <c r="A18" s="65"/>
      <c r="B18" s="65"/>
      <c r="C18" s="66"/>
      <c r="D18" s="67"/>
      <c r="E18" s="68"/>
      <c r="F18" s="71" t="s">
        <v>19</v>
      </c>
      <c r="G18" s="72" t="s">
        <v>18</v>
      </c>
      <c r="H18" s="65"/>
      <c r="I18" s="73"/>
      <c r="J18" s="72" t="s">
        <v>20</v>
      </c>
      <c r="K18" s="65"/>
      <c r="L18" s="65"/>
      <c r="M18" s="65"/>
      <c r="N18" s="65"/>
      <c r="O18" s="65"/>
      <c r="P18" s="65"/>
      <c r="Q18" s="65"/>
    </row>
    <row r="19" spans="1:17" ht="22.5" x14ac:dyDescent="0.25">
      <c r="A19" s="65"/>
      <c r="B19" s="65"/>
      <c r="C19" s="74"/>
      <c r="D19" s="65"/>
      <c r="E19" s="75"/>
      <c r="F19" s="71" t="s">
        <v>26</v>
      </c>
      <c r="G19" s="72" t="s">
        <v>21</v>
      </c>
      <c r="H19" s="65"/>
      <c r="I19" s="73"/>
      <c r="J19" s="72" t="s">
        <v>22</v>
      </c>
      <c r="K19" s="65"/>
      <c r="L19" s="65"/>
      <c r="M19" s="65"/>
      <c r="N19" s="65"/>
      <c r="O19" s="65"/>
      <c r="P19" s="65"/>
      <c r="Q19" s="65"/>
    </row>
    <row r="20" spans="1:17" ht="33.75" x14ac:dyDescent="0.25">
      <c r="A20" s="65"/>
      <c r="B20" s="65"/>
      <c r="C20" s="74"/>
      <c r="D20" s="65"/>
      <c r="E20" s="75"/>
      <c r="F20" s="71" t="s">
        <v>28</v>
      </c>
      <c r="G20" s="72" t="s">
        <v>155</v>
      </c>
      <c r="H20" s="65"/>
      <c r="I20" s="73"/>
      <c r="J20" s="72" t="s">
        <v>156</v>
      </c>
      <c r="K20" s="65"/>
      <c r="L20" s="65"/>
      <c r="M20" s="65"/>
      <c r="N20" s="65"/>
      <c r="O20" s="65"/>
      <c r="P20" s="65"/>
      <c r="Q20" s="65"/>
    </row>
    <row r="21" spans="1:17" ht="22.5" x14ac:dyDescent="0.25">
      <c r="A21" s="65"/>
      <c r="B21" s="65"/>
      <c r="C21" s="74"/>
      <c r="D21" s="65"/>
      <c r="E21" s="75"/>
      <c r="F21" s="71" t="s">
        <v>29</v>
      </c>
      <c r="G21" s="68" t="s">
        <v>169</v>
      </c>
      <c r="H21" s="65"/>
      <c r="I21" s="73"/>
      <c r="J21" s="68" t="s">
        <v>170</v>
      </c>
      <c r="K21" s="65"/>
      <c r="L21" s="65"/>
      <c r="M21" s="65"/>
      <c r="N21" s="65"/>
      <c r="O21" s="65"/>
      <c r="P21" s="65"/>
      <c r="Q21" s="65"/>
    </row>
    <row r="22" spans="1:17" ht="22.5" x14ac:dyDescent="0.25">
      <c r="A22" s="65"/>
      <c r="B22" s="65"/>
      <c r="C22" s="74"/>
      <c r="D22" s="65"/>
      <c r="E22" s="75"/>
      <c r="F22" s="71" t="s">
        <v>30</v>
      </c>
      <c r="G22" s="68" t="s">
        <v>171</v>
      </c>
      <c r="H22" s="65"/>
      <c r="I22" s="73"/>
      <c r="J22" s="68" t="s">
        <v>172</v>
      </c>
      <c r="K22" s="65"/>
      <c r="L22" s="65"/>
      <c r="M22" s="65"/>
      <c r="N22" s="65"/>
      <c r="O22" s="65"/>
      <c r="P22" s="65"/>
      <c r="Q22" s="65"/>
    </row>
    <row r="23" spans="1:17" ht="22.5" x14ac:dyDescent="0.25">
      <c r="A23" s="65"/>
      <c r="B23" s="65"/>
      <c r="C23" s="74"/>
      <c r="D23" s="65"/>
      <c r="E23" s="75"/>
      <c r="F23" s="71" t="s">
        <v>31</v>
      </c>
      <c r="G23" s="68" t="s">
        <v>174</v>
      </c>
      <c r="H23" s="65"/>
      <c r="I23" s="73"/>
      <c r="J23" s="68" t="s">
        <v>175</v>
      </c>
      <c r="K23" s="65"/>
      <c r="L23" s="65"/>
      <c r="M23" s="65"/>
      <c r="N23" s="65"/>
      <c r="O23" s="65"/>
      <c r="P23" s="65"/>
      <c r="Q23" s="65"/>
    </row>
    <row r="24" spans="1:17" ht="23.25" x14ac:dyDescent="0.25">
      <c r="A24" s="65"/>
      <c r="B24" s="65"/>
      <c r="C24" s="74"/>
      <c r="D24" s="65"/>
      <c r="E24" s="75"/>
      <c r="F24" s="71" t="s">
        <v>32</v>
      </c>
      <c r="G24" s="73" t="s">
        <v>180</v>
      </c>
      <c r="H24" s="65"/>
      <c r="I24" s="73"/>
      <c r="J24" s="73" t="s">
        <v>181</v>
      </c>
      <c r="K24" s="65"/>
      <c r="L24" s="65"/>
      <c r="M24" s="65"/>
      <c r="N24" s="65"/>
      <c r="O24" s="65"/>
      <c r="P24" s="65"/>
      <c r="Q24" s="65"/>
    </row>
    <row r="25" spans="1:17" ht="45.75" x14ac:dyDescent="0.25">
      <c r="A25" s="65"/>
      <c r="B25" s="65"/>
      <c r="C25" s="74"/>
      <c r="D25" s="65"/>
      <c r="E25" s="75"/>
      <c r="F25" s="71" t="s">
        <v>33</v>
      </c>
      <c r="G25" s="73" t="s">
        <v>165</v>
      </c>
      <c r="H25" s="65"/>
      <c r="I25" s="73" t="s">
        <v>166</v>
      </c>
      <c r="J25" s="68" t="s">
        <v>182</v>
      </c>
      <c r="K25" s="65"/>
      <c r="L25" s="65"/>
      <c r="M25" s="65"/>
      <c r="N25" s="65"/>
      <c r="O25" s="65"/>
      <c r="P25" s="65"/>
      <c r="Q25" s="65"/>
    </row>
    <row r="26" spans="1:17" ht="22.5" x14ac:dyDescent="0.25">
      <c r="A26" s="65"/>
      <c r="B26" s="65"/>
      <c r="C26" s="74"/>
      <c r="D26" s="65"/>
      <c r="E26" s="75"/>
      <c r="F26" s="71" t="s">
        <v>49</v>
      </c>
      <c r="G26" s="68" t="s">
        <v>550</v>
      </c>
      <c r="H26" s="65"/>
      <c r="I26" s="73"/>
      <c r="J26" s="68" t="s">
        <v>157</v>
      </c>
      <c r="K26" s="65"/>
      <c r="L26" s="65"/>
      <c r="M26" s="65"/>
      <c r="N26" s="65"/>
      <c r="O26" s="65"/>
      <c r="P26" s="65"/>
      <c r="Q26" s="65"/>
    </row>
    <row r="27" spans="1:17" ht="33.75" x14ac:dyDescent="0.25">
      <c r="A27" s="65"/>
      <c r="B27" s="65"/>
      <c r="C27" s="74"/>
      <c r="D27" s="65"/>
      <c r="E27" s="75"/>
      <c r="F27" s="71" t="s">
        <v>56</v>
      </c>
      <c r="G27" s="68" t="s">
        <v>185</v>
      </c>
      <c r="H27" s="65"/>
      <c r="I27" s="73" t="s">
        <v>159</v>
      </c>
      <c r="J27" s="75"/>
      <c r="K27" s="65"/>
      <c r="L27" s="65"/>
      <c r="M27" s="65"/>
      <c r="N27" s="65"/>
      <c r="O27" s="65"/>
      <c r="P27" s="65"/>
      <c r="Q27" s="65"/>
    </row>
    <row r="28" spans="1:17" x14ac:dyDescent="0.25">
      <c r="A28" s="65"/>
      <c r="B28" s="65"/>
      <c r="C28" s="74"/>
      <c r="D28" s="65"/>
      <c r="E28" s="75"/>
      <c r="F28" s="71" t="s">
        <v>57</v>
      </c>
      <c r="G28" s="77" t="s">
        <v>18</v>
      </c>
      <c r="H28" s="74"/>
      <c r="I28" s="74"/>
      <c r="J28" s="77" t="s">
        <v>20</v>
      </c>
      <c r="K28" s="65"/>
      <c r="L28" s="65"/>
      <c r="M28" s="65"/>
      <c r="N28" s="65"/>
      <c r="O28" s="65"/>
      <c r="P28" s="65"/>
      <c r="Q28" s="65"/>
    </row>
    <row r="29" spans="1:17" ht="22.5" x14ac:dyDescent="0.25">
      <c r="A29" s="65"/>
      <c r="B29" s="65"/>
      <c r="C29" s="74"/>
      <c r="D29" s="65"/>
      <c r="E29" s="75"/>
      <c r="F29" s="71" t="s">
        <v>58</v>
      </c>
      <c r="G29" s="77" t="s">
        <v>21</v>
      </c>
      <c r="H29" s="74"/>
      <c r="I29" s="74"/>
      <c r="J29" s="77" t="s">
        <v>22</v>
      </c>
      <c r="K29" s="65"/>
      <c r="L29" s="65"/>
      <c r="M29" s="65"/>
      <c r="N29" s="65"/>
      <c r="O29" s="65"/>
      <c r="P29" s="65"/>
      <c r="Q29" s="65"/>
    </row>
    <row r="30" spans="1:17" ht="33.75" x14ac:dyDescent="0.25">
      <c r="A30" s="65"/>
      <c r="B30" s="65"/>
      <c r="C30" s="74"/>
      <c r="D30" s="65"/>
      <c r="E30" s="75"/>
      <c r="F30" s="71" t="s">
        <v>59</v>
      </c>
      <c r="G30" s="77" t="s">
        <v>23</v>
      </c>
      <c r="H30" s="74"/>
      <c r="I30" s="74"/>
      <c r="J30" s="77" t="s">
        <v>41</v>
      </c>
      <c r="K30" s="65"/>
      <c r="L30" s="65"/>
      <c r="M30" s="65"/>
      <c r="N30" s="65"/>
      <c r="O30" s="65"/>
      <c r="P30" s="65"/>
      <c r="Q30" s="65"/>
    </row>
    <row r="31" spans="1:17" ht="22.5" x14ac:dyDescent="0.25">
      <c r="A31" s="65"/>
      <c r="B31" s="65"/>
      <c r="C31" s="74"/>
      <c r="D31" s="65"/>
      <c r="E31" s="75"/>
      <c r="F31" s="71" t="s">
        <v>60</v>
      </c>
      <c r="G31" s="75" t="s">
        <v>76</v>
      </c>
      <c r="H31" s="75"/>
      <c r="I31" s="75"/>
      <c r="J31" s="68" t="s">
        <v>44</v>
      </c>
      <c r="K31" s="65"/>
      <c r="L31" s="65"/>
      <c r="M31" s="65"/>
      <c r="N31" s="65"/>
      <c r="O31" s="65"/>
      <c r="P31" s="65"/>
      <c r="Q31" s="65"/>
    </row>
    <row r="32" spans="1:17" ht="22.5" x14ac:dyDescent="0.25">
      <c r="A32" s="65"/>
      <c r="B32" s="65"/>
      <c r="C32" s="65"/>
      <c r="D32" s="65"/>
      <c r="E32" s="65"/>
      <c r="F32" s="71" t="s">
        <v>69</v>
      </c>
      <c r="G32" s="78" t="s">
        <v>25</v>
      </c>
      <c r="H32" s="78"/>
      <c r="I32" s="78"/>
      <c r="J32" s="78" t="s">
        <v>27</v>
      </c>
      <c r="K32" s="65"/>
      <c r="L32" s="65"/>
      <c r="M32" s="65"/>
      <c r="N32" s="65"/>
      <c r="O32" s="65"/>
      <c r="P32" s="65"/>
      <c r="Q32" s="65"/>
    </row>
    <row r="33" spans="1:17" ht="22.5" x14ac:dyDescent="0.25">
      <c r="A33" s="65"/>
      <c r="B33" s="65"/>
      <c r="C33" s="65"/>
      <c r="D33" s="65"/>
      <c r="E33" s="65"/>
      <c r="F33" s="71" t="s">
        <v>71</v>
      </c>
      <c r="G33" s="78" t="s">
        <v>45</v>
      </c>
      <c r="H33" s="78"/>
      <c r="I33" s="74"/>
      <c r="J33" s="78" t="s">
        <v>42</v>
      </c>
      <c r="K33" s="65"/>
      <c r="L33" s="65"/>
      <c r="M33" s="65"/>
      <c r="N33" s="65"/>
      <c r="O33" s="65"/>
      <c r="P33" s="65"/>
      <c r="Q33" s="65"/>
    </row>
    <row r="34" spans="1:17" ht="67.5" x14ac:dyDescent="0.25">
      <c r="A34" s="65"/>
      <c r="B34" s="65"/>
      <c r="C34" s="65"/>
      <c r="D34" s="65"/>
      <c r="E34" s="65"/>
      <c r="F34" s="71" t="s">
        <v>72</v>
      </c>
      <c r="G34" s="68" t="s">
        <v>568</v>
      </c>
      <c r="H34" s="75"/>
      <c r="I34" s="68" t="s">
        <v>78</v>
      </c>
      <c r="J34" s="68" t="s">
        <v>262</v>
      </c>
      <c r="K34" s="65"/>
      <c r="L34" s="65"/>
      <c r="M34" s="65"/>
      <c r="N34" s="65"/>
      <c r="O34" s="65"/>
      <c r="P34" s="65"/>
      <c r="Q34" s="65"/>
    </row>
    <row r="35" spans="1:17" ht="78.75" x14ac:dyDescent="0.25">
      <c r="A35" s="65"/>
      <c r="B35" s="65"/>
      <c r="C35" s="66" t="s">
        <v>183</v>
      </c>
      <c r="D35" s="67" t="s">
        <v>168</v>
      </c>
      <c r="E35" s="68" t="s">
        <v>184</v>
      </c>
      <c r="F35" s="69" t="s">
        <v>17</v>
      </c>
      <c r="G35" s="73" t="s">
        <v>604</v>
      </c>
      <c r="H35" s="65"/>
      <c r="I35" s="70" t="s">
        <v>523</v>
      </c>
      <c r="J35" s="65"/>
      <c r="K35" s="65"/>
      <c r="L35" s="65"/>
      <c r="M35" s="65"/>
      <c r="N35" s="65"/>
      <c r="O35" s="65"/>
      <c r="P35" s="65"/>
      <c r="Q35" s="65"/>
    </row>
    <row r="36" spans="1:17" x14ac:dyDescent="0.25">
      <c r="A36" s="65"/>
      <c r="B36" s="65"/>
      <c r="C36" s="66"/>
      <c r="D36" s="67"/>
      <c r="E36" s="68"/>
      <c r="F36" s="71" t="s">
        <v>19</v>
      </c>
      <c r="G36" s="72" t="s">
        <v>18</v>
      </c>
      <c r="H36" s="65"/>
      <c r="I36" s="73"/>
      <c r="J36" s="72" t="s">
        <v>20</v>
      </c>
      <c r="K36" s="65"/>
      <c r="L36" s="65"/>
      <c r="M36" s="65"/>
      <c r="N36" s="65"/>
      <c r="O36" s="65"/>
      <c r="P36" s="65"/>
      <c r="Q36" s="65"/>
    </row>
    <row r="37" spans="1:17" ht="22.5" x14ac:dyDescent="0.25">
      <c r="A37" s="65"/>
      <c r="B37" s="65"/>
      <c r="C37" s="74"/>
      <c r="D37" s="65"/>
      <c r="E37" s="75"/>
      <c r="F37" s="71" t="s">
        <v>26</v>
      </c>
      <c r="G37" s="72" t="s">
        <v>21</v>
      </c>
      <c r="H37" s="65"/>
      <c r="I37" s="73"/>
      <c r="J37" s="72" t="s">
        <v>22</v>
      </c>
      <c r="K37" s="65"/>
      <c r="L37" s="65"/>
      <c r="M37" s="65"/>
      <c r="N37" s="65"/>
      <c r="O37" s="65"/>
      <c r="P37" s="65"/>
      <c r="Q37" s="65"/>
    </row>
    <row r="38" spans="1:17" ht="33.75" x14ac:dyDescent="0.25">
      <c r="A38" s="65"/>
      <c r="B38" s="65"/>
      <c r="C38" s="74"/>
      <c r="D38" s="65"/>
      <c r="E38" s="75"/>
      <c r="F38" s="71" t="s">
        <v>28</v>
      </c>
      <c r="G38" s="72" t="s">
        <v>155</v>
      </c>
      <c r="H38" s="65"/>
      <c r="I38" s="73"/>
      <c r="J38" s="72" t="s">
        <v>156</v>
      </c>
      <c r="K38" s="65"/>
      <c r="L38" s="65"/>
      <c r="M38" s="65"/>
      <c r="N38" s="65"/>
      <c r="O38" s="65"/>
      <c r="P38" s="65"/>
      <c r="Q38" s="65"/>
    </row>
    <row r="39" spans="1:17" ht="22.5" x14ac:dyDescent="0.25">
      <c r="A39" s="65"/>
      <c r="B39" s="65"/>
      <c r="C39" s="74"/>
      <c r="D39" s="65"/>
      <c r="E39" s="75"/>
      <c r="F39" s="71" t="s">
        <v>29</v>
      </c>
      <c r="G39" s="68" t="s">
        <v>169</v>
      </c>
      <c r="H39" s="65"/>
      <c r="I39" s="73"/>
      <c r="J39" s="68" t="s">
        <v>170</v>
      </c>
      <c r="K39" s="65"/>
      <c r="L39" s="65"/>
      <c r="M39" s="65"/>
      <c r="N39" s="65"/>
      <c r="O39" s="65"/>
      <c r="P39" s="65"/>
      <c r="Q39" s="65"/>
    </row>
    <row r="40" spans="1:17" ht="22.5" x14ac:dyDescent="0.25">
      <c r="A40" s="65"/>
      <c r="B40" s="65"/>
      <c r="C40" s="74"/>
      <c r="D40" s="65"/>
      <c r="E40" s="75"/>
      <c r="F40" s="71" t="s">
        <v>30</v>
      </c>
      <c r="G40" s="68" t="s">
        <v>171</v>
      </c>
      <c r="H40" s="65"/>
      <c r="I40" s="73"/>
      <c r="J40" s="68" t="s">
        <v>172</v>
      </c>
      <c r="K40" s="65"/>
      <c r="L40" s="65"/>
      <c r="M40" s="65"/>
      <c r="N40" s="65"/>
      <c r="O40" s="65"/>
      <c r="P40" s="65"/>
      <c r="Q40" s="65"/>
    </row>
    <row r="41" spans="1:17" ht="22.5" x14ac:dyDescent="0.25">
      <c r="A41" s="65"/>
      <c r="B41" s="65"/>
      <c r="C41" s="74"/>
      <c r="D41" s="65"/>
      <c r="E41" s="75"/>
      <c r="F41" s="71" t="s">
        <v>31</v>
      </c>
      <c r="G41" s="68" t="s">
        <v>174</v>
      </c>
      <c r="H41" s="65"/>
      <c r="I41" s="73"/>
      <c r="J41" s="68" t="s">
        <v>175</v>
      </c>
      <c r="K41" s="65"/>
      <c r="L41" s="65"/>
      <c r="M41" s="65"/>
      <c r="N41" s="65"/>
      <c r="O41" s="65"/>
      <c r="P41" s="65"/>
      <c r="Q41" s="65"/>
    </row>
    <row r="42" spans="1:17" ht="23.25" x14ac:dyDescent="0.25">
      <c r="A42" s="65"/>
      <c r="B42" s="65"/>
      <c r="C42" s="74"/>
      <c r="D42" s="65"/>
      <c r="E42" s="75"/>
      <c r="F42" s="71" t="s">
        <v>32</v>
      </c>
      <c r="G42" s="73" t="s">
        <v>180</v>
      </c>
      <c r="H42" s="65"/>
      <c r="I42" s="73"/>
      <c r="J42" s="73" t="s">
        <v>181</v>
      </c>
      <c r="K42" s="65"/>
      <c r="L42" s="65"/>
      <c r="M42" s="65"/>
      <c r="N42" s="65"/>
      <c r="O42" s="65"/>
      <c r="P42" s="65"/>
      <c r="Q42" s="65"/>
    </row>
    <row r="43" spans="1:17" ht="45.75" x14ac:dyDescent="0.25">
      <c r="A43" s="65"/>
      <c r="B43" s="65"/>
      <c r="C43" s="74"/>
      <c r="D43" s="65"/>
      <c r="E43" s="75"/>
      <c r="F43" s="71" t="s">
        <v>33</v>
      </c>
      <c r="G43" s="73" t="s">
        <v>165</v>
      </c>
      <c r="H43" s="65"/>
      <c r="I43" s="73" t="s">
        <v>166</v>
      </c>
      <c r="J43" s="68" t="s">
        <v>182</v>
      </c>
      <c r="K43" s="65"/>
      <c r="L43" s="65"/>
      <c r="M43" s="65"/>
      <c r="N43" s="65"/>
      <c r="O43" s="65"/>
      <c r="P43" s="65"/>
      <c r="Q43" s="65"/>
    </row>
    <row r="44" spans="1:17" ht="22.5" x14ac:dyDescent="0.25">
      <c r="A44" s="65"/>
      <c r="B44" s="65"/>
      <c r="C44" s="74"/>
      <c r="D44" s="65"/>
      <c r="E44" s="75"/>
      <c r="F44" s="71" t="s">
        <v>49</v>
      </c>
      <c r="G44" s="68" t="s">
        <v>550</v>
      </c>
      <c r="H44" s="65"/>
      <c r="I44" s="73"/>
      <c r="J44" s="68" t="s">
        <v>157</v>
      </c>
      <c r="K44" s="65"/>
      <c r="L44" s="65"/>
      <c r="M44" s="65"/>
      <c r="N44" s="65"/>
      <c r="O44" s="65"/>
      <c r="P44" s="65"/>
      <c r="Q44" s="65"/>
    </row>
    <row r="45" spans="1:17" ht="33.75" x14ac:dyDescent="0.25">
      <c r="A45" s="65"/>
      <c r="B45" s="65"/>
      <c r="C45" s="74"/>
      <c r="D45" s="65"/>
      <c r="E45" s="75"/>
      <c r="F45" s="71" t="s">
        <v>56</v>
      </c>
      <c r="G45" s="68" t="s">
        <v>158</v>
      </c>
      <c r="H45" s="65"/>
      <c r="I45" s="73" t="s">
        <v>159</v>
      </c>
      <c r="J45" s="75"/>
      <c r="K45" s="65"/>
      <c r="L45" s="65"/>
      <c r="M45" s="65"/>
      <c r="N45" s="65"/>
      <c r="O45" s="65"/>
      <c r="P45" s="65"/>
      <c r="Q45" s="65"/>
    </row>
    <row r="46" spans="1:17" x14ac:dyDescent="0.25">
      <c r="A46" s="65"/>
      <c r="B46" s="65"/>
      <c r="C46" s="74"/>
      <c r="D46" s="65"/>
      <c r="E46" s="75"/>
      <c r="F46" s="71" t="s">
        <v>57</v>
      </c>
      <c r="G46" s="77" t="s">
        <v>18</v>
      </c>
      <c r="H46" s="74"/>
      <c r="I46" s="74"/>
      <c r="J46" s="77" t="s">
        <v>20</v>
      </c>
      <c r="K46" s="65"/>
      <c r="L46" s="65"/>
      <c r="M46" s="65"/>
      <c r="N46" s="65"/>
      <c r="O46" s="65"/>
      <c r="P46" s="65"/>
      <c r="Q46" s="65"/>
    </row>
    <row r="47" spans="1:17" ht="22.5" x14ac:dyDescent="0.25">
      <c r="A47" s="65"/>
      <c r="B47" s="65"/>
      <c r="C47" s="74"/>
      <c r="D47" s="65"/>
      <c r="E47" s="75"/>
      <c r="F47" s="71" t="s">
        <v>58</v>
      </c>
      <c r="G47" s="77" t="s">
        <v>21</v>
      </c>
      <c r="H47" s="74"/>
      <c r="I47" s="74"/>
      <c r="J47" s="77" t="s">
        <v>22</v>
      </c>
      <c r="K47" s="65"/>
      <c r="L47" s="65"/>
      <c r="M47" s="65"/>
      <c r="N47" s="65"/>
      <c r="O47" s="65"/>
      <c r="P47" s="65"/>
      <c r="Q47" s="65"/>
    </row>
    <row r="48" spans="1:17" ht="33.75" x14ac:dyDescent="0.25">
      <c r="A48" s="65"/>
      <c r="B48" s="65"/>
      <c r="C48" s="74"/>
      <c r="D48" s="65"/>
      <c r="E48" s="75"/>
      <c r="F48" s="71" t="s">
        <v>59</v>
      </c>
      <c r="G48" s="77" t="s">
        <v>23</v>
      </c>
      <c r="H48" s="74"/>
      <c r="I48" s="74"/>
      <c r="J48" s="77" t="s">
        <v>41</v>
      </c>
      <c r="K48" s="65"/>
      <c r="L48" s="65"/>
      <c r="M48" s="65"/>
      <c r="N48" s="65"/>
      <c r="O48" s="65"/>
      <c r="P48" s="65"/>
      <c r="Q48" s="65"/>
    </row>
    <row r="49" spans="1:17" ht="22.5" x14ac:dyDescent="0.25">
      <c r="A49" s="65"/>
      <c r="B49" s="65"/>
      <c r="C49" s="74"/>
      <c r="D49" s="65"/>
      <c r="E49" s="75"/>
      <c r="F49" s="71" t="s">
        <v>60</v>
      </c>
      <c r="G49" s="75" t="s">
        <v>76</v>
      </c>
      <c r="H49" s="75"/>
      <c r="I49" s="75"/>
      <c r="J49" s="68" t="s">
        <v>44</v>
      </c>
      <c r="K49" s="65"/>
      <c r="L49" s="65"/>
      <c r="M49" s="65"/>
      <c r="N49" s="65"/>
      <c r="O49" s="65"/>
      <c r="P49" s="65"/>
      <c r="Q49" s="65"/>
    </row>
    <row r="50" spans="1:17" ht="22.5" x14ac:dyDescent="0.25">
      <c r="A50" s="65"/>
      <c r="B50" s="65"/>
      <c r="C50" s="65"/>
      <c r="D50" s="65"/>
      <c r="E50" s="65"/>
      <c r="F50" s="71" t="s">
        <v>69</v>
      </c>
      <c r="G50" s="78" t="s">
        <v>25</v>
      </c>
      <c r="H50" s="78"/>
      <c r="I50" s="78"/>
      <c r="J50" s="78" t="s">
        <v>27</v>
      </c>
      <c r="K50" s="65"/>
      <c r="L50" s="65"/>
      <c r="M50" s="65"/>
      <c r="N50" s="65"/>
      <c r="O50" s="65"/>
      <c r="P50" s="65"/>
      <c r="Q50" s="65"/>
    </row>
    <row r="51" spans="1:17" ht="22.5" x14ac:dyDescent="0.25">
      <c r="A51" s="65"/>
      <c r="B51" s="65"/>
      <c r="C51" s="65"/>
      <c r="D51" s="65"/>
      <c r="E51" s="65"/>
      <c r="F51" s="71" t="s">
        <v>71</v>
      </c>
      <c r="G51" s="78" t="s">
        <v>45</v>
      </c>
      <c r="H51" s="78"/>
      <c r="I51" s="74"/>
      <c r="J51" s="78" t="s">
        <v>42</v>
      </c>
      <c r="K51" s="65"/>
      <c r="L51" s="65"/>
      <c r="M51" s="65"/>
      <c r="N51" s="65"/>
      <c r="O51" s="65"/>
      <c r="P51" s="65"/>
      <c r="Q51" s="65"/>
    </row>
    <row r="52" spans="1:17" ht="33.75" x14ac:dyDescent="0.25">
      <c r="A52" s="65"/>
      <c r="B52" s="65"/>
      <c r="C52" s="65"/>
      <c r="D52" s="65"/>
      <c r="E52" s="65"/>
      <c r="F52" s="71" t="s">
        <v>72</v>
      </c>
      <c r="G52" s="68" t="s">
        <v>50</v>
      </c>
      <c r="H52" s="75"/>
      <c r="I52" s="68"/>
      <c r="J52" s="68" t="s">
        <v>51</v>
      </c>
      <c r="K52" s="65"/>
      <c r="L52" s="65"/>
      <c r="M52" s="65"/>
      <c r="N52" s="65"/>
      <c r="O52" s="65"/>
      <c r="P52" s="65"/>
      <c r="Q52" s="65"/>
    </row>
    <row r="53" spans="1:17" ht="90" x14ac:dyDescent="0.25">
      <c r="A53" s="65"/>
      <c r="B53" s="65"/>
      <c r="C53" s="65"/>
      <c r="D53" s="65"/>
      <c r="E53" s="65"/>
      <c r="F53" s="71" t="s">
        <v>73</v>
      </c>
      <c r="G53" s="66" t="s">
        <v>566</v>
      </c>
      <c r="H53" s="65"/>
      <c r="I53" s="66" t="s">
        <v>119</v>
      </c>
      <c r="J53" s="66" t="s">
        <v>120</v>
      </c>
      <c r="K53" s="65"/>
      <c r="L53" s="65"/>
      <c r="M53" s="65"/>
      <c r="N53" s="65"/>
      <c r="O53" s="65"/>
      <c r="P53" s="65"/>
      <c r="Q53" s="65"/>
    </row>
    <row r="54" spans="1:17" ht="67.5" x14ac:dyDescent="0.25">
      <c r="A54" s="65"/>
      <c r="B54" s="65"/>
      <c r="C54" s="79" t="s">
        <v>186</v>
      </c>
      <c r="D54" s="67" t="s">
        <v>168</v>
      </c>
      <c r="E54" s="80" t="s">
        <v>187</v>
      </c>
      <c r="F54" s="69" t="s">
        <v>17</v>
      </c>
      <c r="G54" s="70" t="s">
        <v>605</v>
      </c>
      <c r="H54" s="65"/>
      <c r="I54" s="70" t="s">
        <v>523</v>
      </c>
      <c r="J54" s="65"/>
      <c r="K54" s="65"/>
      <c r="L54" s="65"/>
      <c r="M54" s="65"/>
      <c r="N54" s="65"/>
      <c r="O54" s="65"/>
      <c r="P54" s="65"/>
      <c r="Q54" s="65"/>
    </row>
    <row r="55" spans="1:17" x14ac:dyDescent="0.25">
      <c r="A55" s="65"/>
      <c r="B55" s="65"/>
      <c r="C55" s="66"/>
      <c r="D55" s="67"/>
      <c r="E55" s="68"/>
      <c r="F55" s="71" t="s">
        <v>19</v>
      </c>
      <c r="G55" s="72" t="s">
        <v>18</v>
      </c>
      <c r="H55" s="65"/>
      <c r="I55" s="73"/>
      <c r="J55" s="72" t="s">
        <v>20</v>
      </c>
      <c r="K55" s="65"/>
      <c r="L55" s="65"/>
      <c r="M55" s="65"/>
      <c r="N55" s="65"/>
      <c r="O55" s="65"/>
      <c r="P55" s="65"/>
      <c r="Q55" s="65"/>
    </row>
    <row r="56" spans="1:17" ht="22.5" x14ac:dyDescent="0.25">
      <c r="A56" s="65"/>
      <c r="B56" s="65"/>
      <c r="C56" s="74"/>
      <c r="D56" s="65"/>
      <c r="E56" s="75"/>
      <c r="F56" s="71" t="s">
        <v>26</v>
      </c>
      <c r="G56" s="72" t="s">
        <v>21</v>
      </c>
      <c r="H56" s="65"/>
      <c r="I56" s="73"/>
      <c r="J56" s="72" t="s">
        <v>22</v>
      </c>
      <c r="K56" s="65"/>
      <c r="L56" s="65"/>
      <c r="M56" s="65"/>
      <c r="N56" s="65"/>
      <c r="O56" s="65"/>
      <c r="P56" s="65"/>
      <c r="Q56" s="65"/>
    </row>
    <row r="57" spans="1:17" ht="33.75" x14ac:dyDescent="0.25">
      <c r="A57" s="65"/>
      <c r="B57" s="65"/>
      <c r="C57" s="74"/>
      <c r="D57" s="65"/>
      <c r="E57" s="75"/>
      <c r="F57" s="71" t="s">
        <v>28</v>
      </c>
      <c r="G57" s="72" t="s">
        <v>155</v>
      </c>
      <c r="H57" s="65"/>
      <c r="I57" s="73"/>
      <c r="J57" s="72" t="s">
        <v>156</v>
      </c>
      <c r="K57" s="65"/>
      <c r="L57" s="65"/>
      <c r="M57" s="65"/>
      <c r="N57" s="65"/>
      <c r="O57" s="65"/>
      <c r="P57" s="65"/>
      <c r="Q57" s="65"/>
    </row>
    <row r="58" spans="1:17" ht="22.5" x14ac:dyDescent="0.25">
      <c r="A58" s="65"/>
      <c r="B58" s="65"/>
      <c r="C58" s="74"/>
      <c r="D58" s="65"/>
      <c r="E58" s="75"/>
      <c r="F58" s="71" t="s">
        <v>29</v>
      </c>
      <c r="G58" s="68" t="s">
        <v>169</v>
      </c>
      <c r="H58" s="65"/>
      <c r="I58" s="73"/>
      <c r="J58" s="68" t="s">
        <v>170</v>
      </c>
      <c r="K58" s="65"/>
      <c r="L58" s="65"/>
      <c r="M58" s="65"/>
      <c r="N58" s="65"/>
      <c r="O58" s="65"/>
      <c r="P58" s="65"/>
      <c r="Q58" s="65"/>
    </row>
    <row r="59" spans="1:17" ht="22.5" x14ac:dyDescent="0.25">
      <c r="A59" s="65"/>
      <c r="B59" s="65"/>
      <c r="C59" s="74"/>
      <c r="D59" s="65"/>
      <c r="E59" s="75"/>
      <c r="F59" s="71" t="s">
        <v>30</v>
      </c>
      <c r="G59" s="68" t="s">
        <v>171</v>
      </c>
      <c r="H59" s="65"/>
      <c r="I59" s="73"/>
      <c r="J59" s="68" t="s">
        <v>172</v>
      </c>
      <c r="K59" s="65"/>
      <c r="L59" s="65"/>
      <c r="M59" s="65"/>
      <c r="N59" s="65"/>
      <c r="O59" s="65"/>
      <c r="P59" s="65"/>
      <c r="Q59" s="65"/>
    </row>
    <row r="60" spans="1:17" ht="22.5" x14ac:dyDescent="0.25">
      <c r="A60" s="65"/>
      <c r="B60" s="65"/>
      <c r="C60" s="74"/>
      <c r="D60" s="65"/>
      <c r="E60" s="75"/>
      <c r="F60" s="71" t="s">
        <v>31</v>
      </c>
      <c r="G60" s="68" t="s">
        <v>174</v>
      </c>
      <c r="H60" s="65"/>
      <c r="I60" s="73"/>
      <c r="J60" s="68" t="s">
        <v>175</v>
      </c>
      <c r="K60" s="65"/>
      <c r="L60" s="65"/>
      <c r="M60" s="65"/>
      <c r="N60" s="65"/>
      <c r="O60" s="65"/>
      <c r="P60" s="65"/>
      <c r="Q60" s="65"/>
    </row>
    <row r="61" spans="1:17" s="3" customFormat="1" ht="67.5" x14ac:dyDescent="0.25">
      <c r="A61" s="65"/>
      <c r="B61" s="65"/>
      <c r="C61" s="74"/>
      <c r="D61" s="65"/>
      <c r="E61" s="75"/>
      <c r="F61" s="71" t="s">
        <v>32</v>
      </c>
      <c r="G61" s="68" t="s">
        <v>568</v>
      </c>
      <c r="H61" s="75"/>
      <c r="I61" s="68" t="s">
        <v>78</v>
      </c>
      <c r="J61" s="80" t="s">
        <v>151</v>
      </c>
      <c r="K61" s="65"/>
      <c r="L61" s="65"/>
      <c r="M61" s="65"/>
      <c r="N61" s="65"/>
      <c r="O61" s="65"/>
      <c r="P61" s="65"/>
      <c r="Q61" s="65"/>
    </row>
    <row r="62" spans="1:17" ht="33.75" x14ac:dyDescent="0.25">
      <c r="A62" s="65"/>
      <c r="B62" s="65"/>
      <c r="C62" s="74"/>
      <c r="D62" s="65"/>
      <c r="E62" s="75"/>
      <c r="F62" s="71" t="s">
        <v>33</v>
      </c>
      <c r="G62" s="68" t="s">
        <v>50</v>
      </c>
      <c r="H62" s="75"/>
      <c r="I62" s="68"/>
      <c r="J62" s="68" t="s">
        <v>51</v>
      </c>
      <c r="K62" s="65"/>
      <c r="L62" s="65"/>
      <c r="M62" s="65"/>
      <c r="N62" s="65"/>
      <c r="O62" s="65"/>
      <c r="P62" s="65"/>
      <c r="Q62" s="65"/>
    </row>
    <row r="63" spans="1:17" ht="90" x14ac:dyDescent="0.25">
      <c r="A63" s="65"/>
      <c r="B63" s="65"/>
      <c r="C63" s="74"/>
      <c r="D63" s="65"/>
      <c r="E63" s="75"/>
      <c r="F63" s="71" t="s">
        <v>49</v>
      </c>
      <c r="G63" s="66" t="s">
        <v>566</v>
      </c>
      <c r="H63" s="65"/>
      <c r="I63" s="66" t="s">
        <v>119</v>
      </c>
      <c r="J63" s="76" t="s">
        <v>120</v>
      </c>
      <c r="K63" s="65"/>
      <c r="L63" s="65"/>
      <c r="M63" s="65"/>
      <c r="N63" s="65"/>
      <c r="O63" s="65"/>
      <c r="P63" s="65"/>
      <c r="Q63" s="65"/>
    </row>
    <row r="64" spans="1:17" ht="78.75" x14ac:dyDescent="0.25">
      <c r="A64" s="65"/>
      <c r="B64" s="65"/>
      <c r="C64" s="66" t="s">
        <v>188</v>
      </c>
      <c r="D64" s="67" t="s">
        <v>168</v>
      </c>
      <c r="E64" s="68" t="s">
        <v>189</v>
      </c>
      <c r="F64" s="69" t="s">
        <v>17</v>
      </c>
      <c r="G64" s="70" t="s">
        <v>606</v>
      </c>
      <c r="H64" s="65"/>
      <c r="I64" s="70" t="s">
        <v>523</v>
      </c>
      <c r="J64" s="65"/>
      <c r="K64" s="65"/>
      <c r="L64" s="65"/>
      <c r="M64" s="65"/>
      <c r="N64" s="65"/>
      <c r="O64" s="65"/>
      <c r="P64" s="65"/>
      <c r="Q64" s="65"/>
    </row>
    <row r="65" spans="1:17" x14ac:dyDescent="0.25">
      <c r="A65" s="65"/>
      <c r="B65" s="65"/>
      <c r="C65" s="66"/>
      <c r="D65" s="67"/>
      <c r="E65" s="68"/>
      <c r="F65" s="71" t="s">
        <v>19</v>
      </c>
      <c r="G65" s="72" t="s">
        <v>18</v>
      </c>
      <c r="H65" s="65"/>
      <c r="I65" s="73"/>
      <c r="J65" s="72" t="s">
        <v>20</v>
      </c>
      <c r="K65" s="65"/>
      <c r="L65" s="65"/>
      <c r="M65" s="65"/>
      <c r="N65" s="65"/>
      <c r="O65" s="65"/>
      <c r="P65" s="65"/>
      <c r="Q65" s="65"/>
    </row>
    <row r="66" spans="1:17" ht="22.5" x14ac:dyDescent="0.25">
      <c r="A66" s="65"/>
      <c r="B66" s="65"/>
      <c r="C66" s="74"/>
      <c r="D66" s="65"/>
      <c r="E66" s="75"/>
      <c r="F66" s="71" t="s">
        <v>26</v>
      </c>
      <c r="G66" s="72" t="s">
        <v>21</v>
      </c>
      <c r="H66" s="65"/>
      <c r="I66" s="73"/>
      <c r="J66" s="72" t="s">
        <v>22</v>
      </c>
      <c r="K66" s="65"/>
      <c r="L66" s="65"/>
      <c r="M66" s="65"/>
      <c r="N66" s="65"/>
      <c r="O66" s="65"/>
      <c r="P66" s="65"/>
      <c r="Q66" s="65"/>
    </row>
    <row r="67" spans="1:17" ht="33.75" x14ac:dyDescent="0.25">
      <c r="A67" s="65"/>
      <c r="B67" s="65"/>
      <c r="C67" s="74"/>
      <c r="D67" s="65"/>
      <c r="E67" s="75"/>
      <c r="F67" s="71" t="s">
        <v>28</v>
      </c>
      <c r="G67" s="72" t="s">
        <v>155</v>
      </c>
      <c r="H67" s="65"/>
      <c r="I67" s="73"/>
      <c r="J67" s="72" t="s">
        <v>156</v>
      </c>
      <c r="K67" s="65"/>
      <c r="L67" s="65"/>
      <c r="M67" s="65"/>
      <c r="N67" s="65"/>
      <c r="O67" s="65"/>
      <c r="P67" s="65"/>
      <c r="Q67" s="65"/>
    </row>
    <row r="68" spans="1:17" ht="22.5" x14ac:dyDescent="0.25">
      <c r="A68" s="65"/>
      <c r="B68" s="65"/>
      <c r="C68" s="74"/>
      <c r="D68" s="65"/>
      <c r="E68" s="75"/>
      <c r="F68" s="71" t="s">
        <v>29</v>
      </c>
      <c r="G68" s="68" t="s">
        <v>169</v>
      </c>
      <c r="H68" s="65"/>
      <c r="I68" s="73"/>
      <c r="J68" s="68" t="s">
        <v>170</v>
      </c>
      <c r="K68" s="65"/>
      <c r="L68" s="65"/>
      <c r="M68" s="65"/>
      <c r="N68" s="65"/>
      <c r="O68" s="65"/>
      <c r="P68" s="65"/>
      <c r="Q68" s="65"/>
    </row>
    <row r="69" spans="1:17" ht="22.5" x14ac:dyDescent="0.25">
      <c r="A69" s="65"/>
      <c r="B69" s="65"/>
      <c r="C69" s="74"/>
      <c r="D69" s="65"/>
      <c r="E69" s="75"/>
      <c r="F69" s="71" t="s">
        <v>30</v>
      </c>
      <c r="G69" s="68" t="s">
        <v>171</v>
      </c>
      <c r="H69" s="65"/>
      <c r="I69" s="73"/>
      <c r="J69" s="68" t="s">
        <v>172</v>
      </c>
      <c r="K69" s="65"/>
      <c r="L69" s="65"/>
      <c r="M69" s="65"/>
      <c r="N69" s="65"/>
      <c r="O69" s="65"/>
      <c r="P69" s="65"/>
      <c r="Q69" s="65"/>
    </row>
    <row r="70" spans="1:17" ht="22.5" x14ac:dyDescent="0.25">
      <c r="A70" s="65"/>
      <c r="B70" s="65"/>
      <c r="C70" s="74"/>
      <c r="D70" s="65"/>
      <c r="E70" s="75"/>
      <c r="F70" s="71" t="s">
        <v>31</v>
      </c>
      <c r="G70" s="78" t="s">
        <v>45</v>
      </c>
      <c r="H70" s="78"/>
      <c r="I70" s="74"/>
      <c r="J70" s="78" t="s">
        <v>42</v>
      </c>
      <c r="K70" s="65"/>
      <c r="L70" s="65"/>
      <c r="M70" s="65"/>
      <c r="N70" s="65"/>
      <c r="O70" s="65"/>
      <c r="P70" s="65"/>
      <c r="Q70" s="65"/>
    </row>
    <row r="71" spans="1:17" ht="67.5" x14ac:dyDescent="0.25">
      <c r="A71" s="65"/>
      <c r="B71" s="65"/>
      <c r="C71" s="74"/>
      <c r="D71" s="65"/>
      <c r="E71" s="75"/>
      <c r="F71" s="71" t="s">
        <v>32</v>
      </c>
      <c r="G71" s="68" t="s">
        <v>568</v>
      </c>
      <c r="H71" s="75"/>
      <c r="I71" s="68" t="s">
        <v>78</v>
      </c>
      <c r="J71" s="68" t="s">
        <v>151</v>
      </c>
      <c r="K71" s="65"/>
      <c r="L71" s="65"/>
      <c r="M71" s="65"/>
      <c r="N71" s="65"/>
      <c r="O71" s="65"/>
      <c r="P71" s="65"/>
      <c r="Q71" s="65"/>
    </row>
    <row r="72" spans="1:17" ht="22.5" x14ac:dyDescent="0.25">
      <c r="A72" s="65"/>
      <c r="B72" s="65"/>
      <c r="C72" s="74"/>
      <c r="D72" s="65"/>
      <c r="E72" s="75"/>
      <c r="F72" s="71" t="s">
        <v>33</v>
      </c>
      <c r="G72" s="68" t="s">
        <v>551</v>
      </c>
      <c r="H72" s="65"/>
      <c r="I72" s="73"/>
      <c r="J72" s="68" t="s">
        <v>157</v>
      </c>
      <c r="K72" s="65"/>
      <c r="L72" s="65"/>
      <c r="M72" s="65"/>
      <c r="N72" s="65"/>
      <c r="O72" s="65"/>
      <c r="P72" s="65"/>
      <c r="Q72" s="65"/>
    </row>
    <row r="73" spans="1:17" ht="33.75" x14ac:dyDescent="0.25">
      <c r="A73" s="65"/>
      <c r="B73" s="65"/>
      <c r="C73" s="74"/>
      <c r="D73" s="65"/>
      <c r="E73" s="75"/>
      <c r="F73" s="71" t="s">
        <v>49</v>
      </c>
      <c r="G73" s="68" t="s">
        <v>190</v>
      </c>
      <c r="H73" s="65"/>
      <c r="I73" s="73" t="s">
        <v>159</v>
      </c>
      <c r="J73" s="75"/>
      <c r="K73" s="65"/>
      <c r="L73" s="65"/>
      <c r="M73" s="65"/>
      <c r="N73" s="65"/>
      <c r="O73" s="65"/>
      <c r="P73" s="65"/>
      <c r="Q73" s="65"/>
    </row>
    <row r="74" spans="1:17" x14ac:dyDescent="0.25">
      <c r="A74" s="65"/>
      <c r="B74" s="65"/>
      <c r="C74" s="74"/>
      <c r="D74" s="65"/>
      <c r="E74" s="75"/>
      <c r="F74" s="71" t="s">
        <v>56</v>
      </c>
      <c r="G74" s="77" t="s">
        <v>18</v>
      </c>
      <c r="H74" s="74"/>
      <c r="I74" s="74"/>
      <c r="J74" s="77" t="s">
        <v>20</v>
      </c>
      <c r="K74" s="65"/>
      <c r="L74" s="65"/>
      <c r="M74" s="65"/>
      <c r="N74" s="65"/>
      <c r="O74" s="65"/>
      <c r="P74" s="65"/>
      <c r="Q74" s="65"/>
    </row>
    <row r="75" spans="1:17" ht="22.5" x14ac:dyDescent="0.25">
      <c r="A75" s="65"/>
      <c r="B75" s="65"/>
      <c r="C75" s="74"/>
      <c r="D75" s="65"/>
      <c r="E75" s="75"/>
      <c r="F75" s="71" t="s">
        <v>57</v>
      </c>
      <c r="G75" s="77" t="s">
        <v>21</v>
      </c>
      <c r="H75" s="74"/>
      <c r="I75" s="74"/>
      <c r="J75" s="77" t="s">
        <v>22</v>
      </c>
      <c r="K75" s="65"/>
      <c r="L75" s="65"/>
      <c r="M75" s="65"/>
      <c r="N75" s="65"/>
      <c r="O75" s="65"/>
      <c r="P75" s="65"/>
      <c r="Q75" s="65"/>
    </row>
    <row r="76" spans="1:17" ht="33.75" x14ac:dyDescent="0.25">
      <c r="A76" s="65"/>
      <c r="B76" s="65"/>
      <c r="C76" s="74"/>
      <c r="D76" s="65"/>
      <c r="E76" s="75"/>
      <c r="F76" s="71" t="s">
        <v>58</v>
      </c>
      <c r="G76" s="77" t="s">
        <v>23</v>
      </c>
      <c r="H76" s="74"/>
      <c r="I76" s="74"/>
      <c r="J76" s="77" t="s">
        <v>41</v>
      </c>
      <c r="K76" s="65"/>
      <c r="L76" s="65"/>
      <c r="M76" s="65"/>
      <c r="N76" s="65"/>
      <c r="O76" s="65"/>
      <c r="P76" s="65"/>
      <c r="Q76" s="65"/>
    </row>
    <row r="77" spans="1:17" ht="22.5" x14ac:dyDescent="0.25">
      <c r="A77" s="65"/>
      <c r="B77" s="65"/>
      <c r="C77" s="74"/>
      <c r="D77" s="65"/>
      <c r="E77" s="75"/>
      <c r="F77" s="71" t="s">
        <v>59</v>
      </c>
      <c r="G77" s="75" t="s">
        <v>76</v>
      </c>
      <c r="H77" s="75"/>
      <c r="I77" s="75"/>
      <c r="J77" s="68" t="s">
        <v>44</v>
      </c>
      <c r="K77" s="65"/>
      <c r="L77" s="65"/>
      <c r="M77" s="65"/>
      <c r="N77" s="65"/>
      <c r="O77" s="65"/>
      <c r="P77" s="65"/>
      <c r="Q77" s="65"/>
    </row>
    <row r="78" spans="1:17" ht="22.5" x14ac:dyDescent="0.25">
      <c r="A78" s="65"/>
      <c r="B78" s="65"/>
      <c r="C78" s="65"/>
      <c r="D78" s="65"/>
      <c r="E78" s="65"/>
      <c r="F78" s="71" t="s">
        <v>60</v>
      </c>
      <c r="G78" s="78" t="s">
        <v>25</v>
      </c>
      <c r="H78" s="78"/>
      <c r="I78" s="78"/>
      <c r="J78" s="78" t="s">
        <v>27</v>
      </c>
      <c r="K78" s="65"/>
      <c r="L78" s="65"/>
      <c r="M78" s="65"/>
      <c r="N78" s="65"/>
      <c r="O78" s="65"/>
      <c r="P78" s="65"/>
      <c r="Q78" s="65"/>
    </row>
    <row r="79" spans="1:17" ht="22.5" x14ac:dyDescent="0.25">
      <c r="A79" s="65"/>
      <c r="B79" s="65"/>
      <c r="C79" s="65"/>
      <c r="D79" s="65"/>
      <c r="E79" s="65"/>
      <c r="F79" s="71" t="s">
        <v>69</v>
      </c>
      <c r="G79" s="78" t="s">
        <v>45</v>
      </c>
      <c r="H79" s="78"/>
      <c r="I79" s="74"/>
      <c r="J79" s="78" t="s">
        <v>42</v>
      </c>
      <c r="K79" s="65"/>
      <c r="L79" s="65"/>
      <c r="M79" s="65"/>
      <c r="N79" s="65"/>
      <c r="O79" s="65"/>
      <c r="P79" s="65"/>
      <c r="Q79" s="65"/>
    </row>
    <row r="80" spans="1:17" ht="23.25" x14ac:dyDescent="0.25">
      <c r="A80" s="65"/>
      <c r="B80" s="65"/>
      <c r="C80" s="65"/>
      <c r="D80" s="65"/>
      <c r="E80" s="65"/>
      <c r="F80" s="71" t="s">
        <v>71</v>
      </c>
      <c r="G80" s="73" t="s">
        <v>180</v>
      </c>
      <c r="H80" s="65"/>
      <c r="I80" s="73"/>
      <c r="J80" s="73" t="s">
        <v>181</v>
      </c>
      <c r="K80" s="65"/>
      <c r="L80" s="65"/>
      <c r="M80" s="65"/>
      <c r="N80" s="65"/>
      <c r="O80" s="65"/>
      <c r="P80" s="65"/>
      <c r="Q80" s="65"/>
    </row>
    <row r="81" spans="1:17" ht="45.75" x14ac:dyDescent="0.25">
      <c r="A81" s="65"/>
      <c r="B81" s="65"/>
      <c r="C81" s="65"/>
      <c r="D81" s="65"/>
      <c r="E81" s="65"/>
      <c r="F81" s="71" t="s">
        <v>72</v>
      </c>
      <c r="G81" s="73" t="s">
        <v>165</v>
      </c>
      <c r="H81" s="65"/>
      <c r="I81" s="73" t="s">
        <v>166</v>
      </c>
      <c r="J81" s="68" t="s">
        <v>182</v>
      </c>
      <c r="K81" s="65"/>
      <c r="L81" s="65"/>
      <c r="M81" s="65"/>
      <c r="N81" s="65"/>
      <c r="O81" s="65"/>
      <c r="P81" s="65"/>
      <c r="Q81" s="65"/>
    </row>
    <row r="82" spans="1:17" ht="78.75" x14ac:dyDescent="0.25">
      <c r="A82" s="65"/>
      <c r="B82" s="65"/>
      <c r="C82" s="66" t="s">
        <v>192</v>
      </c>
      <c r="D82" s="67" t="s">
        <v>168</v>
      </c>
      <c r="E82" s="68" t="s">
        <v>193</v>
      </c>
      <c r="F82" s="69" t="s">
        <v>17</v>
      </c>
      <c r="G82" s="70" t="s">
        <v>606</v>
      </c>
      <c r="H82" s="65"/>
      <c r="I82" s="70" t="s">
        <v>523</v>
      </c>
      <c r="J82" s="65"/>
      <c r="K82" s="65"/>
      <c r="L82" s="65"/>
      <c r="M82" s="65"/>
      <c r="N82" s="65"/>
      <c r="O82" s="65"/>
      <c r="P82" s="65"/>
      <c r="Q82" s="65"/>
    </row>
    <row r="83" spans="1:17" x14ac:dyDescent="0.25">
      <c r="A83" s="65"/>
      <c r="B83" s="65"/>
      <c r="C83" s="66"/>
      <c r="D83" s="67"/>
      <c r="E83" s="68"/>
      <c r="F83" s="71" t="s">
        <v>19</v>
      </c>
      <c r="G83" s="72" t="s">
        <v>18</v>
      </c>
      <c r="H83" s="65"/>
      <c r="I83" s="73"/>
      <c r="J83" s="72" t="s">
        <v>20</v>
      </c>
      <c r="K83" s="65"/>
      <c r="L83" s="65"/>
      <c r="M83" s="65"/>
      <c r="N83" s="65"/>
      <c r="O83" s="65"/>
      <c r="P83" s="65"/>
      <c r="Q83" s="65"/>
    </row>
    <row r="84" spans="1:17" ht="22.5" x14ac:dyDescent="0.25">
      <c r="A84" s="65"/>
      <c r="B84" s="65"/>
      <c r="C84" s="74"/>
      <c r="D84" s="65"/>
      <c r="E84" s="75"/>
      <c r="F84" s="71" t="s">
        <v>26</v>
      </c>
      <c r="G84" s="72" t="s">
        <v>21</v>
      </c>
      <c r="H84" s="65"/>
      <c r="I84" s="73"/>
      <c r="J84" s="72" t="s">
        <v>22</v>
      </c>
      <c r="K84" s="65"/>
      <c r="L84" s="65"/>
      <c r="M84" s="65"/>
      <c r="N84" s="65"/>
      <c r="O84" s="65"/>
      <c r="P84" s="65"/>
      <c r="Q84" s="65"/>
    </row>
    <row r="85" spans="1:17" ht="33.75" x14ac:dyDescent="0.25">
      <c r="A85" s="65"/>
      <c r="B85" s="65"/>
      <c r="C85" s="74"/>
      <c r="D85" s="65"/>
      <c r="E85" s="75"/>
      <c r="F85" s="71" t="s">
        <v>28</v>
      </c>
      <c r="G85" s="72" t="s">
        <v>155</v>
      </c>
      <c r="H85" s="65"/>
      <c r="I85" s="73"/>
      <c r="J85" s="72" t="s">
        <v>156</v>
      </c>
      <c r="K85" s="65"/>
      <c r="L85" s="65"/>
      <c r="M85" s="65"/>
      <c r="N85" s="65"/>
      <c r="O85" s="65"/>
      <c r="P85" s="65"/>
      <c r="Q85" s="65"/>
    </row>
    <row r="86" spans="1:17" ht="22.5" x14ac:dyDescent="0.25">
      <c r="A86" s="65"/>
      <c r="B86" s="65"/>
      <c r="C86" s="74"/>
      <c r="D86" s="65"/>
      <c r="E86" s="75"/>
      <c r="F86" s="71" t="s">
        <v>29</v>
      </c>
      <c r="G86" s="68" t="s">
        <v>169</v>
      </c>
      <c r="H86" s="65"/>
      <c r="I86" s="73"/>
      <c r="J86" s="68" t="s">
        <v>170</v>
      </c>
      <c r="K86" s="65"/>
      <c r="L86" s="65"/>
      <c r="M86" s="65"/>
      <c r="N86" s="65"/>
      <c r="O86" s="65"/>
      <c r="P86" s="65"/>
      <c r="Q86" s="65"/>
    </row>
    <row r="87" spans="1:17" ht="22.5" x14ac:dyDescent="0.25">
      <c r="A87" s="65"/>
      <c r="B87" s="65"/>
      <c r="C87" s="74"/>
      <c r="D87" s="65"/>
      <c r="E87" s="75"/>
      <c r="F87" s="71" t="s">
        <v>30</v>
      </c>
      <c r="G87" s="68" t="s">
        <v>171</v>
      </c>
      <c r="H87" s="65"/>
      <c r="I87" s="73"/>
      <c r="J87" s="68" t="s">
        <v>172</v>
      </c>
      <c r="K87" s="65"/>
      <c r="L87" s="65"/>
      <c r="M87" s="65"/>
      <c r="N87" s="65"/>
      <c r="O87" s="65"/>
      <c r="P87" s="65"/>
      <c r="Q87" s="65"/>
    </row>
    <row r="88" spans="1:17" ht="22.5" x14ac:dyDescent="0.25">
      <c r="A88" s="65"/>
      <c r="B88" s="65"/>
      <c r="C88" s="74"/>
      <c r="D88" s="65"/>
      <c r="E88" s="75"/>
      <c r="F88" s="71" t="s">
        <v>31</v>
      </c>
      <c r="G88" s="78" t="s">
        <v>45</v>
      </c>
      <c r="H88" s="78"/>
      <c r="I88" s="74"/>
      <c r="J88" s="78" t="s">
        <v>42</v>
      </c>
      <c r="K88" s="65"/>
      <c r="L88" s="65"/>
      <c r="M88" s="65"/>
      <c r="N88" s="65"/>
      <c r="O88" s="65"/>
      <c r="P88" s="65"/>
      <c r="Q88" s="65"/>
    </row>
    <row r="89" spans="1:17" ht="67.5" x14ac:dyDescent="0.25">
      <c r="A89" s="65"/>
      <c r="B89" s="65"/>
      <c r="C89" s="74"/>
      <c r="D89" s="65"/>
      <c r="E89" s="75"/>
      <c r="F89" s="71" t="s">
        <v>32</v>
      </c>
      <c r="G89" s="68" t="s">
        <v>568</v>
      </c>
      <c r="H89" s="75"/>
      <c r="I89" s="68" t="s">
        <v>78</v>
      </c>
      <c r="J89" s="81" t="s">
        <v>262</v>
      </c>
      <c r="K89" s="65"/>
      <c r="L89" s="65"/>
      <c r="M89" s="65"/>
      <c r="N89" s="65"/>
      <c r="O89" s="65"/>
      <c r="P89" s="65"/>
      <c r="Q89" s="65"/>
    </row>
    <row r="90" spans="1:17" ht="22.5" x14ac:dyDescent="0.25">
      <c r="A90" s="65"/>
      <c r="B90" s="65"/>
      <c r="C90" s="74"/>
      <c r="D90" s="65"/>
      <c r="E90" s="75"/>
      <c r="F90" s="71" t="s">
        <v>33</v>
      </c>
      <c r="G90" s="68" t="s">
        <v>552</v>
      </c>
      <c r="H90" s="65"/>
      <c r="I90" s="73"/>
      <c r="J90" s="68" t="s">
        <v>157</v>
      </c>
      <c r="K90" s="65"/>
      <c r="L90" s="65"/>
      <c r="M90" s="65"/>
      <c r="N90" s="65"/>
      <c r="O90" s="65"/>
      <c r="P90" s="65"/>
      <c r="Q90" s="65"/>
    </row>
    <row r="91" spans="1:17" ht="33.75" x14ac:dyDescent="0.25">
      <c r="A91" s="65"/>
      <c r="B91" s="65"/>
      <c r="C91" s="74"/>
      <c r="D91" s="65"/>
      <c r="E91" s="75"/>
      <c r="F91" s="71" t="s">
        <v>49</v>
      </c>
      <c r="G91" s="68" t="s">
        <v>194</v>
      </c>
      <c r="H91" s="65"/>
      <c r="I91" s="73" t="s">
        <v>159</v>
      </c>
      <c r="J91" s="75"/>
      <c r="K91" s="65"/>
      <c r="L91" s="65"/>
      <c r="M91" s="65"/>
      <c r="N91" s="65"/>
      <c r="O91" s="65"/>
      <c r="P91" s="65"/>
      <c r="Q91" s="65"/>
    </row>
    <row r="92" spans="1:17" x14ac:dyDescent="0.25">
      <c r="A92" s="65"/>
      <c r="B92" s="65"/>
      <c r="C92" s="74"/>
      <c r="D92" s="65"/>
      <c r="E92" s="75"/>
      <c r="F92" s="71" t="s">
        <v>56</v>
      </c>
      <c r="G92" s="77" t="s">
        <v>18</v>
      </c>
      <c r="H92" s="74"/>
      <c r="I92" s="74"/>
      <c r="J92" s="77" t="s">
        <v>20</v>
      </c>
      <c r="K92" s="65"/>
      <c r="L92" s="65"/>
      <c r="M92" s="65"/>
      <c r="N92" s="65"/>
      <c r="O92" s="65"/>
      <c r="P92" s="65"/>
      <c r="Q92" s="65"/>
    </row>
    <row r="93" spans="1:17" ht="22.5" x14ac:dyDescent="0.25">
      <c r="A93" s="65"/>
      <c r="B93" s="65"/>
      <c r="C93" s="74"/>
      <c r="D93" s="65"/>
      <c r="E93" s="75"/>
      <c r="F93" s="71" t="s">
        <v>57</v>
      </c>
      <c r="G93" s="77" t="s">
        <v>21</v>
      </c>
      <c r="H93" s="74"/>
      <c r="I93" s="74"/>
      <c r="J93" s="77" t="s">
        <v>22</v>
      </c>
      <c r="K93" s="65"/>
      <c r="L93" s="65"/>
      <c r="M93" s="65"/>
      <c r="N93" s="65"/>
      <c r="O93" s="65"/>
      <c r="P93" s="65"/>
      <c r="Q93" s="65"/>
    </row>
    <row r="94" spans="1:17" ht="33.75" x14ac:dyDescent="0.25">
      <c r="A94" s="65"/>
      <c r="B94" s="65"/>
      <c r="C94" s="74"/>
      <c r="D94" s="65"/>
      <c r="E94" s="75"/>
      <c r="F94" s="71" t="s">
        <v>58</v>
      </c>
      <c r="G94" s="77" t="s">
        <v>23</v>
      </c>
      <c r="H94" s="74"/>
      <c r="I94" s="74"/>
      <c r="J94" s="77" t="s">
        <v>41</v>
      </c>
      <c r="K94" s="65"/>
      <c r="L94" s="65"/>
      <c r="M94" s="65"/>
      <c r="N94" s="65"/>
      <c r="O94" s="65"/>
      <c r="P94" s="65"/>
      <c r="Q94" s="65"/>
    </row>
    <row r="95" spans="1:17" ht="22.5" x14ac:dyDescent="0.25">
      <c r="A95" s="65"/>
      <c r="B95" s="65"/>
      <c r="C95" s="74"/>
      <c r="D95" s="65"/>
      <c r="E95" s="75"/>
      <c r="F95" s="71" t="s">
        <v>59</v>
      </c>
      <c r="G95" s="75" t="s">
        <v>76</v>
      </c>
      <c r="H95" s="75"/>
      <c r="I95" s="75"/>
      <c r="J95" s="68" t="s">
        <v>44</v>
      </c>
      <c r="K95" s="65"/>
      <c r="L95" s="65"/>
      <c r="M95" s="65"/>
      <c r="N95" s="65"/>
      <c r="O95" s="65"/>
      <c r="P95" s="65"/>
      <c r="Q95" s="65"/>
    </row>
    <row r="96" spans="1:17" ht="22.5" x14ac:dyDescent="0.25">
      <c r="A96" s="65"/>
      <c r="B96" s="65"/>
      <c r="C96" s="65"/>
      <c r="D96" s="65"/>
      <c r="E96" s="65"/>
      <c r="F96" s="71" t="s">
        <v>60</v>
      </c>
      <c r="G96" s="78" t="s">
        <v>25</v>
      </c>
      <c r="H96" s="78"/>
      <c r="I96" s="78"/>
      <c r="J96" s="78" t="s">
        <v>27</v>
      </c>
      <c r="K96" s="65"/>
      <c r="L96" s="65"/>
      <c r="M96" s="65"/>
      <c r="N96" s="65"/>
      <c r="O96" s="65"/>
      <c r="P96" s="65"/>
      <c r="Q96" s="65"/>
    </row>
    <row r="97" spans="1:17" ht="22.5" x14ac:dyDescent="0.25">
      <c r="A97" s="65"/>
      <c r="B97" s="65"/>
      <c r="C97" s="65"/>
      <c r="D97" s="65"/>
      <c r="E97" s="65"/>
      <c r="F97" s="71" t="s">
        <v>69</v>
      </c>
      <c r="G97" s="78" t="s">
        <v>45</v>
      </c>
      <c r="H97" s="78"/>
      <c r="I97" s="74"/>
      <c r="J97" s="78" t="s">
        <v>42</v>
      </c>
      <c r="K97" s="65"/>
      <c r="L97" s="65"/>
      <c r="M97" s="65"/>
      <c r="N97" s="65"/>
      <c r="O97" s="65"/>
      <c r="P97" s="65"/>
      <c r="Q97" s="65"/>
    </row>
    <row r="98" spans="1:17" ht="23.25" x14ac:dyDescent="0.25">
      <c r="A98" s="65"/>
      <c r="B98" s="65"/>
      <c r="C98" s="65"/>
      <c r="D98" s="65"/>
      <c r="E98" s="65"/>
      <c r="F98" s="71" t="s">
        <v>71</v>
      </c>
      <c r="G98" s="73" t="s">
        <v>164</v>
      </c>
      <c r="H98" s="65"/>
      <c r="I98" s="73"/>
      <c r="J98" s="73" t="s">
        <v>195</v>
      </c>
      <c r="K98" s="65"/>
      <c r="L98" s="65"/>
      <c r="M98" s="65"/>
      <c r="N98" s="65"/>
      <c r="O98" s="65"/>
      <c r="P98" s="65"/>
      <c r="Q98" s="65"/>
    </row>
    <row r="99" spans="1:17" ht="45.75" x14ac:dyDescent="0.25">
      <c r="A99" s="65"/>
      <c r="B99" s="65"/>
      <c r="C99" s="65"/>
      <c r="D99" s="65"/>
      <c r="E99" s="65"/>
      <c r="F99" s="71" t="s">
        <v>72</v>
      </c>
      <c r="G99" s="70" t="s">
        <v>165</v>
      </c>
      <c r="H99" s="65"/>
      <c r="I99" s="73" t="s">
        <v>166</v>
      </c>
      <c r="J99" s="68" t="s">
        <v>173</v>
      </c>
      <c r="K99" s="65"/>
      <c r="L99" s="65"/>
      <c r="M99" s="65"/>
      <c r="N99" s="65"/>
      <c r="O99" s="65"/>
      <c r="P99" s="65"/>
      <c r="Q99" s="65"/>
    </row>
    <row r="100" spans="1:17" ht="78.75" x14ac:dyDescent="0.25">
      <c r="A100" s="65"/>
      <c r="B100" s="65"/>
      <c r="C100" s="79" t="s">
        <v>198</v>
      </c>
      <c r="D100" s="67" t="s">
        <v>168</v>
      </c>
      <c r="E100" s="68" t="s">
        <v>196</v>
      </c>
      <c r="F100" s="69" t="s">
        <v>17</v>
      </c>
      <c r="G100" s="84" t="s">
        <v>607</v>
      </c>
      <c r="H100" s="65"/>
      <c r="I100" s="70" t="s">
        <v>523</v>
      </c>
      <c r="J100" s="65"/>
      <c r="K100" s="65"/>
      <c r="L100" s="65"/>
      <c r="M100" s="65"/>
      <c r="N100" s="65"/>
      <c r="O100" s="65"/>
      <c r="P100" s="65"/>
      <c r="Q100" s="65"/>
    </row>
    <row r="101" spans="1:17" x14ac:dyDescent="0.25">
      <c r="A101" s="65"/>
      <c r="B101" s="65"/>
      <c r="C101" s="66"/>
      <c r="D101" s="67"/>
      <c r="E101" s="68"/>
      <c r="F101" s="71" t="s">
        <v>19</v>
      </c>
      <c r="G101" s="72" t="s">
        <v>18</v>
      </c>
      <c r="H101" s="65"/>
      <c r="I101" s="73"/>
      <c r="J101" s="72" t="s">
        <v>20</v>
      </c>
      <c r="K101" s="65"/>
      <c r="L101" s="65"/>
      <c r="M101" s="65"/>
      <c r="N101" s="65"/>
      <c r="O101" s="65"/>
      <c r="P101" s="65"/>
      <c r="Q101" s="65"/>
    </row>
    <row r="102" spans="1:17" ht="22.5" x14ac:dyDescent="0.25">
      <c r="A102" s="65"/>
      <c r="B102" s="65"/>
      <c r="C102" s="74"/>
      <c r="D102" s="65"/>
      <c r="E102" s="75"/>
      <c r="F102" s="71" t="s">
        <v>26</v>
      </c>
      <c r="G102" s="72" t="s">
        <v>21</v>
      </c>
      <c r="H102" s="65"/>
      <c r="I102" s="73"/>
      <c r="J102" s="72" t="s">
        <v>22</v>
      </c>
      <c r="K102" s="65"/>
      <c r="L102" s="65"/>
      <c r="M102" s="65"/>
      <c r="N102" s="65"/>
      <c r="O102" s="65"/>
      <c r="P102" s="65"/>
      <c r="Q102" s="65"/>
    </row>
    <row r="103" spans="1:17" ht="33.75" x14ac:dyDescent="0.25">
      <c r="A103" s="65"/>
      <c r="B103" s="65"/>
      <c r="C103" s="74"/>
      <c r="D103" s="65"/>
      <c r="E103" s="75"/>
      <c r="F103" s="71" t="s">
        <v>28</v>
      </c>
      <c r="G103" s="72" t="s">
        <v>155</v>
      </c>
      <c r="H103" s="65"/>
      <c r="I103" s="73"/>
      <c r="J103" s="72" t="s">
        <v>156</v>
      </c>
      <c r="K103" s="65"/>
      <c r="L103" s="65"/>
      <c r="M103" s="65"/>
      <c r="N103" s="65"/>
      <c r="O103" s="65"/>
      <c r="P103" s="65"/>
      <c r="Q103" s="65"/>
    </row>
    <row r="104" spans="1:17" ht="22.5" x14ac:dyDescent="0.25">
      <c r="A104" s="65"/>
      <c r="B104" s="65"/>
      <c r="C104" s="74"/>
      <c r="D104" s="65"/>
      <c r="E104" s="75"/>
      <c r="F104" s="71" t="s">
        <v>29</v>
      </c>
      <c r="G104" s="68" t="s">
        <v>169</v>
      </c>
      <c r="H104" s="65"/>
      <c r="I104" s="73"/>
      <c r="J104" s="68" t="s">
        <v>170</v>
      </c>
      <c r="K104" s="65"/>
      <c r="L104" s="65"/>
      <c r="M104" s="65"/>
      <c r="N104" s="65"/>
      <c r="O104" s="65"/>
      <c r="P104" s="65"/>
      <c r="Q104" s="65"/>
    </row>
    <row r="105" spans="1:17" ht="22.5" x14ac:dyDescent="0.25">
      <c r="A105" s="65"/>
      <c r="B105" s="65"/>
      <c r="C105" s="74"/>
      <c r="D105" s="65"/>
      <c r="E105" s="75"/>
      <c r="F105" s="71" t="s">
        <v>30</v>
      </c>
      <c r="G105" s="68" t="s">
        <v>171</v>
      </c>
      <c r="H105" s="65"/>
      <c r="I105" s="73"/>
      <c r="J105" s="68" t="s">
        <v>172</v>
      </c>
      <c r="K105" s="65"/>
      <c r="L105" s="65"/>
      <c r="M105" s="65"/>
      <c r="N105" s="65"/>
      <c r="O105" s="65"/>
      <c r="P105" s="65"/>
      <c r="Q105" s="65"/>
    </row>
    <row r="106" spans="1:17" ht="22.5" x14ac:dyDescent="0.25">
      <c r="A106" s="65"/>
      <c r="B106" s="65"/>
      <c r="C106" s="74"/>
      <c r="D106" s="65"/>
      <c r="E106" s="75"/>
      <c r="F106" s="71" t="s">
        <v>31</v>
      </c>
      <c r="G106" s="68" t="s">
        <v>174</v>
      </c>
      <c r="H106" s="65"/>
      <c r="I106" s="73"/>
      <c r="J106" s="68" t="s">
        <v>175</v>
      </c>
      <c r="K106" s="65"/>
      <c r="L106" s="65"/>
      <c r="M106" s="65"/>
      <c r="N106" s="65"/>
      <c r="O106" s="65"/>
      <c r="P106" s="65"/>
      <c r="Q106" s="65"/>
    </row>
    <row r="107" spans="1:17" ht="67.5" x14ac:dyDescent="0.25">
      <c r="A107" s="65"/>
      <c r="B107" s="65"/>
      <c r="C107" s="74"/>
      <c r="D107" s="65"/>
      <c r="E107" s="75"/>
      <c r="F107" s="71" t="s">
        <v>32</v>
      </c>
      <c r="G107" s="68" t="s">
        <v>568</v>
      </c>
      <c r="H107" s="75"/>
      <c r="I107" s="68" t="s">
        <v>78</v>
      </c>
      <c r="J107" s="68" t="s">
        <v>151</v>
      </c>
      <c r="K107" s="65"/>
      <c r="L107" s="65"/>
      <c r="M107" s="65"/>
      <c r="N107" s="65"/>
      <c r="O107" s="65"/>
      <c r="P107" s="65"/>
      <c r="Q107" s="65"/>
    </row>
    <row r="108" spans="1:17" ht="33.75" x14ac:dyDescent="0.25">
      <c r="A108" s="65"/>
      <c r="B108" s="65"/>
      <c r="C108" s="74"/>
      <c r="D108" s="65"/>
      <c r="E108" s="75"/>
      <c r="F108" s="71" t="s">
        <v>33</v>
      </c>
      <c r="G108" s="68" t="s">
        <v>50</v>
      </c>
      <c r="H108" s="75"/>
      <c r="I108" s="68"/>
      <c r="J108" s="68" t="s">
        <v>51</v>
      </c>
      <c r="K108" s="65"/>
      <c r="L108" s="65"/>
      <c r="M108" s="65"/>
      <c r="N108" s="65"/>
      <c r="O108" s="65"/>
      <c r="P108" s="65"/>
      <c r="Q108" s="65"/>
    </row>
    <row r="109" spans="1:17" ht="90" x14ac:dyDescent="0.25">
      <c r="A109" s="65"/>
      <c r="B109" s="65"/>
      <c r="C109" s="74"/>
      <c r="D109" s="65"/>
      <c r="E109" s="75"/>
      <c r="F109" s="71" t="s">
        <v>49</v>
      </c>
      <c r="G109" s="66" t="s">
        <v>566</v>
      </c>
      <c r="H109" s="65"/>
      <c r="I109" s="66" t="s">
        <v>119</v>
      </c>
      <c r="J109" s="66" t="s">
        <v>120</v>
      </c>
      <c r="K109" s="65"/>
      <c r="L109" s="65"/>
      <c r="M109" s="65"/>
      <c r="N109" s="65"/>
      <c r="O109" s="65"/>
      <c r="P109" s="65"/>
      <c r="Q109" s="65"/>
    </row>
    <row r="110" spans="1:17" ht="33.75" x14ac:dyDescent="0.25">
      <c r="A110" s="65"/>
      <c r="B110" s="65"/>
      <c r="C110" s="65"/>
      <c r="D110" s="65"/>
      <c r="E110" s="65"/>
      <c r="F110" s="71" t="s">
        <v>56</v>
      </c>
      <c r="G110" s="81" t="s">
        <v>608</v>
      </c>
      <c r="H110" s="65"/>
      <c r="I110" s="73"/>
      <c r="J110" s="68" t="s">
        <v>157</v>
      </c>
      <c r="K110" s="65"/>
      <c r="L110" s="65"/>
      <c r="M110" s="65"/>
      <c r="N110" s="65"/>
      <c r="O110" s="65"/>
      <c r="P110" s="65"/>
      <c r="Q110" s="65"/>
    </row>
    <row r="111" spans="1:17" ht="45" x14ac:dyDescent="0.25">
      <c r="A111" s="65"/>
      <c r="B111" s="65"/>
      <c r="C111" s="65"/>
      <c r="D111" s="65"/>
      <c r="E111" s="65"/>
      <c r="F111" s="71" t="s">
        <v>57</v>
      </c>
      <c r="G111" s="80" t="s">
        <v>609</v>
      </c>
      <c r="H111" s="65"/>
      <c r="I111" s="73" t="s">
        <v>159</v>
      </c>
      <c r="J111" s="75"/>
      <c r="K111" s="65"/>
      <c r="L111" s="65"/>
      <c r="M111" s="65"/>
      <c r="N111" s="65"/>
      <c r="O111" s="65"/>
      <c r="P111" s="65"/>
      <c r="Q111" s="65"/>
    </row>
    <row r="112" spans="1:17" x14ac:dyDescent="0.25">
      <c r="A112" s="65"/>
      <c r="B112" s="65"/>
      <c r="C112" s="65"/>
      <c r="D112" s="65"/>
      <c r="E112" s="65"/>
      <c r="F112" s="71" t="s">
        <v>58</v>
      </c>
      <c r="G112" s="77" t="s">
        <v>18</v>
      </c>
      <c r="H112" s="74"/>
      <c r="I112" s="74"/>
      <c r="J112" s="77" t="s">
        <v>20</v>
      </c>
      <c r="K112" s="65"/>
      <c r="L112" s="65"/>
      <c r="M112" s="65"/>
      <c r="N112" s="65"/>
      <c r="O112" s="65"/>
      <c r="P112" s="65"/>
      <c r="Q112" s="65"/>
    </row>
    <row r="113" spans="1:17" ht="22.5" x14ac:dyDescent="0.25">
      <c r="A113" s="65"/>
      <c r="B113" s="65"/>
      <c r="C113" s="65"/>
      <c r="D113" s="65"/>
      <c r="E113" s="65"/>
      <c r="F113" s="71" t="s">
        <v>59</v>
      </c>
      <c r="G113" s="77" t="s">
        <v>21</v>
      </c>
      <c r="H113" s="74"/>
      <c r="I113" s="74"/>
      <c r="J113" s="77" t="s">
        <v>22</v>
      </c>
      <c r="K113" s="65"/>
      <c r="L113" s="65"/>
      <c r="M113" s="65"/>
      <c r="N113" s="65"/>
      <c r="O113" s="65"/>
      <c r="P113" s="65"/>
      <c r="Q113" s="65"/>
    </row>
    <row r="114" spans="1:17" ht="33.75" x14ac:dyDescent="0.25">
      <c r="A114" s="65"/>
      <c r="B114" s="65"/>
      <c r="C114" s="65"/>
      <c r="D114" s="65"/>
      <c r="E114" s="65"/>
      <c r="F114" s="71" t="s">
        <v>60</v>
      </c>
      <c r="G114" s="77" t="s">
        <v>23</v>
      </c>
      <c r="H114" s="74"/>
      <c r="I114" s="74"/>
      <c r="J114" s="77" t="s">
        <v>41</v>
      </c>
      <c r="K114" s="65"/>
      <c r="L114" s="65"/>
      <c r="M114" s="65"/>
      <c r="N114" s="65"/>
      <c r="O114" s="65"/>
      <c r="P114" s="65"/>
      <c r="Q114" s="65"/>
    </row>
    <row r="115" spans="1:17" ht="22.5" x14ac:dyDescent="0.25">
      <c r="A115" s="65"/>
      <c r="B115" s="65"/>
      <c r="C115" s="65"/>
      <c r="D115" s="65"/>
      <c r="E115" s="65"/>
      <c r="F115" s="71" t="s">
        <v>69</v>
      </c>
      <c r="G115" s="75" t="s">
        <v>76</v>
      </c>
      <c r="H115" s="75"/>
      <c r="I115" s="75"/>
      <c r="J115" s="68" t="s">
        <v>44</v>
      </c>
      <c r="K115" s="65"/>
      <c r="L115" s="65"/>
      <c r="M115" s="65"/>
      <c r="N115" s="65"/>
      <c r="O115" s="65"/>
      <c r="P115" s="65"/>
      <c r="Q115" s="65"/>
    </row>
    <row r="116" spans="1:17" ht="22.5" x14ac:dyDescent="0.25">
      <c r="A116" s="65"/>
      <c r="B116" s="65"/>
      <c r="C116" s="65"/>
      <c r="D116" s="65"/>
      <c r="E116" s="65"/>
      <c r="F116" s="71" t="s">
        <v>71</v>
      </c>
      <c r="G116" s="78" t="s">
        <v>25</v>
      </c>
      <c r="H116" s="78"/>
      <c r="I116" s="78"/>
      <c r="J116" s="78" t="s">
        <v>27</v>
      </c>
      <c r="K116" s="65"/>
      <c r="L116" s="65"/>
      <c r="M116" s="65"/>
      <c r="N116" s="65"/>
      <c r="O116" s="65"/>
      <c r="P116" s="65"/>
      <c r="Q116" s="65"/>
    </row>
    <row r="117" spans="1:17" ht="22.5" x14ac:dyDescent="0.25">
      <c r="A117" s="65"/>
      <c r="B117" s="65"/>
      <c r="C117" s="65"/>
      <c r="D117" s="65"/>
      <c r="E117" s="65"/>
      <c r="F117" s="71" t="s">
        <v>72</v>
      </c>
      <c r="G117" s="78" t="s">
        <v>45</v>
      </c>
      <c r="H117" s="78"/>
      <c r="I117" s="74"/>
      <c r="J117" s="78" t="s">
        <v>42</v>
      </c>
      <c r="K117" s="65"/>
      <c r="L117" s="65"/>
      <c r="M117" s="65"/>
      <c r="N117" s="65"/>
      <c r="O117" s="65"/>
      <c r="P117" s="65"/>
      <c r="Q117" s="65"/>
    </row>
    <row r="118" spans="1:17" ht="23.25" x14ac:dyDescent="0.25">
      <c r="A118" s="65"/>
      <c r="B118" s="65"/>
      <c r="C118" s="65"/>
      <c r="D118" s="65"/>
      <c r="E118" s="65"/>
      <c r="F118" s="71" t="s">
        <v>73</v>
      </c>
      <c r="G118" s="73" t="s">
        <v>164</v>
      </c>
      <c r="H118" s="65"/>
      <c r="I118" s="73"/>
      <c r="J118" s="73" t="s">
        <v>195</v>
      </c>
      <c r="K118" s="65"/>
      <c r="L118" s="65"/>
      <c r="M118" s="65"/>
      <c r="N118" s="65"/>
      <c r="O118" s="65"/>
      <c r="P118" s="65"/>
      <c r="Q118" s="65"/>
    </row>
    <row r="119" spans="1:17" ht="45.75" x14ac:dyDescent="0.25">
      <c r="A119" s="65"/>
      <c r="B119" s="65"/>
      <c r="C119" s="65"/>
      <c r="D119" s="65"/>
      <c r="E119" s="65"/>
      <c r="F119" s="71" t="s">
        <v>197</v>
      </c>
      <c r="G119" s="70" t="s">
        <v>165</v>
      </c>
      <c r="H119" s="65"/>
      <c r="I119" s="73" t="s">
        <v>166</v>
      </c>
      <c r="J119" s="68" t="s">
        <v>173</v>
      </c>
      <c r="K119" s="65"/>
      <c r="L119" s="65"/>
      <c r="M119" s="65"/>
      <c r="N119" s="65"/>
      <c r="O119" s="65"/>
      <c r="P119" s="65"/>
      <c r="Q119" s="65"/>
    </row>
    <row r="120" spans="1:17" ht="89.25" customHeight="1" x14ac:dyDescent="0.25">
      <c r="A120" s="65"/>
      <c r="B120" s="65"/>
      <c r="C120" s="82" t="s">
        <v>204</v>
      </c>
      <c r="D120" s="66" t="s">
        <v>205</v>
      </c>
      <c r="E120" s="83" t="s">
        <v>524</v>
      </c>
      <c r="F120" s="69" t="s">
        <v>17</v>
      </c>
      <c r="G120" s="80" t="s">
        <v>610</v>
      </c>
      <c r="H120" s="65"/>
      <c r="I120" s="70" t="s">
        <v>523</v>
      </c>
      <c r="J120" s="75"/>
      <c r="K120" s="65"/>
      <c r="L120" s="65"/>
      <c r="M120" s="65"/>
      <c r="N120" s="65"/>
      <c r="O120" s="65"/>
      <c r="P120" s="65"/>
      <c r="Q120" s="65"/>
    </row>
    <row r="121" spans="1:17" ht="41.25" customHeight="1" x14ac:dyDescent="0.25">
      <c r="A121" s="65"/>
      <c r="B121" s="65"/>
      <c r="C121" s="74"/>
      <c r="D121" s="75"/>
      <c r="E121" s="75"/>
      <c r="F121" s="75" t="s">
        <v>19</v>
      </c>
      <c r="G121" s="72" t="s">
        <v>18</v>
      </c>
      <c r="H121" s="65"/>
      <c r="I121" s="73"/>
      <c r="J121" s="72" t="s">
        <v>20</v>
      </c>
      <c r="K121" s="65"/>
      <c r="L121" s="65"/>
      <c r="M121" s="65"/>
      <c r="N121" s="65"/>
      <c r="O121" s="65"/>
      <c r="P121" s="65"/>
      <c r="Q121" s="65"/>
    </row>
    <row r="122" spans="1:17" ht="22.5" x14ac:dyDescent="0.25">
      <c r="A122" s="65"/>
      <c r="B122" s="65"/>
      <c r="C122" s="74"/>
      <c r="D122" s="75"/>
      <c r="E122" s="75"/>
      <c r="F122" s="75" t="s">
        <v>26</v>
      </c>
      <c r="G122" s="72" t="s">
        <v>21</v>
      </c>
      <c r="H122" s="65"/>
      <c r="I122" s="73"/>
      <c r="J122" s="72" t="s">
        <v>22</v>
      </c>
      <c r="K122" s="65"/>
      <c r="L122" s="65"/>
      <c r="M122" s="65"/>
      <c r="N122" s="65"/>
      <c r="O122" s="65"/>
      <c r="P122" s="65"/>
      <c r="Q122" s="65"/>
    </row>
    <row r="123" spans="1:17" ht="33.75" x14ac:dyDescent="0.25">
      <c r="A123" s="65"/>
      <c r="B123" s="65"/>
      <c r="C123" s="74"/>
      <c r="D123" s="75"/>
      <c r="E123" s="75"/>
      <c r="F123" s="75" t="s">
        <v>28</v>
      </c>
      <c r="G123" s="72" t="s">
        <v>155</v>
      </c>
      <c r="H123" s="65"/>
      <c r="I123" s="73"/>
      <c r="J123" s="72" t="s">
        <v>156</v>
      </c>
      <c r="K123" s="65"/>
      <c r="L123" s="65"/>
      <c r="M123" s="65"/>
      <c r="N123" s="65"/>
      <c r="O123" s="65"/>
      <c r="P123" s="65"/>
      <c r="Q123" s="65"/>
    </row>
    <row r="124" spans="1:17" ht="22.5" x14ac:dyDescent="0.25">
      <c r="A124" s="65"/>
      <c r="B124" s="65"/>
      <c r="C124" s="74"/>
      <c r="D124" s="75"/>
      <c r="E124" s="75"/>
      <c r="F124" s="75" t="s">
        <v>29</v>
      </c>
      <c r="G124" s="68" t="s">
        <v>169</v>
      </c>
      <c r="H124" s="65"/>
      <c r="I124" s="73"/>
      <c r="J124" s="68" t="s">
        <v>170</v>
      </c>
      <c r="K124" s="65"/>
      <c r="L124" s="65"/>
      <c r="M124" s="65"/>
      <c r="N124" s="65"/>
      <c r="O124" s="65"/>
      <c r="P124" s="65"/>
      <c r="Q124" s="65"/>
    </row>
    <row r="125" spans="1:17" ht="22.5" x14ac:dyDescent="0.25">
      <c r="A125" s="65"/>
      <c r="B125" s="65"/>
      <c r="C125" s="74"/>
      <c r="D125" s="75"/>
      <c r="E125" s="75"/>
      <c r="F125" s="75" t="s">
        <v>30</v>
      </c>
      <c r="G125" s="68" t="s">
        <v>171</v>
      </c>
      <c r="H125" s="65"/>
      <c r="I125" s="73"/>
      <c r="J125" s="68" t="s">
        <v>172</v>
      </c>
      <c r="K125" s="65"/>
      <c r="L125" s="65"/>
      <c r="M125" s="65"/>
      <c r="N125" s="65"/>
      <c r="O125" s="65"/>
      <c r="P125" s="65"/>
      <c r="Q125" s="65"/>
    </row>
    <row r="126" spans="1:17" ht="22.5" x14ac:dyDescent="0.25">
      <c r="A126" s="65"/>
      <c r="B126" s="65"/>
      <c r="C126" s="74"/>
      <c r="D126" s="75"/>
      <c r="E126" s="75"/>
      <c r="F126" s="75" t="s">
        <v>31</v>
      </c>
      <c r="G126" s="68" t="s">
        <v>201</v>
      </c>
      <c r="H126" s="65"/>
      <c r="I126" s="73"/>
      <c r="J126" s="68" t="s">
        <v>163</v>
      </c>
      <c r="K126" s="65"/>
      <c r="L126" s="65"/>
      <c r="M126" s="65"/>
      <c r="N126" s="65"/>
      <c r="O126" s="65"/>
      <c r="P126" s="65"/>
      <c r="Q126" s="65"/>
    </row>
    <row r="127" spans="1:17" ht="119.25" customHeight="1" x14ac:dyDescent="0.25">
      <c r="A127" s="65"/>
      <c r="B127" s="65"/>
      <c r="C127" s="74"/>
      <c r="D127" s="75"/>
      <c r="E127" s="75"/>
      <c r="F127" s="75" t="s">
        <v>32</v>
      </c>
      <c r="G127" s="68" t="s">
        <v>208</v>
      </c>
      <c r="H127" s="65"/>
      <c r="I127" s="73" t="s">
        <v>209</v>
      </c>
      <c r="J127" s="68" t="s">
        <v>528</v>
      </c>
      <c r="K127" s="65"/>
      <c r="L127" s="65"/>
      <c r="M127" s="65"/>
      <c r="N127" s="65"/>
      <c r="O127" s="65"/>
      <c r="P127" s="65"/>
      <c r="Q127" s="65"/>
    </row>
    <row r="128" spans="1:17" ht="107.25" customHeight="1" x14ac:dyDescent="0.25">
      <c r="A128" s="65"/>
      <c r="B128" s="65"/>
      <c r="C128" s="74"/>
      <c r="D128" s="75"/>
      <c r="E128" s="75"/>
      <c r="F128" s="75" t="s">
        <v>33</v>
      </c>
      <c r="G128" s="80" t="s">
        <v>211</v>
      </c>
      <c r="H128" s="65"/>
      <c r="I128" s="68" t="s">
        <v>212</v>
      </c>
      <c r="J128" s="81" t="s">
        <v>526</v>
      </c>
      <c r="K128" s="65"/>
      <c r="L128" s="65"/>
      <c r="M128" s="65"/>
      <c r="N128" s="65"/>
      <c r="O128" s="65"/>
      <c r="P128" s="65"/>
      <c r="Q128" s="65"/>
    </row>
    <row r="129" spans="1:17" ht="92.25" customHeight="1" x14ac:dyDescent="0.25">
      <c r="A129" s="65"/>
      <c r="B129" s="65"/>
      <c r="C129" s="74"/>
      <c r="D129" s="75"/>
      <c r="E129" s="75"/>
      <c r="F129" s="75" t="s">
        <v>49</v>
      </c>
      <c r="G129" s="80" t="s">
        <v>202</v>
      </c>
      <c r="H129" s="65"/>
      <c r="I129" s="73" t="s">
        <v>203</v>
      </c>
      <c r="J129" s="81" t="s">
        <v>529</v>
      </c>
      <c r="K129" s="65"/>
      <c r="L129" s="65"/>
      <c r="M129" s="65"/>
      <c r="N129" s="65"/>
      <c r="O129" s="65"/>
      <c r="P129" s="65"/>
      <c r="Q129" s="65"/>
    </row>
    <row r="130" spans="1:17" ht="67.5" x14ac:dyDescent="0.25">
      <c r="A130" s="65"/>
      <c r="B130" s="65"/>
      <c r="C130" s="82" t="s">
        <v>206</v>
      </c>
      <c r="D130" s="66" t="s">
        <v>205</v>
      </c>
      <c r="E130" s="83" t="s">
        <v>525</v>
      </c>
      <c r="F130" s="69" t="s">
        <v>17</v>
      </c>
      <c r="G130" s="80" t="s">
        <v>611</v>
      </c>
      <c r="H130" s="65"/>
      <c r="I130" s="68" t="s">
        <v>200</v>
      </c>
      <c r="J130" s="75"/>
      <c r="K130" s="65"/>
      <c r="L130" s="65"/>
      <c r="M130" s="65"/>
      <c r="N130" s="65"/>
      <c r="O130" s="65"/>
      <c r="P130" s="65"/>
      <c r="Q130" s="65"/>
    </row>
    <row r="131" spans="1:17" ht="34.5" customHeight="1" x14ac:dyDescent="0.25">
      <c r="A131" s="65"/>
      <c r="B131" s="65"/>
      <c r="C131" s="74"/>
      <c r="D131" s="75"/>
      <c r="E131" s="75"/>
      <c r="F131" s="75" t="s">
        <v>19</v>
      </c>
      <c r="G131" s="72" t="s">
        <v>18</v>
      </c>
      <c r="H131" s="65"/>
      <c r="I131" s="73"/>
      <c r="J131" s="72" t="s">
        <v>20</v>
      </c>
      <c r="K131" s="65"/>
      <c r="L131" s="65"/>
      <c r="M131" s="65"/>
      <c r="N131" s="65"/>
      <c r="O131" s="65"/>
      <c r="P131" s="65"/>
      <c r="Q131" s="65"/>
    </row>
    <row r="132" spans="1:17" ht="22.5" x14ac:dyDescent="0.25">
      <c r="A132" s="65"/>
      <c r="B132" s="65"/>
      <c r="C132" s="74"/>
      <c r="D132" s="75"/>
      <c r="E132" s="75"/>
      <c r="F132" s="75" t="s">
        <v>26</v>
      </c>
      <c r="G132" s="72" t="s">
        <v>21</v>
      </c>
      <c r="H132" s="65"/>
      <c r="I132" s="73"/>
      <c r="J132" s="72" t="s">
        <v>22</v>
      </c>
      <c r="K132" s="65"/>
      <c r="L132" s="65"/>
      <c r="M132" s="65"/>
      <c r="N132" s="65"/>
      <c r="O132" s="65"/>
      <c r="P132" s="65"/>
      <c r="Q132" s="65"/>
    </row>
    <row r="133" spans="1:17" ht="33.75" x14ac:dyDescent="0.25">
      <c r="A133" s="65"/>
      <c r="B133" s="65"/>
      <c r="C133" s="74"/>
      <c r="D133" s="75"/>
      <c r="E133" s="75"/>
      <c r="F133" s="75" t="s">
        <v>28</v>
      </c>
      <c r="G133" s="72" t="s">
        <v>155</v>
      </c>
      <c r="H133" s="65"/>
      <c r="I133" s="73"/>
      <c r="J133" s="72" t="s">
        <v>156</v>
      </c>
      <c r="K133" s="65"/>
      <c r="L133" s="65"/>
      <c r="M133" s="65"/>
      <c r="N133" s="65"/>
      <c r="O133" s="65"/>
      <c r="P133" s="65"/>
      <c r="Q133" s="65"/>
    </row>
    <row r="134" spans="1:17" ht="22.5" x14ac:dyDescent="0.25">
      <c r="A134" s="65"/>
      <c r="B134" s="65"/>
      <c r="C134" s="74"/>
      <c r="D134" s="75"/>
      <c r="E134" s="75"/>
      <c r="F134" s="75" t="s">
        <v>29</v>
      </c>
      <c r="G134" s="68" t="s">
        <v>169</v>
      </c>
      <c r="H134" s="65"/>
      <c r="I134" s="73"/>
      <c r="J134" s="68" t="s">
        <v>170</v>
      </c>
      <c r="K134" s="65"/>
      <c r="L134" s="65"/>
      <c r="M134" s="65"/>
      <c r="N134" s="65"/>
      <c r="O134" s="65"/>
      <c r="P134" s="65"/>
      <c r="Q134" s="65"/>
    </row>
    <row r="135" spans="1:17" ht="22.5" x14ac:dyDescent="0.25">
      <c r="A135" s="65"/>
      <c r="B135" s="65"/>
      <c r="C135" s="74"/>
      <c r="D135" s="75"/>
      <c r="E135" s="75"/>
      <c r="F135" s="75" t="s">
        <v>30</v>
      </c>
      <c r="G135" s="68" t="s">
        <v>171</v>
      </c>
      <c r="H135" s="65"/>
      <c r="I135" s="73"/>
      <c r="J135" s="68" t="s">
        <v>172</v>
      </c>
      <c r="K135" s="65"/>
      <c r="L135" s="65"/>
      <c r="M135" s="65"/>
      <c r="N135" s="65"/>
      <c r="O135" s="65"/>
      <c r="P135" s="65"/>
      <c r="Q135" s="65"/>
    </row>
    <row r="136" spans="1:17" ht="22.5" x14ac:dyDescent="0.25">
      <c r="A136" s="65"/>
      <c r="B136" s="65"/>
      <c r="C136" s="74"/>
      <c r="D136" s="75"/>
      <c r="E136" s="75"/>
      <c r="F136" s="75" t="s">
        <v>31</v>
      </c>
      <c r="G136" s="68" t="s">
        <v>201</v>
      </c>
      <c r="H136" s="65"/>
      <c r="I136" s="73"/>
      <c r="J136" s="68" t="s">
        <v>163</v>
      </c>
      <c r="K136" s="65"/>
      <c r="L136" s="65"/>
      <c r="M136" s="65"/>
      <c r="N136" s="65"/>
      <c r="O136" s="65"/>
      <c r="P136" s="65"/>
      <c r="Q136" s="65"/>
    </row>
    <row r="137" spans="1:17" ht="88.5" customHeight="1" x14ac:dyDescent="0.25">
      <c r="A137" s="65"/>
      <c r="B137" s="65"/>
      <c r="C137" s="74"/>
      <c r="D137" s="75"/>
      <c r="E137" s="75"/>
      <c r="F137" s="75" t="s">
        <v>32</v>
      </c>
      <c r="G137" s="68" t="s">
        <v>208</v>
      </c>
      <c r="H137" s="65"/>
      <c r="I137" s="73" t="s">
        <v>209</v>
      </c>
      <c r="J137" s="68" t="s">
        <v>210</v>
      </c>
      <c r="K137" s="65"/>
      <c r="L137" s="65"/>
      <c r="M137" s="65"/>
      <c r="N137" s="65"/>
      <c r="O137" s="65"/>
      <c r="P137" s="65"/>
      <c r="Q137" s="65"/>
    </row>
    <row r="138" spans="1:17" ht="128.25" customHeight="1" x14ac:dyDescent="0.25">
      <c r="A138" s="65"/>
      <c r="B138" s="65"/>
      <c r="C138" s="74"/>
      <c r="D138" s="75"/>
      <c r="E138" s="75"/>
      <c r="F138" s="75" t="s">
        <v>33</v>
      </c>
      <c r="G138" s="80" t="s">
        <v>211</v>
      </c>
      <c r="H138" s="65"/>
      <c r="I138" s="68" t="s">
        <v>212</v>
      </c>
      <c r="J138" s="81" t="s">
        <v>526</v>
      </c>
      <c r="K138" s="65"/>
      <c r="L138" s="65"/>
      <c r="M138" s="65"/>
      <c r="N138" s="65"/>
      <c r="O138" s="65"/>
      <c r="P138" s="65"/>
      <c r="Q138" s="65"/>
    </row>
    <row r="139" spans="1:17" ht="135.75" customHeight="1" x14ac:dyDescent="0.25">
      <c r="A139" s="65"/>
      <c r="B139" s="65"/>
      <c r="C139" s="74"/>
      <c r="D139" s="75"/>
      <c r="E139" s="75"/>
      <c r="F139" s="75" t="s">
        <v>49</v>
      </c>
      <c r="G139" s="80" t="s">
        <v>202</v>
      </c>
      <c r="H139" s="65"/>
      <c r="I139" s="73" t="s">
        <v>203</v>
      </c>
      <c r="J139" s="80" t="s">
        <v>527</v>
      </c>
      <c r="K139" s="65"/>
      <c r="L139" s="65"/>
      <c r="M139" s="65"/>
      <c r="N139" s="65"/>
      <c r="O139" s="65"/>
      <c r="P139" s="65"/>
      <c r="Q139" s="65"/>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70"/>
  <sheetViews>
    <sheetView workbookViewId="0"/>
  </sheetViews>
  <sheetFormatPr defaultRowHeight="15" x14ac:dyDescent="0.25"/>
  <cols>
    <col min="3" max="3" width="35" customWidth="1"/>
    <col min="4" max="4" width="26.140625" customWidth="1"/>
    <col min="5" max="5" width="32.5703125" customWidth="1"/>
    <col min="7" max="7" width="33.7109375" customWidth="1"/>
    <col min="10" max="10" width="28.28515625" customWidth="1"/>
  </cols>
  <sheetData>
    <row r="1" spans="1:17" s="3" customFormat="1" ht="36.75" x14ac:dyDescent="0.25">
      <c r="A1" s="9" t="s">
        <v>0</v>
      </c>
      <c r="B1" s="10"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row>
    <row r="2" spans="1:17" ht="240.75" x14ac:dyDescent="0.25">
      <c r="A2" s="6"/>
      <c r="B2" s="6"/>
      <c r="C2" s="43" t="s">
        <v>365</v>
      </c>
      <c r="D2" s="43" t="s">
        <v>366</v>
      </c>
      <c r="E2" s="43" t="s">
        <v>367</v>
      </c>
      <c r="F2" s="47" t="s">
        <v>17</v>
      </c>
      <c r="G2" s="43" t="s">
        <v>368</v>
      </c>
      <c r="H2" s="14"/>
      <c r="I2" s="43" t="s">
        <v>369</v>
      </c>
      <c r="J2" s="14" t="s">
        <v>80</v>
      </c>
      <c r="K2" s="6"/>
      <c r="L2" s="6"/>
      <c r="M2" s="6"/>
      <c r="N2" s="6"/>
      <c r="O2" s="6"/>
      <c r="P2" s="6"/>
      <c r="Q2" s="6"/>
    </row>
    <row r="3" spans="1:17" ht="48.75" x14ac:dyDescent="0.25">
      <c r="A3" s="6"/>
      <c r="B3" s="6"/>
      <c r="C3" s="43" t="s">
        <v>365</v>
      </c>
      <c r="D3" s="14"/>
      <c r="E3" s="14"/>
      <c r="F3" s="14" t="s">
        <v>19</v>
      </c>
      <c r="G3" s="49" t="s">
        <v>370</v>
      </c>
      <c r="H3" s="14"/>
      <c r="I3" s="43"/>
      <c r="J3" s="49" t="s">
        <v>156</v>
      </c>
      <c r="K3" s="6"/>
      <c r="L3" s="6"/>
      <c r="M3" s="6"/>
      <c r="N3" s="6"/>
      <c r="O3" s="6"/>
      <c r="P3" s="6"/>
      <c r="Q3" s="6"/>
    </row>
    <row r="4" spans="1:17" ht="24.75" x14ac:dyDescent="0.25">
      <c r="A4" s="6"/>
      <c r="B4" s="6"/>
      <c r="C4" s="43" t="s">
        <v>365</v>
      </c>
      <c r="D4" s="14"/>
      <c r="E4" s="14"/>
      <c r="F4" s="14" t="s">
        <v>26</v>
      </c>
      <c r="G4" s="43" t="s">
        <v>371</v>
      </c>
      <c r="H4" s="14"/>
      <c r="I4" s="43"/>
      <c r="J4" s="43" t="s">
        <v>372</v>
      </c>
      <c r="K4" s="6"/>
      <c r="L4" s="6"/>
      <c r="M4" s="6"/>
      <c r="N4" s="6"/>
      <c r="O4" s="6"/>
      <c r="P4" s="6"/>
      <c r="Q4" s="6"/>
    </row>
    <row r="5" spans="1:17" ht="36.75" x14ac:dyDescent="0.25">
      <c r="A5" s="6"/>
      <c r="B5" s="6"/>
      <c r="C5" s="43" t="s">
        <v>365</v>
      </c>
      <c r="D5" s="14"/>
      <c r="E5" s="14"/>
      <c r="F5" s="14" t="s">
        <v>28</v>
      </c>
      <c r="G5" s="43" t="s">
        <v>373</v>
      </c>
      <c r="H5" s="14"/>
      <c r="I5" s="43"/>
      <c r="J5" s="43" t="s">
        <v>374</v>
      </c>
      <c r="K5" s="6"/>
      <c r="L5" s="6"/>
      <c r="M5" s="6"/>
      <c r="N5" s="6"/>
      <c r="O5" s="6"/>
      <c r="P5" s="6"/>
      <c r="Q5" s="6"/>
    </row>
    <row r="6" spans="1:17" ht="84" x14ac:dyDescent="0.25">
      <c r="A6" s="6"/>
      <c r="B6" s="6"/>
      <c r="C6" s="43" t="s">
        <v>365</v>
      </c>
      <c r="D6" s="14"/>
      <c r="E6" s="14"/>
      <c r="F6" s="14" t="s">
        <v>29</v>
      </c>
      <c r="G6" s="50" t="s">
        <v>375</v>
      </c>
      <c r="H6" s="16"/>
      <c r="I6" s="16" t="s">
        <v>376</v>
      </c>
      <c r="J6" s="16" t="s">
        <v>284</v>
      </c>
      <c r="K6" s="6"/>
      <c r="L6" s="6"/>
      <c r="M6" s="6"/>
      <c r="N6" s="6"/>
      <c r="O6" s="6"/>
      <c r="P6" s="6"/>
      <c r="Q6" s="6"/>
    </row>
    <row r="7" spans="1:17" ht="96" x14ac:dyDescent="0.25">
      <c r="A7" s="6"/>
      <c r="B7" s="6"/>
      <c r="C7" s="43" t="s">
        <v>365</v>
      </c>
      <c r="D7" s="14"/>
      <c r="E7" s="14"/>
      <c r="F7" s="14" t="s">
        <v>30</v>
      </c>
      <c r="G7" s="51" t="s">
        <v>377</v>
      </c>
      <c r="H7" s="16"/>
      <c r="I7" s="16" t="s">
        <v>378</v>
      </c>
      <c r="J7" s="16" t="s">
        <v>379</v>
      </c>
      <c r="K7" s="6"/>
      <c r="L7" s="6"/>
      <c r="M7" s="6"/>
      <c r="N7" s="6"/>
      <c r="O7" s="6"/>
      <c r="P7" s="6"/>
      <c r="Q7" s="6"/>
    </row>
    <row r="8" spans="1:17" ht="96.75" x14ac:dyDescent="0.25">
      <c r="A8" s="6"/>
      <c r="B8" s="6"/>
      <c r="C8" s="43" t="s">
        <v>365</v>
      </c>
      <c r="D8" s="14"/>
      <c r="E8" s="14"/>
      <c r="F8" s="14" t="s">
        <v>31</v>
      </c>
      <c r="G8" s="45" t="s">
        <v>612</v>
      </c>
      <c r="H8" s="14"/>
      <c r="I8" s="43" t="s">
        <v>380</v>
      </c>
      <c r="J8" s="43" t="s">
        <v>381</v>
      </c>
      <c r="K8" s="6"/>
      <c r="L8" s="6"/>
      <c r="M8" s="6"/>
      <c r="N8" s="6"/>
      <c r="O8" s="6"/>
      <c r="P8" s="6"/>
      <c r="Q8" s="6"/>
    </row>
    <row r="9" spans="1:17" ht="24.75" x14ac:dyDescent="0.25">
      <c r="A9" s="6"/>
      <c r="B9" s="6"/>
      <c r="C9" s="43" t="s">
        <v>365</v>
      </c>
      <c r="D9" s="14"/>
      <c r="E9" s="14"/>
      <c r="F9" s="14" t="s">
        <v>32</v>
      </c>
      <c r="G9" s="45" t="s">
        <v>382</v>
      </c>
      <c r="H9" s="14"/>
      <c r="I9" s="14"/>
      <c r="J9" s="45" t="s">
        <v>383</v>
      </c>
      <c r="K9" s="6"/>
      <c r="L9" s="6"/>
      <c r="M9" s="6"/>
      <c r="N9" s="6"/>
      <c r="O9" s="6"/>
      <c r="P9" s="6"/>
      <c r="Q9" s="6"/>
    </row>
    <row r="10" spans="1:17" ht="36.75" x14ac:dyDescent="0.25">
      <c r="A10" s="6"/>
      <c r="B10" s="6"/>
      <c r="C10" s="43" t="s">
        <v>365</v>
      </c>
      <c r="D10" s="14"/>
      <c r="E10" s="14"/>
      <c r="F10" s="14" t="s">
        <v>33</v>
      </c>
      <c r="G10" s="45" t="s">
        <v>384</v>
      </c>
      <c r="H10" s="14"/>
      <c r="I10" s="14"/>
      <c r="J10" s="45" t="s">
        <v>385</v>
      </c>
      <c r="K10" s="6"/>
      <c r="L10" s="6"/>
      <c r="M10" s="6"/>
      <c r="N10" s="6"/>
      <c r="O10" s="6"/>
      <c r="P10" s="6"/>
      <c r="Q10" s="6"/>
    </row>
    <row r="11" spans="1:17" ht="96.75" x14ac:dyDescent="0.25">
      <c r="A11" s="6"/>
      <c r="B11" s="6"/>
      <c r="C11" s="43" t="s">
        <v>365</v>
      </c>
      <c r="D11" s="14"/>
      <c r="E11" s="14"/>
      <c r="F11" s="14" t="s">
        <v>49</v>
      </c>
      <c r="G11" s="45" t="s">
        <v>613</v>
      </c>
      <c r="H11" s="14"/>
      <c r="I11" s="43" t="s">
        <v>380</v>
      </c>
      <c r="J11" s="43" t="s">
        <v>381</v>
      </c>
      <c r="K11" s="6"/>
      <c r="L11" s="6"/>
      <c r="M11" s="6"/>
      <c r="N11" s="6"/>
      <c r="O11" s="6"/>
      <c r="P11" s="6"/>
      <c r="Q11" s="6"/>
    </row>
    <row r="12" spans="1:17" ht="108.75" x14ac:dyDescent="0.25">
      <c r="A12" s="6"/>
      <c r="B12" s="6"/>
      <c r="C12" s="43" t="s">
        <v>386</v>
      </c>
      <c r="D12" s="43" t="s">
        <v>366</v>
      </c>
      <c r="E12" s="43" t="s">
        <v>387</v>
      </c>
      <c r="F12" s="44" t="s">
        <v>281</v>
      </c>
      <c r="G12" s="43" t="s">
        <v>614</v>
      </c>
      <c r="H12" s="14"/>
      <c r="I12" s="43" t="s">
        <v>369</v>
      </c>
      <c r="J12" s="14" t="s">
        <v>80</v>
      </c>
      <c r="K12" s="6"/>
      <c r="L12" s="6"/>
      <c r="M12" s="6"/>
      <c r="N12" s="6"/>
      <c r="O12" s="6"/>
      <c r="P12" s="6"/>
      <c r="Q12" s="6"/>
    </row>
    <row r="13" spans="1:17" ht="48.75" x14ac:dyDescent="0.25">
      <c r="A13" s="6"/>
      <c r="B13" s="6"/>
      <c r="C13" s="43" t="s">
        <v>386</v>
      </c>
      <c r="D13" s="14"/>
      <c r="E13" s="14"/>
      <c r="F13" s="14" t="s">
        <v>282</v>
      </c>
      <c r="G13" s="49" t="s">
        <v>370</v>
      </c>
      <c r="H13" s="14"/>
      <c r="I13" s="43"/>
      <c r="J13" s="49" t="s">
        <v>156</v>
      </c>
      <c r="K13" s="6"/>
      <c r="L13" s="6"/>
      <c r="M13" s="6"/>
      <c r="N13" s="6"/>
      <c r="O13" s="6"/>
      <c r="P13" s="6"/>
      <c r="Q13" s="6"/>
    </row>
    <row r="14" spans="1:17" ht="24.75" x14ac:dyDescent="0.25">
      <c r="A14" s="6"/>
      <c r="B14" s="6"/>
      <c r="C14" s="43" t="s">
        <v>386</v>
      </c>
      <c r="D14" s="14"/>
      <c r="E14" s="14"/>
      <c r="F14" s="14" t="s">
        <v>283</v>
      </c>
      <c r="G14" s="43" t="s">
        <v>388</v>
      </c>
      <c r="H14" s="14"/>
      <c r="I14" s="43"/>
      <c r="J14" s="43" t="s">
        <v>389</v>
      </c>
      <c r="K14" s="6"/>
      <c r="L14" s="6"/>
      <c r="M14" s="6"/>
      <c r="N14" s="6"/>
      <c r="O14" s="6"/>
      <c r="P14" s="6"/>
      <c r="Q14" s="6"/>
    </row>
    <row r="15" spans="1:17" ht="36.75" x14ac:dyDescent="0.25">
      <c r="A15" s="6"/>
      <c r="B15" s="6"/>
      <c r="C15" s="43" t="s">
        <v>386</v>
      </c>
      <c r="D15" s="14"/>
      <c r="E15" s="14"/>
      <c r="F15" s="14" t="s">
        <v>285</v>
      </c>
      <c r="G15" s="43" t="s">
        <v>390</v>
      </c>
      <c r="H15" s="14"/>
      <c r="I15" s="43"/>
      <c r="J15" s="43" t="s">
        <v>391</v>
      </c>
      <c r="K15" s="6"/>
      <c r="L15" s="6"/>
      <c r="M15" s="6"/>
      <c r="N15" s="6"/>
      <c r="O15" s="6"/>
      <c r="P15" s="6"/>
      <c r="Q15" s="6"/>
    </row>
    <row r="16" spans="1:17" ht="84" x14ac:dyDescent="0.25">
      <c r="A16" s="6"/>
      <c r="B16" s="6"/>
      <c r="C16" s="43" t="s">
        <v>386</v>
      </c>
      <c r="D16" s="14"/>
      <c r="E16" s="14"/>
      <c r="F16" s="14" t="s">
        <v>289</v>
      </c>
      <c r="G16" s="50" t="s">
        <v>392</v>
      </c>
      <c r="H16" s="16"/>
      <c r="I16" s="16" t="s">
        <v>393</v>
      </c>
      <c r="J16" s="16" t="s">
        <v>394</v>
      </c>
      <c r="K16" s="6"/>
      <c r="L16" s="6"/>
      <c r="M16" s="6"/>
      <c r="N16" s="6"/>
      <c r="O16" s="6"/>
      <c r="P16" s="6"/>
      <c r="Q16" s="6"/>
    </row>
    <row r="17" spans="1:17" ht="96" x14ac:dyDescent="0.25">
      <c r="A17" s="6"/>
      <c r="B17" s="6"/>
      <c r="C17" s="43" t="s">
        <v>386</v>
      </c>
      <c r="D17" s="14"/>
      <c r="E17" s="14"/>
      <c r="F17" s="14" t="s">
        <v>293</v>
      </c>
      <c r="G17" s="51" t="s">
        <v>377</v>
      </c>
      <c r="H17" s="16"/>
      <c r="I17" s="16" t="s">
        <v>395</v>
      </c>
      <c r="J17" s="16" t="s">
        <v>396</v>
      </c>
      <c r="K17" s="6"/>
      <c r="L17" s="6"/>
      <c r="M17" s="6"/>
      <c r="N17" s="6"/>
      <c r="O17" s="6"/>
      <c r="P17" s="6"/>
      <c r="Q17" s="6"/>
    </row>
    <row r="18" spans="1:17" ht="96.75" x14ac:dyDescent="0.25">
      <c r="A18" s="6"/>
      <c r="B18" s="6"/>
      <c r="C18" s="43" t="s">
        <v>386</v>
      </c>
      <c r="D18" s="14"/>
      <c r="E18" s="14"/>
      <c r="F18" s="14" t="s">
        <v>296</v>
      </c>
      <c r="G18" s="45" t="s">
        <v>612</v>
      </c>
      <c r="H18" s="14"/>
      <c r="I18" s="43" t="s">
        <v>380</v>
      </c>
      <c r="J18" s="43" t="s">
        <v>381</v>
      </c>
      <c r="K18" s="6"/>
      <c r="L18" s="6"/>
      <c r="M18" s="6"/>
      <c r="N18" s="6"/>
      <c r="O18" s="6"/>
      <c r="P18" s="6"/>
      <c r="Q18" s="6"/>
    </row>
    <row r="19" spans="1:17" ht="24.75" x14ac:dyDescent="0.25">
      <c r="A19" s="6"/>
      <c r="B19" s="6"/>
      <c r="C19" s="43" t="s">
        <v>386</v>
      </c>
      <c r="D19" s="14"/>
      <c r="E19" s="14"/>
      <c r="F19" s="14" t="s">
        <v>299</v>
      </c>
      <c r="G19" s="45" t="s">
        <v>382</v>
      </c>
      <c r="H19" s="14"/>
      <c r="I19" s="14"/>
      <c r="J19" s="45" t="s">
        <v>383</v>
      </c>
      <c r="K19" s="6"/>
      <c r="L19" s="6"/>
      <c r="M19" s="6"/>
      <c r="N19" s="6"/>
      <c r="O19" s="6"/>
      <c r="P19" s="6"/>
      <c r="Q19" s="6"/>
    </row>
    <row r="20" spans="1:17" ht="36.75" x14ac:dyDescent="0.25">
      <c r="A20" s="6"/>
      <c r="B20" s="6"/>
      <c r="C20" s="43" t="s">
        <v>386</v>
      </c>
      <c r="D20" s="14"/>
      <c r="E20" s="14"/>
      <c r="F20" s="14" t="s">
        <v>302</v>
      </c>
      <c r="G20" s="45" t="s">
        <v>384</v>
      </c>
      <c r="H20" s="14"/>
      <c r="I20" s="14"/>
      <c r="J20" s="45" t="s">
        <v>397</v>
      </c>
      <c r="K20" s="6"/>
      <c r="L20" s="6"/>
      <c r="M20" s="6"/>
      <c r="N20" s="6"/>
      <c r="O20" s="6"/>
      <c r="P20" s="6"/>
      <c r="Q20" s="6"/>
    </row>
    <row r="21" spans="1:17" ht="96.75" x14ac:dyDescent="0.25">
      <c r="A21" s="6"/>
      <c r="B21" s="6"/>
      <c r="C21" s="43" t="s">
        <v>386</v>
      </c>
      <c r="D21" s="14"/>
      <c r="E21" s="14"/>
      <c r="F21" s="14" t="s">
        <v>305</v>
      </c>
      <c r="G21" s="45" t="s">
        <v>615</v>
      </c>
      <c r="H21" s="14"/>
      <c r="I21" s="43" t="s">
        <v>380</v>
      </c>
      <c r="J21" s="43" t="s">
        <v>381</v>
      </c>
      <c r="K21" s="6"/>
      <c r="L21" s="6"/>
      <c r="M21" s="6"/>
      <c r="N21" s="6"/>
      <c r="O21" s="6"/>
      <c r="P21" s="6"/>
      <c r="Q21" s="6"/>
    </row>
    <row r="22" spans="1:17" ht="216.75" x14ac:dyDescent="0.25">
      <c r="A22" s="6"/>
      <c r="B22" s="6"/>
      <c r="C22" s="43" t="s">
        <v>398</v>
      </c>
      <c r="D22" s="14" t="s">
        <v>366</v>
      </c>
      <c r="E22" s="43" t="s">
        <v>399</v>
      </c>
      <c r="F22" s="47" t="s">
        <v>281</v>
      </c>
      <c r="G22" s="43" t="s">
        <v>400</v>
      </c>
      <c r="H22" s="14"/>
      <c r="I22" s="43" t="s">
        <v>369</v>
      </c>
      <c r="J22" s="14" t="s">
        <v>80</v>
      </c>
      <c r="K22" s="6"/>
      <c r="L22" s="6"/>
      <c r="M22" s="6"/>
      <c r="N22" s="6"/>
      <c r="O22" s="6"/>
      <c r="P22" s="6"/>
      <c r="Q22" s="6"/>
    </row>
    <row r="23" spans="1:17" ht="48.75" x14ac:dyDescent="0.25">
      <c r="A23" s="6"/>
      <c r="B23" s="6"/>
      <c r="C23" s="43" t="s">
        <v>398</v>
      </c>
      <c r="D23" s="6"/>
      <c r="E23" s="6"/>
      <c r="F23" s="14" t="s">
        <v>282</v>
      </c>
      <c r="G23" s="49" t="s">
        <v>370</v>
      </c>
      <c r="H23" s="14"/>
      <c r="I23" s="43"/>
      <c r="J23" s="49" t="s">
        <v>156</v>
      </c>
      <c r="K23" s="6"/>
      <c r="L23" s="6"/>
      <c r="M23" s="6"/>
      <c r="N23" s="6"/>
      <c r="O23" s="6"/>
      <c r="P23" s="6"/>
      <c r="Q23" s="6"/>
    </row>
    <row r="24" spans="1:17" ht="24.75" x14ac:dyDescent="0.25">
      <c r="A24" s="6"/>
      <c r="B24" s="6"/>
      <c r="C24" s="43" t="s">
        <v>398</v>
      </c>
      <c r="D24" s="6"/>
      <c r="E24" s="6"/>
      <c r="F24" s="14" t="s">
        <v>283</v>
      </c>
      <c r="G24" s="43" t="s">
        <v>388</v>
      </c>
      <c r="H24" s="14"/>
      <c r="I24" s="43"/>
      <c r="J24" s="43" t="s">
        <v>389</v>
      </c>
      <c r="K24" s="6"/>
      <c r="L24" s="6"/>
      <c r="M24" s="6"/>
      <c r="N24" s="6"/>
      <c r="O24" s="6"/>
      <c r="P24" s="6"/>
      <c r="Q24" s="6"/>
    </row>
    <row r="25" spans="1:17" ht="36.75" x14ac:dyDescent="0.25">
      <c r="A25" s="6"/>
      <c r="B25" s="6"/>
      <c r="C25" s="43" t="s">
        <v>398</v>
      </c>
      <c r="D25" s="6"/>
      <c r="E25" s="6"/>
      <c r="F25" s="14" t="s">
        <v>285</v>
      </c>
      <c r="G25" s="43" t="s">
        <v>390</v>
      </c>
      <c r="H25" s="14"/>
      <c r="I25" s="43"/>
      <c r="J25" s="43" t="s">
        <v>391</v>
      </c>
      <c r="K25" s="6"/>
      <c r="L25" s="6"/>
      <c r="M25" s="6"/>
      <c r="N25" s="6"/>
      <c r="O25" s="6"/>
      <c r="P25" s="6"/>
      <c r="Q25" s="6"/>
    </row>
    <row r="26" spans="1:17" ht="84" x14ac:dyDescent="0.25">
      <c r="A26" s="6"/>
      <c r="B26" s="6"/>
      <c r="C26" s="43" t="s">
        <v>398</v>
      </c>
      <c r="D26" s="6"/>
      <c r="E26" s="6"/>
      <c r="F26" s="14" t="s">
        <v>289</v>
      </c>
      <c r="G26" s="50" t="s">
        <v>392</v>
      </c>
      <c r="H26" s="16"/>
      <c r="I26" s="16" t="s">
        <v>393</v>
      </c>
      <c r="J26" s="16" t="s">
        <v>394</v>
      </c>
      <c r="K26" s="6"/>
      <c r="L26" s="6"/>
      <c r="M26" s="6"/>
      <c r="N26" s="6"/>
      <c r="O26" s="6"/>
      <c r="P26" s="6"/>
      <c r="Q26" s="6"/>
    </row>
    <row r="27" spans="1:17" ht="96" x14ac:dyDescent="0.25">
      <c r="A27" s="6"/>
      <c r="B27" s="6"/>
      <c r="C27" s="43" t="s">
        <v>398</v>
      </c>
      <c r="D27" s="6"/>
      <c r="E27" s="6"/>
      <c r="F27" s="14" t="s">
        <v>293</v>
      </c>
      <c r="G27" s="51" t="s">
        <v>377</v>
      </c>
      <c r="H27" s="16"/>
      <c r="I27" s="16" t="s">
        <v>395</v>
      </c>
      <c r="J27" s="16" t="s">
        <v>396</v>
      </c>
      <c r="K27" s="6"/>
      <c r="L27" s="6"/>
      <c r="M27" s="6"/>
      <c r="N27" s="6"/>
      <c r="O27" s="6"/>
      <c r="P27" s="6"/>
      <c r="Q27" s="6"/>
    </row>
    <row r="28" spans="1:17" ht="96.75" x14ac:dyDescent="0.25">
      <c r="A28" s="6"/>
      <c r="B28" s="6"/>
      <c r="C28" s="43" t="s">
        <v>398</v>
      </c>
      <c r="D28" s="6"/>
      <c r="E28" s="6"/>
      <c r="F28" s="14" t="s">
        <v>296</v>
      </c>
      <c r="G28" s="45" t="s">
        <v>612</v>
      </c>
      <c r="H28" s="14"/>
      <c r="I28" s="43" t="s">
        <v>380</v>
      </c>
      <c r="J28" s="43" t="s">
        <v>381</v>
      </c>
      <c r="K28" s="6"/>
      <c r="L28" s="6"/>
      <c r="M28" s="6"/>
      <c r="N28" s="6"/>
      <c r="O28" s="6"/>
      <c r="P28" s="6"/>
      <c r="Q28" s="6"/>
    </row>
    <row r="29" spans="1:17" ht="24.75" x14ac:dyDescent="0.25">
      <c r="A29" s="6"/>
      <c r="B29" s="6"/>
      <c r="C29" s="43" t="s">
        <v>398</v>
      </c>
      <c r="D29" s="6"/>
      <c r="E29" s="6"/>
      <c r="F29" s="14" t="s">
        <v>299</v>
      </c>
      <c r="G29" s="45" t="s">
        <v>382</v>
      </c>
      <c r="H29" s="14"/>
      <c r="I29" s="14"/>
      <c r="J29" s="45" t="s">
        <v>383</v>
      </c>
      <c r="K29" s="6"/>
      <c r="L29" s="6"/>
      <c r="M29" s="6"/>
      <c r="N29" s="6"/>
      <c r="O29" s="6"/>
      <c r="P29" s="6"/>
      <c r="Q29" s="6"/>
    </row>
    <row r="30" spans="1:17" ht="36.75" x14ac:dyDescent="0.25">
      <c r="A30" s="6"/>
      <c r="B30" s="6"/>
      <c r="C30" s="43" t="s">
        <v>398</v>
      </c>
      <c r="D30" s="6"/>
      <c r="E30" s="6"/>
      <c r="F30" s="14" t="s">
        <v>302</v>
      </c>
      <c r="G30" s="45" t="s">
        <v>384</v>
      </c>
      <c r="H30" s="14"/>
      <c r="I30" s="14"/>
      <c r="J30" s="45" t="s">
        <v>397</v>
      </c>
      <c r="K30" s="6"/>
      <c r="L30" s="6"/>
      <c r="M30" s="6"/>
      <c r="N30" s="6"/>
      <c r="O30" s="6"/>
      <c r="P30" s="6"/>
      <c r="Q30" s="6"/>
    </row>
    <row r="31" spans="1:17" ht="96.75" x14ac:dyDescent="0.25">
      <c r="A31" s="6"/>
      <c r="B31" s="6"/>
      <c r="C31" s="43" t="s">
        <v>398</v>
      </c>
      <c r="D31" s="6"/>
      <c r="E31" s="6"/>
      <c r="F31" s="14" t="s">
        <v>305</v>
      </c>
      <c r="G31" s="45" t="s">
        <v>616</v>
      </c>
      <c r="H31" s="14"/>
      <c r="I31" s="43" t="s">
        <v>380</v>
      </c>
      <c r="J31" s="43" t="s">
        <v>381</v>
      </c>
      <c r="K31" s="6"/>
      <c r="L31" s="6"/>
      <c r="M31" s="6"/>
      <c r="N31" s="6"/>
      <c r="O31" s="6"/>
      <c r="P31" s="6"/>
      <c r="Q31" s="6"/>
    </row>
    <row r="32" spans="1:17" ht="132.75" x14ac:dyDescent="0.25">
      <c r="A32" s="6"/>
      <c r="B32" s="6"/>
      <c r="C32" s="43" t="s">
        <v>401</v>
      </c>
      <c r="D32" s="14" t="s">
        <v>366</v>
      </c>
      <c r="E32" s="43" t="s">
        <v>402</v>
      </c>
      <c r="F32" s="47" t="s">
        <v>281</v>
      </c>
      <c r="G32" s="45" t="s">
        <v>403</v>
      </c>
      <c r="H32" s="6"/>
      <c r="I32" s="52" t="s">
        <v>326</v>
      </c>
      <c r="J32" s="45" t="s">
        <v>80</v>
      </c>
      <c r="K32" s="6"/>
      <c r="L32" s="6"/>
      <c r="M32" s="6"/>
      <c r="N32" s="6"/>
      <c r="O32" s="6"/>
      <c r="P32" s="6"/>
      <c r="Q32" s="6"/>
    </row>
    <row r="33" spans="1:17" ht="60.75" x14ac:dyDescent="0.25">
      <c r="A33" s="6"/>
      <c r="B33" s="6"/>
      <c r="C33" s="43" t="s">
        <v>401</v>
      </c>
      <c r="D33" s="6"/>
      <c r="E33" s="6"/>
      <c r="F33" s="46" t="s">
        <v>282</v>
      </c>
      <c r="G33" s="45" t="s">
        <v>404</v>
      </c>
      <c r="H33" s="6"/>
      <c r="I33" s="52" t="s">
        <v>326</v>
      </c>
      <c r="J33" s="45" t="s">
        <v>80</v>
      </c>
      <c r="K33" s="6"/>
      <c r="L33" s="6"/>
      <c r="M33" s="6"/>
      <c r="N33" s="6"/>
      <c r="O33" s="6"/>
      <c r="P33" s="6"/>
      <c r="Q33" s="6"/>
    </row>
    <row r="34" spans="1:17" ht="48.75" x14ac:dyDescent="0.25">
      <c r="A34" s="6"/>
      <c r="B34" s="6"/>
      <c r="C34" s="43" t="s">
        <v>401</v>
      </c>
      <c r="D34" s="6"/>
      <c r="E34" s="6"/>
      <c r="F34" s="46" t="s">
        <v>283</v>
      </c>
      <c r="G34" s="49" t="s">
        <v>370</v>
      </c>
      <c r="H34" s="14"/>
      <c r="I34" s="43"/>
      <c r="J34" s="49" t="s">
        <v>156</v>
      </c>
      <c r="K34" s="6"/>
      <c r="L34" s="6"/>
      <c r="M34" s="6"/>
      <c r="N34" s="6"/>
      <c r="O34" s="6"/>
      <c r="P34" s="6"/>
      <c r="Q34" s="6"/>
    </row>
    <row r="35" spans="1:17" ht="24.75" x14ac:dyDescent="0.25">
      <c r="A35" s="6"/>
      <c r="B35" s="6"/>
      <c r="C35" s="43" t="s">
        <v>401</v>
      </c>
      <c r="D35" s="6"/>
      <c r="E35" s="6"/>
      <c r="F35" s="46" t="s">
        <v>285</v>
      </c>
      <c r="G35" s="43" t="s">
        <v>405</v>
      </c>
      <c r="H35" s="14"/>
      <c r="I35" s="43"/>
      <c r="J35" s="43" t="s">
        <v>389</v>
      </c>
      <c r="K35" s="6"/>
      <c r="L35" s="6"/>
      <c r="M35" s="6"/>
      <c r="N35" s="6"/>
      <c r="O35" s="6"/>
      <c r="P35" s="6"/>
      <c r="Q35" s="6"/>
    </row>
    <row r="36" spans="1:17" ht="36.75" x14ac:dyDescent="0.25">
      <c r="A36" s="6"/>
      <c r="B36" s="6"/>
      <c r="C36" s="43" t="s">
        <v>401</v>
      </c>
      <c r="D36" s="6"/>
      <c r="E36" s="6"/>
      <c r="F36" s="46" t="s">
        <v>289</v>
      </c>
      <c r="G36" s="43" t="s">
        <v>373</v>
      </c>
      <c r="H36" s="14"/>
      <c r="I36" s="43"/>
      <c r="J36" s="43" t="s">
        <v>374</v>
      </c>
      <c r="K36" s="6"/>
      <c r="L36" s="6"/>
      <c r="M36" s="6"/>
      <c r="N36" s="6"/>
      <c r="O36" s="6"/>
      <c r="P36" s="6"/>
      <c r="Q36" s="6"/>
    </row>
    <row r="37" spans="1:17" ht="84" x14ac:dyDescent="0.25">
      <c r="A37" s="6"/>
      <c r="B37" s="6"/>
      <c r="C37" s="43" t="s">
        <v>401</v>
      </c>
      <c r="D37" s="6"/>
      <c r="E37" s="6"/>
      <c r="F37" s="46" t="s">
        <v>293</v>
      </c>
      <c r="G37" s="50" t="s">
        <v>406</v>
      </c>
      <c r="H37" s="16"/>
      <c r="I37" s="16" t="s">
        <v>376</v>
      </c>
      <c r="J37" s="16" t="s">
        <v>284</v>
      </c>
      <c r="K37" s="6"/>
      <c r="L37" s="6"/>
      <c r="M37" s="6"/>
      <c r="N37" s="6"/>
      <c r="O37" s="6"/>
      <c r="P37" s="6"/>
      <c r="Q37" s="6"/>
    </row>
    <row r="38" spans="1:17" ht="96" x14ac:dyDescent="0.25">
      <c r="A38" s="6"/>
      <c r="B38" s="6"/>
      <c r="C38" s="43" t="s">
        <v>401</v>
      </c>
      <c r="D38" s="6"/>
      <c r="E38" s="6"/>
      <c r="F38" s="46" t="s">
        <v>296</v>
      </c>
      <c r="G38" s="51" t="s">
        <v>377</v>
      </c>
      <c r="H38" s="16"/>
      <c r="I38" s="16" t="s">
        <v>378</v>
      </c>
      <c r="J38" s="16" t="s">
        <v>379</v>
      </c>
      <c r="K38" s="6"/>
      <c r="L38" s="6"/>
      <c r="M38" s="6"/>
      <c r="N38" s="6"/>
      <c r="O38" s="6"/>
      <c r="P38" s="6"/>
      <c r="Q38" s="6"/>
    </row>
    <row r="39" spans="1:17" ht="96.75" x14ac:dyDescent="0.25">
      <c r="A39" s="6"/>
      <c r="B39" s="6"/>
      <c r="C39" s="43" t="s">
        <v>401</v>
      </c>
      <c r="D39" s="6"/>
      <c r="E39" s="6"/>
      <c r="F39" s="46" t="s">
        <v>299</v>
      </c>
      <c r="G39" s="45" t="s">
        <v>612</v>
      </c>
      <c r="H39" s="14"/>
      <c r="I39" s="43" t="s">
        <v>380</v>
      </c>
      <c r="J39" s="43" t="s">
        <v>381</v>
      </c>
      <c r="K39" s="6"/>
      <c r="L39" s="6"/>
      <c r="M39" s="6"/>
      <c r="N39" s="6"/>
      <c r="O39" s="6"/>
      <c r="P39" s="6"/>
      <c r="Q39" s="6"/>
    </row>
    <row r="40" spans="1:17" ht="24.75" x14ac:dyDescent="0.25">
      <c r="A40" s="6"/>
      <c r="B40" s="6"/>
      <c r="C40" s="43" t="s">
        <v>401</v>
      </c>
      <c r="D40" s="6"/>
      <c r="E40" s="6"/>
      <c r="F40" s="46" t="s">
        <v>302</v>
      </c>
      <c r="G40" s="45" t="s">
        <v>407</v>
      </c>
      <c r="H40" s="14"/>
      <c r="I40" s="14"/>
      <c r="J40" s="45" t="s">
        <v>383</v>
      </c>
      <c r="K40" s="6"/>
      <c r="L40" s="6"/>
      <c r="M40" s="6"/>
      <c r="N40" s="6"/>
      <c r="O40" s="6"/>
      <c r="P40" s="6"/>
      <c r="Q40" s="6"/>
    </row>
    <row r="41" spans="1:17" ht="36.75" x14ac:dyDescent="0.25">
      <c r="A41" s="6"/>
      <c r="B41" s="6"/>
      <c r="C41" s="43" t="s">
        <v>401</v>
      </c>
      <c r="D41" s="6"/>
      <c r="E41" s="6"/>
      <c r="F41" s="46" t="s">
        <v>305</v>
      </c>
      <c r="G41" s="45" t="s">
        <v>408</v>
      </c>
      <c r="H41" s="14"/>
      <c r="I41" s="14"/>
      <c r="J41" s="45" t="s">
        <v>409</v>
      </c>
      <c r="K41" s="6"/>
      <c r="L41" s="6"/>
      <c r="M41" s="6"/>
      <c r="N41" s="6"/>
      <c r="O41" s="6"/>
      <c r="P41" s="6"/>
      <c r="Q41" s="6"/>
    </row>
    <row r="42" spans="1:17" ht="96.75" x14ac:dyDescent="0.25">
      <c r="A42" s="6"/>
      <c r="B42" s="6"/>
      <c r="C42" s="43" t="s">
        <v>401</v>
      </c>
      <c r="D42" s="6"/>
      <c r="E42" s="6"/>
      <c r="F42" s="46" t="s">
        <v>308</v>
      </c>
      <c r="G42" s="45" t="s">
        <v>617</v>
      </c>
      <c r="H42" s="14"/>
      <c r="I42" s="43" t="s">
        <v>380</v>
      </c>
      <c r="J42" s="43" t="s">
        <v>381</v>
      </c>
      <c r="K42" s="6"/>
      <c r="L42" s="6"/>
      <c r="M42" s="6"/>
      <c r="N42" s="6"/>
      <c r="O42" s="31"/>
      <c r="P42" s="6"/>
      <c r="Q42" s="6"/>
    </row>
    <row r="43" spans="1:17" ht="120.75" x14ac:dyDescent="0.25">
      <c r="A43" s="6"/>
      <c r="B43" s="6"/>
      <c r="C43" s="43" t="s">
        <v>619</v>
      </c>
      <c r="D43" s="14" t="s">
        <v>366</v>
      </c>
      <c r="E43" s="43" t="s">
        <v>621</v>
      </c>
      <c r="F43" s="47" t="s">
        <v>281</v>
      </c>
      <c r="G43" s="45" t="s">
        <v>620</v>
      </c>
      <c r="H43" s="6"/>
      <c r="I43" s="52" t="s">
        <v>326</v>
      </c>
      <c r="J43" s="45" t="s">
        <v>80</v>
      </c>
      <c r="K43" s="6"/>
      <c r="L43" s="6"/>
      <c r="M43" s="6"/>
      <c r="N43" s="6"/>
    </row>
    <row r="44" spans="1:17" ht="48.75" x14ac:dyDescent="0.25">
      <c r="A44" s="6"/>
      <c r="B44" s="6"/>
      <c r="C44" s="43" t="s">
        <v>619</v>
      </c>
      <c r="D44" s="6"/>
      <c r="E44" s="6"/>
      <c r="F44" s="46" t="s">
        <v>282</v>
      </c>
      <c r="G44" s="49" t="s">
        <v>370</v>
      </c>
      <c r="H44" s="14"/>
      <c r="I44" s="43"/>
      <c r="J44" s="49" t="s">
        <v>156</v>
      </c>
      <c r="K44" s="6"/>
      <c r="L44" s="6"/>
      <c r="M44" s="6"/>
      <c r="N44" s="6"/>
    </row>
    <row r="45" spans="1:17" ht="24.75" x14ac:dyDescent="0.25">
      <c r="A45" s="6"/>
      <c r="B45" s="6"/>
      <c r="C45" s="43" t="s">
        <v>619</v>
      </c>
      <c r="D45" s="6"/>
      <c r="E45" s="6"/>
      <c r="F45" s="46" t="s">
        <v>283</v>
      </c>
      <c r="G45" s="43" t="s">
        <v>405</v>
      </c>
      <c r="H45" s="14"/>
      <c r="I45" s="43"/>
      <c r="J45" s="43" t="s">
        <v>389</v>
      </c>
      <c r="K45" s="6"/>
      <c r="L45" s="6"/>
      <c r="M45" s="6"/>
      <c r="N45" s="6"/>
    </row>
    <row r="46" spans="1:17" ht="36.75" x14ac:dyDescent="0.25">
      <c r="A46" s="6"/>
      <c r="B46" s="6"/>
      <c r="C46" s="43" t="s">
        <v>619</v>
      </c>
      <c r="D46" s="6"/>
      <c r="E46" s="6"/>
      <c r="F46" s="46" t="s">
        <v>285</v>
      </c>
      <c r="G46" s="43" t="s">
        <v>373</v>
      </c>
      <c r="H46" s="14"/>
      <c r="I46" s="43"/>
      <c r="J46" s="43" t="s">
        <v>374</v>
      </c>
      <c r="K46" s="6"/>
      <c r="L46" s="6"/>
      <c r="M46" s="6"/>
      <c r="N46" s="6"/>
    </row>
    <row r="47" spans="1:17" ht="84" x14ac:dyDescent="0.25">
      <c r="A47" s="6"/>
      <c r="B47" s="6"/>
      <c r="C47" s="43" t="s">
        <v>619</v>
      </c>
      <c r="D47" s="6"/>
      <c r="E47" s="6"/>
      <c r="F47" s="46" t="s">
        <v>289</v>
      </c>
      <c r="G47" s="50" t="s">
        <v>406</v>
      </c>
      <c r="H47" s="16"/>
      <c r="I47" s="16" t="s">
        <v>376</v>
      </c>
      <c r="J47" s="16" t="s">
        <v>284</v>
      </c>
      <c r="K47" s="6"/>
      <c r="L47" s="6"/>
      <c r="M47" s="6"/>
      <c r="N47" s="6"/>
    </row>
    <row r="48" spans="1:17" ht="96" x14ac:dyDescent="0.25">
      <c r="A48" s="6"/>
      <c r="B48" s="6"/>
      <c r="C48" s="43" t="s">
        <v>619</v>
      </c>
      <c r="D48" s="6"/>
      <c r="E48" s="6"/>
      <c r="F48" s="46" t="s">
        <v>293</v>
      </c>
      <c r="G48" s="51" t="s">
        <v>377</v>
      </c>
      <c r="H48" s="16"/>
      <c r="I48" s="16" t="s">
        <v>378</v>
      </c>
      <c r="J48" s="16" t="s">
        <v>379</v>
      </c>
      <c r="K48" s="6"/>
      <c r="L48" s="6"/>
      <c r="M48" s="6"/>
      <c r="N48" s="6"/>
    </row>
    <row r="49" spans="1:14" ht="96.75" x14ac:dyDescent="0.25">
      <c r="A49" s="6"/>
      <c r="B49" s="6"/>
      <c r="C49" s="43" t="s">
        <v>619</v>
      </c>
      <c r="D49" s="6"/>
      <c r="E49" s="6"/>
      <c r="F49" s="46" t="s">
        <v>296</v>
      </c>
      <c r="G49" s="45" t="s">
        <v>623</v>
      </c>
      <c r="H49" s="14"/>
      <c r="I49" s="43" t="s">
        <v>380</v>
      </c>
      <c r="J49" s="43" t="s">
        <v>381</v>
      </c>
      <c r="K49" s="6"/>
      <c r="L49" s="6"/>
      <c r="M49" s="6"/>
      <c r="N49" s="6"/>
    </row>
    <row r="50" spans="1:14" ht="24.75" x14ac:dyDescent="0.25">
      <c r="A50" s="6"/>
      <c r="B50" s="6"/>
      <c r="C50" s="43" t="s">
        <v>619</v>
      </c>
      <c r="D50" s="6"/>
      <c r="E50" s="6"/>
      <c r="F50" s="46" t="s">
        <v>299</v>
      </c>
      <c r="G50" s="45" t="s">
        <v>407</v>
      </c>
      <c r="H50" s="14"/>
      <c r="I50" s="14"/>
      <c r="J50" s="45" t="s">
        <v>383</v>
      </c>
      <c r="K50" s="6"/>
      <c r="L50" s="6"/>
      <c r="M50" s="6"/>
      <c r="N50" s="6"/>
    </row>
    <row r="51" spans="1:14" ht="36.75" x14ac:dyDescent="0.25">
      <c r="A51" s="6"/>
      <c r="B51" s="6"/>
      <c r="C51" s="43" t="s">
        <v>619</v>
      </c>
      <c r="D51" s="6"/>
      <c r="E51" s="6"/>
      <c r="F51" s="46" t="s">
        <v>302</v>
      </c>
      <c r="G51" s="45" t="s">
        <v>408</v>
      </c>
      <c r="H51" s="14"/>
      <c r="I51" s="14"/>
      <c r="J51" s="45" t="s">
        <v>409</v>
      </c>
      <c r="K51" s="6"/>
      <c r="L51" s="6"/>
      <c r="M51" s="6"/>
      <c r="N51" s="6"/>
    </row>
    <row r="52" spans="1:14" ht="96.75" x14ac:dyDescent="0.25">
      <c r="A52" s="6"/>
      <c r="B52" s="6"/>
      <c r="C52" s="43" t="s">
        <v>619</v>
      </c>
      <c r="D52" s="6"/>
      <c r="E52" s="6"/>
      <c r="F52" s="46" t="s">
        <v>305</v>
      </c>
      <c r="G52" s="45" t="s">
        <v>622</v>
      </c>
      <c r="H52" s="14"/>
      <c r="I52" s="43" t="s">
        <v>380</v>
      </c>
      <c r="J52" s="43" t="s">
        <v>381</v>
      </c>
      <c r="K52" s="6"/>
      <c r="L52" s="6"/>
      <c r="M52" s="6"/>
      <c r="N52" s="6"/>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row r="65" spans="1:14" x14ac:dyDescent="0.25">
      <c r="A65" s="6"/>
      <c r="B65" s="6"/>
      <c r="C65" s="6"/>
      <c r="D65" s="6"/>
      <c r="E65" s="6"/>
      <c r="F65" s="6"/>
      <c r="G65" s="6"/>
      <c r="H65" s="6"/>
      <c r="I65" s="6"/>
      <c r="J65" s="6"/>
      <c r="K65" s="6"/>
      <c r="L65" s="6"/>
      <c r="M65" s="6"/>
      <c r="N65" s="6"/>
    </row>
    <row r="66" spans="1:14" x14ac:dyDescent="0.25">
      <c r="A66" s="6"/>
      <c r="B66" s="6"/>
      <c r="C66" s="6"/>
      <c r="D66" s="6"/>
      <c r="E66" s="6"/>
      <c r="F66" s="6"/>
      <c r="G66" s="6"/>
      <c r="H66" s="6"/>
      <c r="I66" s="6"/>
      <c r="J66" s="6"/>
      <c r="K66" s="6"/>
      <c r="L66" s="6"/>
      <c r="M66" s="6"/>
      <c r="N66" s="6"/>
    </row>
    <row r="67" spans="1:14" x14ac:dyDescent="0.25">
      <c r="A67" s="6"/>
      <c r="B67" s="6"/>
      <c r="C67" s="6"/>
      <c r="D67" s="6"/>
      <c r="E67" s="6"/>
      <c r="F67" s="6"/>
      <c r="G67" s="6"/>
      <c r="H67" s="6"/>
      <c r="I67" s="6"/>
      <c r="J67" s="6"/>
      <c r="K67" s="6"/>
      <c r="L67" s="6"/>
      <c r="M67" s="6"/>
      <c r="N67" s="6"/>
    </row>
    <row r="68" spans="1:14" x14ac:dyDescent="0.25">
      <c r="A68" s="6"/>
      <c r="B68" s="6"/>
      <c r="C68" s="6"/>
      <c r="D68" s="6"/>
      <c r="E68" s="6"/>
      <c r="F68" s="6"/>
      <c r="G68" s="6"/>
      <c r="H68" s="6"/>
      <c r="I68" s="6"/>
      <c r="J68" s="6"/>
      <c r="K68" s="6"/>
      <c r="L68" s="6"/>
      <c r="M68" s="6"/>
      <c r="N68" s="6"/>
    </row>
    <row r="69" spans="1:14" x14ac:dyDescent="0.25">
      <c r="A69" s="6"/>
      <c r="B69" s="6"/>
      <c r="C69" s="6"/>
      <c r="D69" s="6"/>
      <c r="E69" s="6"/>
      <c r="F69" s="6"/>
      <c r="G69" s="6"/>
      <c r="H69" s="6"/>
      <c r="I69" s="6"/>
      <c r="J69" s="6"/>
      <c r="K69" s="6"/>
      <c r="L69" s="6"/>
      <c r="M69" s="6"/>
      <c r="N69" s="6"/>
    </row>
    <row r="70" spans="1:14" x14ac:dyDescent="0.25">
      <c r="A70" s="6"/>
      <c r="B70" s="6"/>
      <c r="C70" s="6"/>
      <c r="D70" s="6"/>
      <c r="E70" s="6"/>
      <c r="F70" s="6"/>
      <c r="G70" s="6"/>
      <c r="H70" s="6"/>
      <c r="I70" s="6"/>
      <c r="J70" s="6"/>
      <c r="K70" s="6"/>
      <c r="L70" s="6"/>
      <c r="M70" s="6"/>
      <c r="N70" s="6"/>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3"/>
  <sheetViews>
    <sheetView workbookViewId="0"/>
  </sheetViews>
  <sheetFormatPr defaultRowHeight="15" x14ac:dyDescent="0.25"/>
  <cols>
    <col min="3" max="3" width="29.140625" customWidth="1"/>
    <col min="5" max="5" width="27.5703125" customWidth="1"/>
    <col min="7" max="7" width="33" customWidth="1"/>
    <col min="10" max="10" width="18" customWidth="1"/>
  </cols>
  <sheetData>
    <row r="1" spans="1:17" s="3" customFormat="1" ht="36.75" x14ac:dyDescent="0.25">
      <c r="A1" s="9" t="s">
        <v>0</v>
      </c>
      <c r="B1" s="10"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row>
    <row r="2" spans="1:17" ht="108.75" x14ac:dyDescent="0.25">
      <c r="A2" s="6"/>
      <c r="B2" s="6"/>
      <c r="C2" s="43" t="s">
        <v>410</v>
      </c>
      <c r="D2" s="43" t="s">
        <v>411</v>
      </c>
      <c r="E2" s="43" t="s">
        <v>412</v>
      </c>
      <c r="F2" s="47" t="s">
        <v>281</v>
      </c>
      <c r="G2" s="48" t="s">
        <v>18</v>
      </c>
      <c r="H2" s="43"/>
      <c r="I2" s="14"/>
      <c r="J2" s="48" t="s">
        <v>20</v>
      </c>
      <c r="K2" s="6"/>
      <c r="L2" s="6"/>
      <c r="M2" s="6"/>
      <c r="N2" s="6"/>
      <c r="O2" s="6"/>
      <c r="P2" s="6"/>
      <c r="Q2" s="6"/>
    </row>
    <row r="3" spans="1:17" ht="72.75" x14ac:dyDescent="0.25">
      <c r="A3" s="6"/>
      <c r="B3" s="6"/>
      <c r="C3" s="43" t="s">
        <v>410</v>
      </c>
      <c r="D3" s="14"/>
      <c r="E3" s="14"/>
      <c r="F3" s="14" t="s">
        <v>282</v>
      </c>
      <c r="G3" s="48" t="s">
        <v>21</v>
      </c>
      <c r="H3" s="43"/>
      <c r="I3" s="14"/>
      <c r="J3" s="48" t="s">
        <v>22</v>
      </c>
      <c r="K3" s="6"/>
      <c r="L3" s="6"/>
      <c r="M3" s="6"/>
      <c r="N3" s="6"/>
      <c r="O3" s="6"/>
      <c r="P3" s="6"/>
      <c r="Q3" s="6"/>
    </row>
    <row r="4" spans="1:17" ht="96.75" x14ac:dyDescent="0.25">
      <c r="A4" s="6"/>
      <c r="B4" s="6"/>
      <c r="C4" s="43" t="s">
        <v>410</v>
      </c>
      <c r="D4" s="14"/>
      <c r="E4" s="14"/>
      <c r="F4" s="14" t="s">
        <v>283</v>
      </c>
      <c r="G4" s="48" t="s">
        <v>23</v>
      </c>
      <c r="H4" s="43"/>
      <c r="I4" s="14"/>
      <c r="J4" s="48" t="s">
        <v>24</v>
      </c>
      <c r="K4" s="6"/>
      <c r="L4" s="6"/>
      <c r="M4" s="6"/>
      <c r="N4" s="6"/>
      <c r="O4" s="6"/>
      <c r="P4" s="6"/>
      <c r="Q4" s="6"/>
    </row>
    <row r="5" spans="1:17" ht="48.75" x14ac:dyDescent="0.25">
      <c r="A5" s="6"/>
      <c r="B5" s="6"/>
      <c r="C5" s="43" t="s">
        <v>410</v>
      </c>
      <c r="D5" s="14"/>
      <c r="E5" s="14"/>
      <c r="F5" s="14" t="s">
        <v>285</v>
      </c>
      <c r="G5" s="48" t="s">
        <v>34</v>
      </c>
      <c r="H5" s="43"/>
      <c r="I5" s="14"/>
      <c r="J5" s="48" t="s">
        <v>77</v>
      </c>
      <c r="K5" s="6"/>
      <c r="L5" s="6"/>
      <c r="M5" s="6"/>
      <c r="N5" s="6"/>
      <c r="O5" s="6"/>
      <c r="P5" s="6"/>
      <c r="Q5" s="6"/>
    </row>
    <row r="6" spans="1:17" ht="72.75" x14ac:dyDescent="0.25">
      <c r="A6" s="6"/>
      <c r="B6" s="6"/>
      <c r="C6" s="43" t="s">
        <v>410</v>
      </c>
      <c r="D6" s="14"/>
      <c r="E6" s="14"/>
      <c r="F6" s="14" t="s">
        <v>289</v>
      </c>
      <c r="G6" s="48" t="s">
        <v>35</v>
      </c>
      <c r="H6" s="43"/>
      <c r="I6" s="14"/>
      <c r="J6" s="48" t="s">
        <v>36</v>
      </c>
      <c r="K6" s="6"/>
      <c r="L6" s="6"/>
      <c r="M6" s="6"/>
      <c r="N6" s="6"/>
      <c r="O6" s="6"/>
      <c r="P6" s="6"/>
      <c r="Q6" s="6"/>
    </row>
    <row r="7" spans="1:17" ht="120.75" x14ac:dyDescent="0.25">
      <c r="A7" s="6"/>
      <c r="B7" s="6"/>
      <c r="C7" s="43" t="s">
        <v>410</v>
      </c>
      <c r="D7" s="14"/>
      <c r="E7" s="14"/>
      <c r="F7" s="14" t="s">
        <v>293</v>
      </c>
      <c r="G7" s="48" t="s">
        <v>37</v>
      </c>
      <c r="H7" s="43"/>
      <c r="I7" s="43" t="s">
        <v>40</v>
      </c>
      <c r="J7" s="48" t="s">
        <v>38</v>
      </c>
      <c r="K7" s="6"/>
      <c r="L7" s="6"/>
      <c r="M7" s="6"/>
      <c r="N7" s="6"/>
      <c r="O7" s="6"/>
      <c r="P7" s="6"/>
      <c r="Q7" s="6"/>
    </row>
    <row r="8" spans="1:17" ht="120.75" x14ac:dyDescent="0.25">
      <c r="A8" s="6"/>
      <c r="B8" s="6"/>
      <c r="C8" s="43" t="s">
        <v>410</v>
      </c>
      <c r="D8" s="14"/>
      <c r="E8" s="14"/>
      <c r="F8" s="14" t="s">
        <v>296</v>
      </c>
      <c r="G8" s="45" t="s">
        <v>413</v>
      </c>
      <c r="H8" s="14"/>
      <c r="I8" s="43" t="s">
        <v>340</v>
      </c>
      <c r="J8" s="45" t="s">
        <v>341</v>
      </c>
      <c r="K8" s="6"/>
      <c r="L8" s="6"/>
      <c r="M8" s="6"/>
      <c r="N8" s="6"/>
      <c r="O8" s="6"/>
      <c r="P8" s="6"/>
      <c r="Q8" s="6"/>
    </row>
    <row r="9" spans="1:17" ht="96.75" x14ac:dyDescent="0.25">
      <c r="A9" s="6"/>
      <c r="B9" s="6"/>
      <c r="C9" s="43" t="s">
        <v>410</v>
      </c>
      <c r="D9" s="14"/>
      <c r="E9" s="14"/>
      <c r="F9" s="14" t="s">
        <v>299</v>
      </c>
      <c r="G9" s="45" t="s">
        <v>344</v>
      </c>
      <c r="H9" s="14"/>
      <c r="I9" s="43" t="s">
        <v>345</v>
      </c>
      <c r="J9" s="45" t="s">
        <v>346</v>
      </c>
      <c r="K9" s="6"/>
      <c r="L9" s="6"/>
      <c r="M9" s="6"/>
      <c r="N9" s="6"/>
      <c r="O9" s="6"/>
      <c r="P9" s="6"/>
      <c r="Q9" s="6"/>
    </row>
    <row r="10" spans="1:17" ht="144.75" x14ac:dyDescent="0.25">
      <c r="A10" s="6"/>
      <c r="B10" s="6"/>
      <c r="C10" s="43" t="s">
        <v>410</v>
      </c>
      <c r="D10" s="14"/>
      <c r="E10" s="14"/>
      <c r="F10" s="14" t="s">
        <v>302</v>
      </c>
      <c r="G10" s="45" t="s">
        <v>347</v>
      </c>
      <c r="H10" s="14"/>
      <c r="I10" s="43" t="s">
        <v>348</v>
      </c>
      <c r="J10" s="45" t="s">
        <v>349</v>
      </c>
      <c r="K10" s="6"/>
      <c r="L10" s="6"/>
      <c r="M10" s="6"/>
      <c r="N10" s="6"/>
      <c r="O10" s="6"/>
      <c r="P10" s="6"/>
      <c r="Q10" s="6"/>
    </row>
    <row r="11" spans="1:17" ht="36.75" x14ac:dyDescent="0.25">
      <c r="A11" s="6"/>
      <c r="B11" s="6"/>
      <c r="C11" s="43" t="s">
        <v>410</v>
      </c>
      <c r="D11" s="14"/>
      <c r="E11" s="14"/>
      <c r="F11" s="14" t="s">
        <v>305</v>
      </c>
      <c r="G11" s="48" t="s">
        <v>62</v>
      </c>
      <c r="H11" s="43"/>
      <c r="I11" s="14"/>
      <c r="J11" s="48" t="s">
        <v>63</v>
      </c>
      <c r="K11" s="6"/>
      <c r="L11" s="6"/>
      <c r="M11" s="6"/>
      <c r="N11" s="6"/>
      <c r="O11" s="6"/>
      <c r="P11" s="6"/>
      <c r="Q11" s="6"/>
    </row>
    <row r="12" spans="1:17" ht="36.75" x14ac:dyDescent="0.25">
      <c r="A12" s="6"/>
      <c r="B12" s="6"/>
      <c r="C12" s="43" t="s">
        <v>410</v>
      </c>
      <c r="D12" s="14"/>
      <c r="E12" s="14"/>
      <c r="F12" s="14" t="s">
        <v>308</v>
      </c>
      <c r="G12" s="48" t="s">
        <v>64</v>
      </c>
      <c r="H12" s="43"/>
      <c r="I12" s="14"/>
      <c r="J12" s="48" t="s">
        <v>27</v>
      </c>
      <c r="K12" s="6"/>
      <c r="L12" s="6"/>
      <c r="M12" s="6"/>
      <c r="N12" s="6"/>
      <c r="O12" s="6"/>
      <c r="P12" s="6"/>
      <c r="Q12" s="6"/>
    </row>
    <row r="13" spans="1:17" ht="84.75" x14ac:dyDescent="0.25">
      <c r="A13" s="6"/>
      <c r="B13" s="6"/>
      <c r="C13" s="43" t="s">
        <v>410</v>
      </c>
      <c r="D13" s="14"/>
      <c r="E13" s="14"/>
      <c r="F13" s="14" t="s">
        <v>414</v>
      </c>
      <c r="G13" s="48" t="s">
        <v>65</v>
      </c>
      <c r="H13" s="43"/>
      <c r="I13" s="14"/>
      <c r="J13" s="48" t="s">
        <v>66</v>
      </c>
      <c r="K13" s="6"/>
      <c r="L13" s="6"/>
      <c r="M13" s="6"/>
      <c r="N13" s="6"/>
      <c r="O13" s="6"/>
      <c r="P13" s="6"/>
      <c r="Q13" s="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4"/>
  <sheetViews>
    <sheetView zoomScaleNormal="100" workbookViewId="0"/>
  </sheetViews>
  <sheetFormatPr defaultRowHeight="15" x14ac:dyDescent="0.25"/>
  <cols>
    <col min="3" max="3" width="34.28515625" customWidth="1"/>
    <col min="5" max="5" width="39.85546875" customWidth="1"/>
    <col min="7" max="7" width="31.42578125" customWidth="1"/>
    <col min="9" max="9" width="22.28515625" customWidth="1"/>
    <col min="10" max="10" width="29.5703125" customWidth="1"/>
  </cols>
  <sheetData>
    <row r="1" spans="1:19" ht="36" x14ac:dyDescent="0.25">
      <c r="A1" s="53" t="s">
        <v>415</v>
      </c>
      <c r="B1" s="53" t="s">
        <v>416</v>
      </c>
      <c r="C1" s="53" t="s">
        <v>417</v>
      </c>
      <c r="D1" s="53" t="s">
        <v>418</v>
      </c>
      <c r="E1" s="53" t="s">
        <v>419</v>
      </c>
      <c r="F1" s="53" t="s">
        <v>5</v>
      </c>
      <c r="G1" s="53" t="s">
        <v>6</v>
      </c>
      <c r="H1" s="53" t="s">
        <v>420</v>
      </c>
      <c r="I1" s="53" t="s">
        <v>8</v>
      </c>
      <c r="J1" s="53" t="s">
        <v>421</v>
      </c>
      <c r="K1" s="53" t="s">
        <v>422</v>
      </c>
      <c r="L1" s="53" t="s">
        <v>423</v>
      </c>
      <c r="M1" s="53" t="s">
        <v>424</v>
      </c>
      <c r="N1" s="53" t="s">
        <v>425</v>
      </c>
      <c r="O1" s="53" t="s">
        <v>426</v>
      </c>
      <c r="P1" s="53" t="s">
        <v>427</v>
      </c>
      <c r="Q1" s="53" t="s">
        <v>428</v>
      </c>
      <c r="R1" s="53" t="s">
        <v>429</v>
      </c>
      <c r="S1" s="53" t="s">
        <v>430</v>
      </c>
    </row>
    <row r="2" spans="1:19" ht="84" x14ac:dyDescent="0.25">
      <c r="A2" s="14"/>
      <c r="B2" s="14"/>
      <c r="C2" s="54" t="s">
        <v>431</v>
      </c>
      <c r="D2" s="12" t="s">
        <v>432</v>
      </c>
      <c r="E2" s="16" t="s">
        <v>433</v>
      </c>
      <c r="F2" s="29" t="s">
        <v>17</v>
      </c>
      <c r="G2" s="16" t="s">
        <v>434</v>
      </c>
      <c r="H2" s="16"/>
      <c r="I2" s="16"/>
      <c r="J2" s="16" t="s">
        <v>80</v>
      </c>
      <c r="K2" s="14"/>
      <c r="L2" s="14"/>
      <c r="M2" s="14"/>
      <c r="N2" s="14"/>
      <c r="O2" s="14"/>
      <c r="P2" s="14"/>
      <c r="Q2" s="14"/>
      <c r="R2" s="14"/>
      <c r="S2" s="14"/>
    </row>
    <row r="3" spans="1:19" ht="36" x14ac:dyDescent="0.25">
      <c r="A3" s="14"/>
      <c r="B3" s="14"/>
      <c r="C3" s="54" t="s">
        <v>431</v>
      </c>
      <c r="D3" s="18"/>
      <c r="E3" s="16"/>
      <c r="F3" s="16" t="s">
        <v>19</v>
      </c>
      <c r="G3" s="16" t="s">
        <v>435</v>
      </c>
      <c r="H3" s="16"/>
      <c r="I3" s="16"/>
      <c r="J3" s="16" t="s">
        <v>80</v>
      </c>
      <c r="K3" s="14"/>
      <c r="L3" s="14"/>
      <c r="M3" s="14"/>
      <c r="N3" s="14"/>
      <c r="O3" s="14"/>
      <c r="P3" s="14"/>
      <c r="Q3" s="14"/>
      <c r="R3" s="14"/>
      <c r="S3" s="14"/>
    </row>
    <row r="4" spans="1:19" ht="36" x14ac:dyDescent="0.25">
      <c r="A4" s="14"/>
      <c r="B4" s="14"/>
      <c r="C4" s="54" t="s">
        <v>431</v>
      </c>
      <c r="D4" s="18"/>
      <c r="E4" s="16"/>
      <c r="F4" s="16" t="s">
        <v>26</v>
      </c>
      <c r="G4" s="16" t="s">
        <v>436</v>
      </c>
      <c r="H4" s="16"/>
      <c r="I4" s="16"/>
      <c r="J4" s="16" t="s">
        <v>80</v>
      </c>
      <c r="K4" s="14"/>
      <c r="L4" s="14"/>
      <c r="M4" s="14"/>
      <c r="N4" s="14"/>
      <c r="O4" s="14"/>
      <c r="P4" s="14"/>
      <c r="Q4" s="14"/>
      <c r="R4" s="14"/>
      <c r="S4" s="14"/>
    </row>
    <row r="5" spans="1:19" ht="60" x14ac:dyDescent="0.25">
      <c r="A5" s="14"/>
      <c r="B5" s="14"/>
      <c r="C5" s="54" t="s">
        <v>431</v>
      </c>
      <c r="D5" s="18"/>
      <c r="E5" s="12"/>
      <c r="F5" s="16" t="s">
        <v>28</v>
      </c>
      <c r="G5" s="16" t="s">
        <v>437</v>
      </c>
      <c r="H5" s="16"/>
      <c r="I5" s="16"/>
      <c r="J5" s="16" t="s">
        <v>438</v>
      </c>
      <c r="K5" s="14"/>
      <c r="L5" s="14"/>
      <c r="M5" s="14"/>
      <c r="N5" s="14"/>
      <c r="O5" s="14"/>
      <c r="P5" s="14"/>
      <c r="Q5" s="14"/>
      <c r="R5" s="14"/>
      <c r="S5" s="14"/>
    </row>
    <row r="6" spans="1:19" ht="60" x14ac:dyDescent="0.25">
      <c r="A6" s="14"/>
      <c r="B6" s="14"/>
      <c r="C6" s="54" t="s">
        <v>431</v>
      </c>
      <c r="D6" s="18"/>
      <c r="E6" s="12"/>
      <c r="F6" s="16" t="s">
        <v>29</v>
      </c>
      <c r="G6" s="16" t="s">
        <v>439</v>
      </c>
      <c r="H6" s="16"/>
      <c r="I6" s="16"/>
      <c r="J6" s="16" t="s">
        <v>440</v>
      </c>
      <c r="K6" s="14"/>
      <c r="L6" s="14"/>
      <c r="M6" s="14"/>
      <c r="N6" s="14"/>
      <c r="O6" s="14"/>
      <c r="P6" s="14"/>
      <c r="Q6" s="14"/>
      <c r="R6" s="14"/>
      <c r="S6" s="14"/>
    </row>
    <row r="7" spans="1:19" ht="36" x14ac:dyDescent="0.25">
      <c r="A7" s="14"/>
      <c r="B7" s="14"/>
      <c r="C7" s="54" t="s">
        <v>431</v>
      </c>
      <c r="D7" s="18"/>
      <c r="E7" s="12"/>
      <c r="F7" s="16" t="s">
        <v>30</v>
      </c>
      <c r="G7" s="16" t="s">
        <v>441</v>
      </c>
      <c r="H7" s="16"/>
      <c r="I7" s="16"/>
      <c r="J7" s="16" t="s">
        <v>442</v>
      </c>
      <c r="K7" s="14"/>
      <c r="L7" s="14"/>
      <c r="M7" s="14"/>
      <c r="N7" s="14"/>
      <c r="O7" s="14"/>
      <c r="P7" s="14"/>
      <c r="Q7" s="14"/>
      <c r="R7" s="14"/>
      <c r="S7" s="14"/>
    </row>
    <row r="8" spans="1:19" ht="84" x14ac:dyDescent="0.25">
      <c r="A8" s="14"/>
      <c r="B8" s="14"/>
      <c r="C8" s="54" t="s">
        <v>431</v>
      </c>
      <c r="D8" s="55"/>
      <c r="E8" s="54"/>
      <c r="F8" s="16" t="s">
        <v>31</v>
      </c>
      <c r="G8" s="16" t="s">
        <v>443</v>
      </c>
      <c r="H8" s="16"/>
      <c r="I8" s="16"/>
      <c r="J8" s="16" t="s">
        <v>444</v>
      </c>
      <c r="K8" s="14"/>
      <c r="L8" s="14"/>
      <c r="M8" s="14"/>
      <c r="N8" s="14"/>
      <c r="O8" s="14"/>
      <c r="P8" s="14"/>
      <c r="Q8" s="14"/>
      <c r="R8" s="14"/>
      <c r="S8" s="14"/>
    </row>
    <row r="9" spans="1:19" ht="72" x14ac:dyDescent="0.25">
      <c r="A9" s="14"/>
      <c r="B9" s="14"/>
      <c r="C9" s="54" t="s">
        <v>431</v>
      </c>
      <c r="D9" s="55"/>
      <c r="E9" s="54"/>
      <c r="F9" s="16" t="s">
        <v>32</v>
      </c>
      <c r="G9" s="16" t="s">
        <v>445</v>
      </c>
      <c r="H9" s="16"/>
      <c r="I9" s="16" t="s">
        <v>446</v>
      </c>
      <c r="J9" s="56" t="s">
        <v>447</v>
      </c>
      <c r="K9" s="14"/>
      <c r="L9" s="14"/>
      <c r="M9" s="14"/>
      <c r="N9" s="14"/>
      <c r="O9" s="14"/>
      <c r="P9" s="14"/>
      <c r="Q9" s="14"/>
      <c r="R9" s="14"/>
      <c r="S9" s="14"/>
    </row>
    <row r="10" spans="1:19" ht="36" x14ac:dyDescent="0.25">
      <c r="A10" s="14"/>
      <c r="B10" s="14"/>
      <c r="C10" s="54" t="s">
        <v>431</v>
      </c>
      <c r="D10" s="18"/>
      <c r="E10" s="12"/>
      <c r="F10" s="16" t="s">
        <v>33</v>
      </c>
      <c r="G10" s="16" t="s">
        <v>18</v>
      </c>
      <c r="H10" s="16"/>
      <c r="I10" s="16"/>
      <c r="J10" s="16" t="s">
        <v>20</v>
      </c>
      <c r="K10" s="14"/>
      <c r="L10" s="14"/>
      <c r="M10" s="14"/>
      <c r="N10" s="14"/>
      <c r="O10" s="14"/>
      <c r="P10" s="14"/>
      <c r="Q10" s="14"/>
      <c r="R10" s="14"/>
      <c r="S10" s="14"/>
    </row>
    <row r="11" spans="1:19" ht="36" x14ac:dyDescent="0.25">
      <c r="A11" s="14"/>
      <c r="B11" s="14"/>
      <c r="C11" s="54" t="s">
        <v>431</v>
      </c>
      <c r="D11" s="18"/>
      <c r="E11" s="12"/>
      <c r="F11" s="16" t="s">
        <v>49</v>
      </c>
      <c r="G11" s="16" t="s">
        <v>21</v>
      </c>
      <c r="H11" s="16"/>
      <c r="I11" s="16"/>
      <c r="J11" s="16" t="s">
        <v>448</v>
      </c>
      <c r="K11" s="14"/>
      <c r="L11" s="14"/>
      <c r="M11" s="14"/>
      <c r="N11" s="14"/>
      <c r="O11" s="14"/>
      <c r="P11" s="14"/>
      <c r="Q11" s="14"/>
      <c r="R11" s="14"/>
      <c r="S11" s="14"/>
    </row>
    <row r="12" spans="1:19" ht="48" x14ac:dyDescent="0.25">
      <c r="A12" s="14"/>
      <c r="B12" s="14"/>
      <c r="C12" s="54" t="s">
        <v>431</v>
      </c>
      <c r="D12" s="18"/>
      <c r="E12" s="12"/>
      <c r="F12" s="16" t="s">
        <v>56</v>
      </c>
      <c r="G12" s="16" t="s">
        <v>449</v>
      </c>
      <c r="H12" s="16"/>
      <c r="I12" s="16"/>
      <c r="J12" s="16" t="s">
        <v>450</v>
      </c>
      <c r="K12" s="14"/>
      <c r="L12" s="14"/>
      <c r="M12" s="14"/>
      <c r="N12" s="14"/>
      <c r="O12" s="14"/>
      <c r="P12" s="14"/>
      <c r="Q12" s="14"/>
      <c r="R12" s="14"/>
      <c r="S12" s="14"/>
    </row>
    <row r="13" spans="1:19" ht="36" x14ac:dyDescent="0.25">
      <c r="A13" s="14"/>
      <c r="B13" s="14"/>
      <c r="C13" s="54" t="s">
        <v>431</v>
      </c>
      <c r="D13" s="18"/>
      <c r="E13" s="12"/>
      <c r="F13" s="16" t="s">
        <v>57</v>
      </c>
      <c r="G13" s="16" t="s">
        <v>171</v>
      </c>
      <c r="H13" s="16"/>
      <c r="I13" s="16"/>
      <c r="J13" s="16" t="s">
        <v>172</v>
      </c>
      <c r="K13" s="14"/>
      <c r="L13" s="14"/>
      <c r="M13" s="14"/>
      <c r="N13" s="14"/>
      <c r="O13" s="14"/>
      <c r="P13" s="14"/>
      <c r="Q13" s="14"/>
      <c r="R13" s="14"/>
      <c r="S13" s="14"/>
    </row>
    <row r="14" spans="1:19" ht="48" x14ac:dyDescent="0.25">
      <c r="A14" s="14"/>
      <c r="B14" s="14"/>
      <c r="C14" s="54" t="s">
        <v>431</v>
      </c>
      <c r="D14" s="18"/>
      <c r="E14" s="12"/>
      <c r="F14" s="16" t="s">
        <v>58</v>
      </c>
      <c r="G14" s="16" t="s">
        <v>451</v>
      </c>
      <c r="H14" s="16"/>
      <c r="I14" s="16" t="s">
        <v>452</v>
      </c>
      <c r="J14" s="16" t="s">
        <v>453</v>
      </c>
      <c r="K14" s="14"/>
      <c r="L14" s="14"/>
      <c r="M14" s="14"/>
      <c r="N14" s="14"/>
      <c r="O14" s="14"/>
      <c r="P14" s="14"/>
      <c r="Q14" s="14"/>
      <c r="R14" s="14"/>
      <c r="S14" s="14"/>
    </row>
    <row r="15" spans="1:19" ht="72" x14ac:dyDescent="0.25">
      <c r="A15" s="14"/>
      <c r="B15" s="14"/>
      <c r="C15" s="54" t="s">
        <v>454</v>
      </c>
      <c r="D15" s="12" t="s">
        <v>432</v>
      </c>
      <c r="E15" s="16" t="s">
        <v>455</v>
      </c>
      <c r="F15" s="29" t="s">
        <v>17</v>
      </c>
      <c r="G15" s="16" t="s">
        <v>456</v>
      </c>
      <c r="H15" s="16"/>
      <c r="I15" s="16"/>
      <c r="J15" s="16" t="s">
        <v>80</v>
      </c>
      <c r="K15" s="14"/>
      <c r="L15" s="14"/>
      <c r="M15" s="14"/>
      <c r="N15" s="14"/>
      <c r="O15" s="14"/>
      <c r="P15" s="14"/>
      <c r="Q15" s="14"/>
      <c r="R15" s="14"/>
      <c r="S15" s="14"/>
    </row>
    <row r="16" spans="1:19" ht="36" x14ac:dyDescent="0.25">
      <c r="A16" s="14"/>
      <c r="B16" s="14"/>
      <c r="C16" s="54" t="s">
        <v>454</v>
      </c>
      <c r="D16" s="18"/>
      <c r="E16" s="16"/>
      <c r="F16" s="16" t="s">
        <v>19</v>
      </c>
      <c r="G16" s="16" t="s">
        <v>435</v>
      </c>
      <c r="H16" s="16"/>
      <c r="I16" s="16"/>
      <c r="J16" s="16" t="s">
        <v>80</v>
      </c>
      <c r="K16" s="14"/>
      <c r="L16" s="14"/>
      <c r="M16" s="14"/>
      <c r="N16" s="14"/>
      <c r="O16" s="14"/>
      <c r="P16" s="14"/>
      <c r="Q16" s="14"/>
      <c r="R16" s="14"/>
      <c r="S16" s="14"/>
    </row>
    <row r="17" spans="1:19" ht="84" x14ac:dyDescent="0.25">
      <c r="A17" s="14"/>
      <c r="B17" s="14"/>
      <c r="C17" s="54" t="s">
        <v>454</v>
      </c>
      <c r="D17" s="18"/>
      <c r="E17" s="16"/>
      <c r="F17" s="16" t="s">
        <v>26</v>
      </c>
      <c r="G17" s="16" t="s">
        <v>457</v>
      </c>
      <c r="H17" s="16"/>
      <c r="I17" s="16"/>
      <c r="J17" s="16" t="s">
        <v>80</v>
      </c>
      <c r="K17" s="14"/>
      <c r="L17" s="14"/>
      <c r="M17" s="14"/>
      <c r="N17" s="14"/>
      <c r="O17" s="14"/>
      <c r="P17" s="14"/>
      <c r="Q17" s="14"/>
      <c r="R17" s="14"/>
      <c r="S17" s="14"/>
    </row>
    <row r="18" spans="1:19" ht="60" x14ac:dyDescent="0.25">
      <c r="A18" s="14"/>
      <c r="B18" s="14"/>
      <c r="C18" s="54" t="s">
        <v>454</v>
      </c>
      <c r="D18" s="18"/>
      <c r="E18" s="12"/>
      <c r="F18" s="16" t="s">
        <v>28</v>
      </c>
      <c r="G18" s="16" t="s">
        <v>437</v>
      </c>
      <c r="H18" s="16"/>
      <c r="I18" s="16"/>
      <c r="J18" s="16" t="s">
        <v>438</v>
      </c>
      <c r="K18" s="14"/>
      <c r="L18" s="14"/>
      <c r="M18" s="14"/>
      <c r="N18" s="14"/>
      <c r="O18" s="14"/>
      <c r="P18" s="14"/>
      <c r="Q18" s="14"/>
      <c r="R18" s="14"/>
      <c r="S18" s="14"/>
    </row>
    <row r="19" spans="1:19" ht="60" x14ac:dyDescent="0.25">
      <c r="A19" s="14"/>
      <c r="B19" s="14"/>
      <c r="C19" s="54" t="s">
        <v>454</v>
      </c>
      <c r="D19" s="18"/>
      <c r="E19" s="12"/>
      <c r="F19" s="16" t="s">
        <v>29</v>
      </c>
      <c r="G19" s="16" t="s">
        <v>439</v>
      </c>
      <c r="H19" s="16"/>
      <c r="I19" s="16"/>
      <c r="J19" s="16" t="s">
        <v>440</v>
      </c>
      <c r="K19" s="14"/>
      <c r="L19" s="14"/>
      <c r="M19" s="14"/>
      <c r="N19" s="14"/>
      <c r="O19" s="14"/>
      <c r="P19" s="14"/>
      <c r="Q19" s="14"/>
      <c r="R19" s="14"/>
      <c r="S19" s="14"/>
    </row>
    <row r="20" spans="1:19" ht="36" x14ac:dyDescent="0.25">
      <c r="A20" s="14"/>
      <c r="B20" s="14"/>
      <c r="C20" s="54" t="s">
        <v>454</v>
      </c>
      <c r="D20" s="18"/>
      <c r="E20" s="12"/>
      <c r="F20" s="16" t="s">
        <v>30</v>
      </c>
      <c r="G20" s="16" t="s">
        <v>441</v>
      </c>
      <c r="H20" s="16"/>
      <c r="I20" s="16"/>
      <c r="J20" s="16" t="s">
        <v>442</v>
      </c>
      <c r="K20" s="14"/>
      <c r="L20" s="14"/>
      <c r="M20" s="14"/>
      <c r="N20" s="14"/>
      <c r="O20" s="14"/>
      <c r="P20" s="14"/>
      <c r="Q20" s="14"/>
      <c r="R20" s="14"/>
      <c r="S20" s="14"/>
    </row>
    <row r="21" spans="1:19" ht="84" x14ac:dyDescent="0.25">
      <c r="A21" s="14"/>
      <c r="B21" s="14"/>
      <c r="C21" s="54" t="s">
        <v>454</v>
      </c>
      <c r="D21" s="18"/>
      <c r="E21" s="12"/>
      <c r="F21" s="16" t="s">
        <v>31</v>
      </c>
      <c r="G21" s="16" t="s">
        <v>443</v>
      </c>
      <c r="H21" s="16"/>
      <c r="I21" s="16"/>
      <c r="J21" s="16" t="s">
        <v>444</v>
      </c>
      <c r="K21" s="14"/>
      <c r="L21" s="14"/>
      <c r="M21" s="14"/>
      <c r="N21" s="14"/>
      <c r="O21" s="14"/>
      <c r="P21" s="14"/>
      <c r="Q21" s="14"/>
      <c r="R21" s="14"/>
      <c r="S21" s="14"/>
    </row>
    <row r="22" spans="1:19" ht="72" x14ac:dyDescent="0.25">
      <c r="A22" s="14"/>
      <c r="B22" s="14"/>
      <c r="C22" s="54" t="s">
        <v>454</v>
      </c>
      <c r="D22" s="18"/>
      <c r="E22" s="12"/>
      <c r="F22" s="16" t="s">
        <v>32</v>
      </c>
      <c r="G22" s="16" t="s">
        <v>445</v>
      </c>
      <c r="H22" s="16"/>
      <c r="I22" s="16" t="s">
        <v>446</v>
      </c>
      <c r="J22" s="56" t="s">
        <v>447</v>
      </c>
      <c r="K22" s="14"/>
      <c r="L22" s="14"/>
      <c r="M22" s="14"/>
      <c r="N22" s="14"/>
      <c r="O22" s="14"/>
      <c r="P22" s="14"/>
      <c r="Q22" s="14"/>
      <c r="R22" s="14"/>
      <c r="S22" s="14"/>
    </row>
    <row r="23" spans="1:19" ht="36" x14ac:dyDescent="0.25">
      <c r="A23" s="14"/>
      <c r="B23" s="14"/>
      <c r="C23" s="54" t="s">
        <v>454</v>
      </c>
      <c r="D23" s="18"/>
      <c r="E23" s="12"/>
      <c r="F23" s="16" t="s">
        <v>33</v>
      </c>
      <c r="G23" s="16" t="s">
        <v>18</v>
      </c>
      <c r="H23" s="16"/>
      <c r="I23" s="16"/>
      <c r="J23" s="16" t="s">
        <v>20</v>
      </c>
      <c r="K23" s="14"/>
      <c r="L23" s="14"/>
      <c r="M23" s="14"/>
      <c r="N23" s="14"/>
      <c r="O23" s="14"/>
      <c r="P23" s="14"/>
      <c r="Q23" s="14"/>
      <c r="R23" s="14"/>
      <c r="S23" s="14"/>
    </row>
    <row r="24" spans="1:19" ht="36" x14ac:dyDescent="0.25">
      <c r="A24" s="14"/>
      <c r="B24" s="14"/>
      <c r="C24" s="54" t="s">
        <v>454</v>
      </c>
      <c r="D24" s="18"/>
      <c r="E24" s="12"/>
      <c r="F24" s="16" t="s">
        <v>49</v>
      </c>
      <c r="G24" s="16" t="s">
        <v>21</v>
      </c>
      <c r="H24" s="16"/>
      <c r="I24" s="16"/>
      <c r="J24" s="16" t="s">
        <v>448</v>
      </c>
      <c r="K24" s="14"/>
      <c r="L24" s="14"/>
      <c r="M24" s="14"/>
      <c r="N24" s="14"/>
      <c r="O24" s="14"/>
      <c r="P24" s="14"/>
      <c r="Q24" s="14"/>
      <c r="R24" s="14"/>
      <c r="S24" s="14"/>
    </row>
    <row r="25" spans="1:19" ht="48" x14ac:dyDescent="0.25">
      <c r="A25" s="14"/>
      <c r="B25" s="14"/>
      <c r="C25" s="54" t="s">
        <v>454</v>
      </c>
      <c r="D25" s="18"/>
      <c r="E25" s="12"/>
      <c r="F25" s="16" t="s">
        <v>56</v>
      </c>
      <c r="G25" s="16" t="s">
        <v>449</v>
      </c>
      <c r="H25" s="16"/>
      <c r="I25" s="16"/>
      <c r="J25" s="16" t="s">
        <v>450</v>
      </c>
      <c r="K25" s="14"/>
      <c r="L25" s="14"/>
      <c r="M25" s="14"/>
      <c r="N25" s="14"/>
      <c r="O25" s="14"/>
      <c r="P25" s="14"/>
      <c r="Q25" s="14"/>
      <c r="R25" s="14"/>
      <c r="S25" s="14"/>
    </row>
    <row r="26" spans="1:19" ht="36" x14ac:dyDescent="0.25">
      <c r="A26" s="14"/>
      <c r="B26" s="14"/>
      <c r="C26" s="54" t="s">
        <v>454</v>
      </c>
      <c r="D26" s="18"/>
      <c r="E26" s="12"/>
      <c r="F26" s="16" t="s">
        <v>57</v>
      </c>
      <c r="G26" s="16" t="s">
        <v>171</v>
      </c>
      <c r="H26" s="16"/>
      <c r="I26" s="16"/>
      <c r="J26" s="16" t="s">
        <v>172</v>
      </c>
      <c r="K26" s="14"/>
      <c r="L26" s="14"/>
      <c r="M26" s="14"/>
      <c r="N26" s="14"/>
      <c r="O26" s="14"/>
      <c r="P26" s="14"/>
      <c r="Q26" s="14"/>
      <c r="R26" s="14"/>
      <c r="S26" s="14"/>
    </row>
    <row r="27" spans="1:19" ht="48" x14ac:dyDescent="0.25">
      <c r="A27" s="14"/>
      <c r="B27" s="14"/>
      <c r="C27" s="54" t="s">
        <v>454</v>
      </c>
      <c r="D27" s="18"/>
      <c r="E27" s="12"/>
      <c r="F27" s="16" t="s">
        <v>58</v>
      </c>
      <c r="G27" s="16" t="s">
        <v>451</v>
      </c>
      <c r="H27" s="16"/>
      <c r="I27" s="16" t="s">
        <v>452</v>
      </c>
      <c r="J27" s="16" t="s">
        <v>458</v>
      </c>
      <c r="K27" s="14"/>
      <c r="L27" s="14"/>
      <c r="M27" s="14"/>
      <c r="N27" s="14"/>
      <c r="O27" s="14"/>
      <c r="P27" s="14"/>
      <c r="Q27" s="14"/>
      <c r="R27" s="14"/>
      <c r="S27" s="14"/>
    </row>
    <row r="28" spans="1:19" ht="72" x14ac:dyDescent="0.25">
      <c r="A28" s="14"/>
      <c r="B28" s="14"/>
      <c r="C28" s="12" t="s">
        <v>459</v>
      </c>
      <c r="D28" s="12" t="s">
        <v>432</v>
      </c>
      <c r="E28" s="16" t="s">
        <v>460</v>
      </c>
      <c r="F28" s="29" t="s">
        <v>17</v>
      </c>
      <c r="G28" s="16" t="s">
        <v>461</v>
      </c>
      <c r="H28" s="16"/>
      <c r="I28" s="16"/>
      <c r="J28" s="16" t="s">
        <v>80</v>
      </c>
      <c r="K28" s="14"/>
      <c r="L28" s="14"/>
      <c r="M28" s="14"/>
      <c r="N28" s="14"/>
      <c r="O28" s="14"/>
      <c r="P28" s="14"/>
      <c r="Q28" s="14"/>
      <c r="R28" s="14"/>
      <c r="S28" s="14"/>
    </row>
    <row r="29" spans="1:19" ht="36" x14ac:dyDescent="0.25">
      <c r="A29" s="14"/>
      <c r="B29" s="14"/>
      <c r="C29" s="12" t="s">
        <v>459</v>
      </c>
      <c r="D29" s="18"/>
      <c r="E29" s="16"/>
      <c r="F29" s="16" t="s">
        <v>19</v>
      </c>
      <c r="G29" s="16" t="s">
        <v>435</v>
      </c>
      <c r="H29" s="16"/>
      <c r="I29" s="16"/>
      <c r="J29" s="16" t="s">
        <v>80</v>
      </c>
      <c r="K29" s="14"/>
      <c r="L29" s="14"/>
      <c r="M29" s="14"/>
      <c r="N29" s="14"/>
      <c r="O29" s="14"/>
      <c r="P29" s="14"/>
      <c r="Q29" s="14"/>
      <c r="R29" s="14"/>
      <c r="S29" s="14"/>
    </row>
    <row r="30" spans="1:19" ht="84" x14ac:dyDescent="0.25">
      <c r="A30" s="14"/>
      <c r="B30" s="14"/>
      <c r="C30" s="12" t="s">
        <v>459</v>
      </c>
      <c r="D30" s="18"/>
      <c r="E30" s="16"/>
      <c r="F30" s="16" t="s">
        <v>26</v>
      </c>
      <c r="G30" s="16" t="s">
        <v>457</v>
      </c>
      <c r="H30" s="16"/>
      <c r="I30" s="16"/>
      <c r="J30" s="16" t="s">
        <v>80</v>
      </c>
      <c r="K30" s="14"/>
      <c r="L30" s="14"/>
      <c r="M30" s="14"/>
      <c r="N30" s="14"/>
      <c r="O30" s="14"/>
      <c r="P30" s="14"/>
      <c r="Q30" s="14"/>
      <c r="R30" s="14"/>
      <c r="S30" s="14"/>
    </row>
    <row r="31" spans="1:19" ht="60" x14ac:dyDescent="0.25">
      <c r="A31" s="14"/>
      <c r="B31" s="14"/>
      <c r="C31" s="12" t="s">
        <v>459</v>
      </c>
      <c r="D31" s="18"/>
      <c r="E31" s="12"/>
      <c r="F31" s="16" t="s">
        <v>28</v>
      </c>
      <c r="G31" s="16" t="s">
        <v>462</v>
      </c>
      <c r="H31" s="16"/>
      <c r="I31" s="16"/>
      <c r="J31" s="16" t="s">
        <v>463</v>
      </c>
      <c r="K31" s="14"/>
      <c r="L31" s="14"/>
      <c r="M31" s="14"/>
      <c r="N31" s="14"/>
      <c r="O31" s="14"/>
      <c r="P31" s="14"/>
      <c r="Q31" s="14"/>
      <c r="R31" s="14"/>
      <c r="S31" s="14"/>
    </row>
    <row r="32" spans="1:19" ht="60" x14ac:dyDescent="0.25">
      <c r="A32" s="14"/>
      <c r="B32" s="14"/>
      <c r="C32" s="12" t="s">
        <v>459</v>
      </c>
      <c r="D32" s="18"/>
      <c r="E32" s="12"/>
      <c r="F32" s="16" t="s">
        <v>29</v>
      </c>
      <c r="G32" s="16" t="s">
        <v>439</v>
      </c>
      <c r="H32" s="16"/>
      <c r="I32" s="16"/>
      <c r="J32" s="16" t="s">
        <v>464</v>
      </c>
      <c r="K32" s="14"/>
      <c r="L32" s="14"/>
      <c r="M32" s="14"/>
      <c r="N32" s="14"/>
      <c r="O32" s="14"/>
      <c r="P32" s="14"/>
      <c r="Q32" s="14"/>
      <c r="R32" s="14"/>
      <c r="S32" s="14"/>
    </row>
    <row r="33" spans="1:19" ht="36" x14ac:dyDescent="0.25">
      <c r="A33" s="14"/>
      <c r="B33" s="14"/>
      <c r="C33" s="12" t="s">
        <v>459</v>
      </c>
      <c r="D33" s="18"/>
      <c r="E33" s="12"/>
      <c r="F33" s="16" t="s">
        <v>30</v>
      </c>
      <c r="G33" s="16" t="s">
        <v>465</v>
      </c>
      <c r="H33" s="16"/>
      <c r="I33" s="16"/>
      <c r="J33" s="16" t="s">
        <v>466</v>
      </c>
      <c r="K33" s="14"/>
      <c r="L33" s="14"/>
      <c r="M33" s="14"/>
      <c r="N33" s="14"/>
      <c r="O33" s="14"/>
      <c r="P33" s="14"/>
      <c r="Q33" s="14"/>
      <c r="R33" s="14"/>
      <c r="S33" s="14"/>
    </row>
    <row r="34" spans="1:19" ht="72" x14ac:dyDescent="0.25">
      <c r="A34" s="14"/>
      <c r="B34" s="14"/>
      <c r="C34" s="12" t="s">
        <v>459</v>
      </c>
      <c r="D34" s="18"/>
      <c r="E34" s="12"/>
      <c r="F34" s="16" t="s">
        <v>31</v>
      </c>
      <c r="G34" s="16" t="s">
        <v>445</v>
      </c>
      <c r="H34" s="16"/>
      <c r="I34" s="16" t="s">
        <v>446</v>
      </c>
      <c r="J34" s="56" t="s">
        <v>447</v>
      </c>
      <c r="K34" s="14"/>
      <c r="L34" s="14"/>
      <c r="M34" s="14"/>
      <c r="N34" s="14"/>
      <c r="O34" s="14"/>
      <c r="P34" s="14"/>
      <c r="Q34" s="14"/>
      <c r="R34" s="14"/>
      <c r="S34" s="14"/>
    </row>
    <row r="35" spans="1:19" ht="36" x14ac:dyDescent="0.25">
      <c r="A35" s="14"/>
      <c r="B35" s="14"/>
      <c r="C35" s="12" t="s">
        <v>459</v>
      </c>
      <c r="D35" s="18"/>
      <c r="E35" s="12"/>
      <c r="F35" s="16" t="s">
        <v>32</v>
      </c>
      <c r="G35" s="16" t="s">
        <v>18</v>
      </c>
      <c r="H35" s="16"/>
      <c r="I35" s="16"/>
      <c r="J35" s="16" t="s">
        <v>20</v>
      </c>
      <c r="K35" s="14"/>
      <c r="L35" s="14"/>
      <c r="M35" s="14"/>
      <c r="N35" s="14"/>
      <c r="O35" s="14"/>
      <c r="P35" s="14"/>
      <c r="Q35" s="14"/>
      <c r="R35" s="14"/>
      <c r="S35" s="14"/>
    </row>
    <row r="36" spans="1:19" ht="36" x14ac:dyDescent="0.25">
      <c r="A36" s="14"/>
      <c r="B36" s="14"/>
      <c r="C36" s="12" t="s">
        <v>459</v>
      </c>
      <c r="D36" s="18"/>
      <c r="E36" s="12"/>
      <c r="F36" s="16" t="s">
        <v>33</v>
      </c>
      <c r="G36" s="16" t="s">
        <v>21</v>
      </c>
      <c r="H36" s="16"/>
      <c r="I36" s="16"/>
      <c r="J36" s="16" t="s">
        <v>448</v>
      </c>
      <c r="K36" s="14"/>
      <c r="L36" s="14"/>
      <c r="M36" s="14"/>
      <c r="N36" s="14"/>
      <c r="O36" s="14"/>
      <c r="P36" s="14"/>
      <c r="Q36" s="14"/>
      <c r="R36" s="14"/>
      <c r="S36" s="14"/>
    </row>
    <row r="37" spans="1:19" ht="36" x14ac:dyDescent="0.25">
      <c r="A37" s="14"/>
      <c r="B37" s="14"/>
      <c r="C37" s="12" t="s">
        <v>459</v>
      </c>
      <c r="D37" s="18"/>
      <c r="E37" s="12"/>
      <c r="F37" s="16" t="s">
        <v>49</v>
      </c>
      <c r="G37" s="16" t="s">
        <v>449</v>
      </c>
      <c r="H37" s="16"/>
      <c r="I37" s="16"/>
      <c r="J37" s="16" t="s">
        <v>467</v>
      </c>
      <c r="K37" s="14"/>
      <c r="L37" s="14"/>
      <c r="M37" s="14"/>
      <c r="N37" s="14"/>
      <c r="O37" s="14"/>
      <c r="P37" s="14"/>
      <c r="Q37" s="14"/>
      <c r="R37" s="14"/>
      <c r="S37" s="14"/>
    </row>
    <row r="38" spans="1:19" ht="36" x14ac:dyDescent="0.25">
      <c r="A38" s="14"/>
      <c r="B38" s="14"/>
      <c r="C38" s="12" t="s">
        <v>459</v>
      </c>
      <c r="D38" s="18"/>
      <c r="E38" s="12"/>
      <c r="F38" s="16" t="s">
        <v>57</v>
      </c>
      <c r="G38" s="50" t="s">
        <v>468</v>
      </c>
      <c r="H38" s="50"/>
      <c r="I38" s="50"/>
      <c r="J38" s="50" t="s">
        <v>469</v>
      </c>
      <c r="K38" s="14"/>
      <c r="L38" s="14"/>
      <c r="M38" s="14"/>
      <c r="N38" s="14"/>
      <c r="O38" s="14"/>
      <c r="P38" s="14"/>
      <c r="Q38" s="14"/>
      <c r="R38" s="14"/>
      <c r="S38" s="14"/>
    </row>
    <row r="39" spans="1:19" ht="36" x14ac:dyDescent="0.25">
      <c r="A39" s="14"/>
      <c r="B39" s="14"/>
      <c r="C39" s="12" t="s">
        <v>459</v>
      </c>
      <c r="D39" s="18"/>
      <c r="E39" s="12"/>
      <c r="F39" s="16" t="s">
        <v>58</v>
      </c>
      <c r="G39" s="50" t="s">
        <v>470</v>
      </c>
      <c r="H39" s="50"/>
      <c r="I39" s="50"/>
      <c r="J39" s="50" t="s">
        <v>471</v>
      </c>
      <c r="K39" s="14"/>
      <c r="L39" s="14"/>
      <c r="M39" s="14"/>
      <c r="N39" s="14"/>
      <c r="O39" s="14"/>
      <c r="P39" s="14"/>
      <c r="Q39" s="14"/>
      <c r="R39" s="14"/>
      <c r="S39" s="14"/>
    </row>
    <row r="40" spans="1:19" ht="36" x14ac:dyDescent="0.25">
      <c r="A40" s="14"/>
      <c r="B40" s="14"/>
      <c r="C40" s="12" t="s">
        <v>459</v>
      </c>
      <c r="D40" s="18"/>
      <c r="E40" s="12"/>
      <c r="F40" s="16" t="s">
        <v>59</v>
      </c>
      <c r="G40" s="50" t="s">
        <v>472</v>
      </c>
      <c r="H40" s="50"/>
      <c r="I40" s="50"/>
      <c r="J40" s="50" t="s">
        <v>473</v>
      </c>
      <c r="K40" s="14"/>
      <c r="L40" s="14"/>
      <c r="M40" s="14"/>
      <c r="N40" s="14"/>
      <c r="O40" s="14"/>
      <c r="P40" s="14"/>
      <c r="Q40" s="14"/>
      <c r="R40" s="14"/>
      <c r="S40" s="14"/>
    </row>
    <row r="41" spans="1:19" ht="60" x14ac:dyDescent="0.25">
      <c r="A41" s="14"/>
      <c r="B41" s="14"/>
      <c r="C41" s="12" t="s">
        <v>459</v>
      </c>
      <c r="D41" s="18"/>
      <c r="E41" s="12"/>
      <c r="F41" s="16" t="s">
        <v>60</v>
      </c>
      <c r="G41" s="16" t="s">
        <v>474</v>
      </c>
      <c r="H41" s="16"/>
      <c r="I41" s="16" t="s">
        <v>475</v>
      </c>
      <c r="J41" s="16" t="s">
        <v>476</v>
      </c>
      <c r="K41" s="14"/>
      <c r="L41" s="14"/>
      <c r="M41" s="14"/>
      <c r="N41" s="14"/>
      <c r="O41" s="14"/>
      <c r="P41" s="14"/>
      <c r="Q41" s="14"/>
      <c r="R41" s="14"/>
      <c r="S41" s="14"/>
    </row>
    <row r="42" spans="1:19" ht="84" x14ac:dyDescent="0.25">
      <c r="A42" s="14"/>
      <c r="B42" s="14"/>
      <c r="C42" s="54" t="s">
        <v>477</v>
      </c>
      <c r="D42" s="12" t="s">
        <v>432</v>
      </c>
      <c r="E42" s="16" t="s">
        <v>478</v>
      </c>
      <c r="F42" s="29" t="s">
        <v>17</v>
      </c>
      <c r="G42" s="16" t="s">
        <v>434</v>
      </c>
      <c r="H42" s="16"/>
      <c r="I42" s="16"/>
      <c r="J42" s="16" t="s">
        <v>80</v>
      </c>
      <c r="K42" s="14"/>
      <c r="L42" s="14"/>
      <c r="M42" s="14"/>
      <c r="N42" s="14"/>
      <c r="O42" s="14"/>
      <c r="P42" s="14"/>
      <c r="Q42" s="14"/>
      <c r="R42" s="14"/>
      <c r="S42" s="14"/>
    </row>
    <row r="43" spans="1:19" ht="36" x14ac:dyDescent="0.25">
      <c r="A43" s="14"/>
      <c r="B43" s="14"/>
      <c r="C43" s="54" t="s">
        <v>477</v>
      </c>
      <c r="D43" s="18"/>
      <c r="E43" s="16"/>
      <c r="F43" s="16" t="s">
        <v>19</v>
      </c>
      <c r="G43" s="16" t="s">
        <v>435</v>
      </c>
      <c r="H43" s="16"/>
      <c r="I43" s="16"/>
      <c r="J43" s="16" t="s">
        <v>80</v>
      </c>
      <c r="K43" s="14"/>
      <c r="L43" s="14"/>
      <c r="M43" s="14"/>
      <c r="N43" s="14"/>
      <c r="O43" s="14"/>
      <c r="P43" s="14"/>
      <c r="Q43" s="14"/>
      <c r="R43" s="14"/>
      <c r="S43" s="14"/>
    </row>
    <row r="44" spans="1:19" ht="36" x14ac:dyDescent="0.25">
      <c r="A44" s="14"/>
      <c r="B44" s="14"/>
      <c r="C44" s="54" t="s">
        <v>477</v>
      </c>
      <c r="D44" s="18"/>
      <c r="E44" s="16"/>
      <c r="F44" s="16" t="s">
        <v>26</v>
      </c>
      <c r="G44" s="16" t="s">
        <v>436</v>
      </c>
      <c r="H44" s="16"/>
      <c r="I44" s="16"/>
      <c r="J44" s="16" t="s">
        <v>80</v>
      </c>
      <c r="K44" s="14"/>
      <c r="L44" s="14"/>
      <c r="M44" s="14"/>
      <c r="N44" s="14"/>
      <c r="O44" s="14"/>
      <c r="P44" s="14"/>
      <c r="Q44" s="14"/>
      <c r="R44" s="14"/>
      <c r="S44" s="14"/>
    </row>
    <row r="45" spans="1:19" ht="60" x14ac:dyDescent="0.25">
      <c r="A45" s="14"/>
      <c r="B45" s="14"/>
      <c r="C45" s="54" t="s">
        <v>477</v>
      </c>
      <c r="D45" s="18"/>
      <c r="E45" s="12"/>
      <c r="F45" s="16" t="s">
        <v>28</v>
      </c>
      <c r="G45" s="16" t="s">
        <v>437</v>
      </c>
      <c r="H45" s="16"/>
      <c r="I45" s="16"/>
      <c r="J45" s="16" t="s">
        <v>438</v>
      </c>
      <c r="K45" s="14"/>
      <c r="L45" s="14"/>
      <c r="M45" s="14"/>
      <c r="N45" s="14"/>
      <c r="O45" s="14"/>
      <c r="P45" s="14"/>
      <c r="Q45" s="14"/>
      <c r="R45" s="14"/>
      <c r="S45" s="14"/>
    </row>
    <row r="46" spans="1:19" ht="60" x14ac:dyDescent="0.25">
      <c r="A46" s="14"/>
      <c r="B46" s="14"/>
      <c r="C46" s="54" t="s">
        <v>477</v>
      </c>
      <c r="D46" s="18"/>
      <c r="E46" s="12"/>
      <c r="F46" s="16" t="s">
        <v>29</v>
      </c>
      <c r="G46" s="16" t="s">
        <v>439</v>
      </c>
      <c r="H46" s="16"/>
      <c r="I46" s="16"/>
      <c r="J46" s="16" t="s">
        <v>440</v>
      </c>
      <c r="K46" s="14"/>
      <c r="L46" s="14"/>
      <c r="M46" s="14"/>
      <c r="N46" s="14"/>
      <c r="O46" s="14"/>
      <c r="P46" s="14"/>
      <c r="Q46" s="14"/>
      <c r="R46" s="14"/>
      <c r="S46" s="14"/>
    </row>
    <row r="47" spans="1:19" ht="36" x14ac:dyDescent="0.25">
      <c r="A47" s="14"/>
      <c r="B47" s="14"/>
      <c r="C47" s="54" t="s">
        <v>477</v>
      </c>
      <c r="D47" s="18"/>
      <c r="E47" s="12"/>
      <c r="F47" s="16" t="s">
        <v>30</v>
      </c>
      <c r="G47" s="16" t="s">
        <v>441</v>
      </c>
      <c r="H47" s="16"/>
      <c r="I47" s="16"/>
      <c r="J47" s="16" t="s">
        <v>442</v>
      </c>
      <c r="K47" s="14"/>
      <c r="L47" s="14"/>
      <c r="M47" s="14"/>
      <c r="N47" s="14"/>
      <c r="O47" s="14"/>
      <c r="P47" s="14"/>
      <c r="Q47" s="14"/>
      <c r="R47" s="14"/>
      <c r="S47" s="14"/>
    </row>
    <row r="48" spans="1:19" ht="84" x14ac:dyDescent="0.25">
      <c r="A48" s="14"/>
      <c r="B48" s="14"/>
      <c r="C48" s="54" t="s">
        <v>477</v>
      </c>
      <c r="D48" s="18"/>
      <c r="E48" s="12"/>
      <c r="F48" s="16" t="s">
        <v>31</v>
      </c>
      <c r="G48" s="16" t="s">
        <v>443</v>
      </c>
      <c r="H48" s="16"/>
      <c r="I48" s="16"/>
      <c r="J48" s="16" t="s">
        <v>444</v>
      </c>
      <c r="K48" s="14"/>
      <c r="L48" s="14"/>
      <c r="M48" s="14"/>
      <c r="N48" s="14"/>
      <c r="O48" s="14"/>
      <c r="P48" s="14"/>
      <c r="Q48" s="14"/>
      <c r="R48" s="14"/>
      <c r="S48" s="14"/>
    </row>
    <row r="49" spans="1:19" ht="72" x14ac:dyDescent="0.25">
      <c r="A49" s="14"/>
      <c r="B49" s="14"/>
      <c r="C49" s="54" t="s">
        <v>477</v>
      </c>
      <c r="D49" s="18"/>
      <c r="E49" s="12"/>
      <c r="F49" s="16" t="s">
        <v>32</v>
      </c>
      <c r="G49" s="16" t="s">
        <v>445</v>
      </c>
      <c r="H49" s="16"/>
      <c r="I49" s="16" t="s">
        <v>446</v>
      </c>
      <c r="J49" s="56" t="s">
        <v>447</v>
      </c>
      <c r="K49" s="14"/>
      <c r="L49" s="14"/>
      <c r="M49" s="14"/>
      <c r="N49" s="14"/>
      <c r="O49" s="14"/>
      <c r="P49" s="14"/>
      <c r="Q49" s="14"/>
      <c r="R49" s="14"/>
      <c r="S49" s="14"/>
    </row>
    <row r="50" spans="1:19" ht="36" x14ac:dyDescent="0.25">
      <c r="A50" s="14"/>
      <c r="B50" s="14"/>
      <c r="C50" s="54" t="s">
        <v>477</v>
      </c>
      <c r="D50" s="18"/>
      <c r="E50" s="12"/>
      <c r="F50" s="16" t="s">
        <v>33</v>
      </c>
      <c r="G50" s="16" t="s">
        <v>18</v>
      </c>
      <c r="H50" s="16"/>
      <c r="I50" s="16"/>
      <c r="J50" s="16" t="s">
        <v>20</v>
      </c>
      <c r="K50" s="14"/>
      <c r="L50" s="14"/>
      <c r="M50" s="14"/>
      <c r="N50" s="14"/>
      <c r="O50" s="14"/>
      <c r="P50" s="14"/>
      <c r="Q50" s="14"/>
      <c r="R50" s="14"/>
      <c r="S50" s="14"/>
    </row>
    <row r="51" spans="1:19" ht="36" x14ac:dyDescent="0.25">
      <c r="A51" s="14"/>
      <c r="B51" s="14"/>
      <c r="C51" s="54" t="s">
        <v>477</v>
      </c>
      <c r="D51" s="18"/>
      <c r="E51" s="12"/>
      <c r="F51" s="16" t="s">
        <v>49</v>
      </c>
      <c r="G51" s="16" t="s">
        <v>21</v>
      </c>
      <c r="H51" s="16"/>
      <c r="I51" s="16"/>
      <c r="J51" s="16" t="s">
        <v>448</v>
      </c>
      <c r="K51" s="14"/>
      <c r="L51" s="14"/>
      <c r="M51" s="14"/>
      <c r="N51" s="14"/>
      <c r="O51" s="14"/>
      <c r="P51" s="14"/>
      <c r="Q51" s="14"/>
      <c r="R51" s="14"/>
      <c r="S51" s="14"/>
    </row>
    <row r="52" spans="1:19" ht="48" x14ac:dyDescent="0.25">
      <c r="A52" s="14"/>
      <c r="B52" s="14"/>
      <c r="C52" s="54" t="s">
        <v>477</v>
      </c>
      <c r="D52" s="18"/>
      <c r="E52" s="12"/>
      <c r="F52" s="16" t="s">
        <v>56</v>
      </c>
      <c r="G52" s="16" t="s">
        <v>449</v>
      </c>
      <c r="H52" s="16"/>
      <c r="I52" s="16"/>
      <c r="J52" s="16" t="s">
        <v>450</v>
      </c>
      <c r="K52" s="14"/>
      <c r="L52" s="14"/>
      <c r="M52" s="14"/>
      <c r="N52" s="14"/>
      <c r="O52" s="14"/>
      <c r="P52" s="14"/>
      <c r="Q52" s="14"/>
      <c r="R52" s="14"/>
      <c r="S52" s="14"/>
    </row>
    <row r="53" spans="1:19" ht="36" x14ac:dyDescent="0.25">
      <c r="A53" s="14"/>
      <c r="B53" s="14"/>
      <c r="C53" s="54" t="s">
        <v>477</v>
      </c>
      <c r="D53" s="18"/>
      <c r="E53" s="12"/>
      <c r="F53" s="16" t="s">
        <v>57</v>
      </c>
      <c r="G53" s="16" t="s">
        <v>171</v>
      </c>
      <c r="H53" s="16"/>
      <c r="I53" s="16"/>
      <c r="J53" s="16" t="s">
        <v>172</v>
      </c>
      <c r="K53" s="14"/>
      <c r="L53" s="14"/>
      <c r="M53" s="14"/>
      <c r="N53" s="14"/>
      <c r="O53" s="14"/>
      <c r="P53" s="14"/>
      <c r="Q53" s="14"/>
      <c r="R53" s="14"/>
      <c r="S53" s="14"/>
    </row>
    <row r="54" spans="1:19" ht="48" x14ac:dyDescent="0.25">
      <c r="A54" s="14"/>
      <c r="B54" s="14"/>
      <c r="C54" s="54" t="s">
        <v>477</v>
      </c>
      <c r="D54" s="18"/>
      <c r="E54" s="12"/>
      <c r="F54" s="16" t="s">
        <v>58</v>
      </c>
      <c r="G54" s="16" t="s">
        <v>451</v>
      </c>
      <c r="H54" s="16"/>
      <c r="I54" s="16" t="s">
        <v>479</v>
      </c>
      <c r="J54" s="16" t="s">
        <v>453</v>
      </c>
      <c r="K54" s="14"/>
      <c r="L54" s="14"/>
      <c r="M54" s="14"/>
      <c r="N54" s="14"/>
      <c r="O54" s="14"/>
      <c r="P54" s="14"/>
      <c r="Q54" s="14"/>
      <c r="R54" s="14"/>
      <c r="S54" s="14"/>
    </row>
    <row r="55" spans="1:19" ht="72" x14ac:dyDescent="0.25">
      <c r="A55" s="14"/>
      <c r="B55" s="14"/>
      <c r="C55" s="54" t="s">
        <v>480</v>
      </c>
      <c r="D55" s="12" t="s">
        <v>432</v>
      </c>
      <c r="E55" s="16" t="s">
        <v>481</v>
      </c>
      <c r="F55" s="29" t="s">
        <v>17</v>
      </c>
      <c r="G55" s="16" t="s">
        <v>456</v>
      </c>
      <c r="H55" s="16"/>
      <c r="I55" s="16"/>
      <c r="J55" s="16" t="s">
        <v>80</v>
      </c>
      <c r="K55" s="14"/>
      <c r="L55" s="14"/>
      <c r="M55" s="14"/>
      <c r="N55" s="14"/>
      <c r="O55" s="14"/>
      <c r="P55" s="14"/>
      <c r="Q55" s="14"/>
      <c r="R55" s="14"/>
      <c r="S55" s="14"/>
    </row>
    <row r="56" spans="1:19" ht="36" x14ac:dyDescent="0.25">
      <c r="A56" s="14"/>
      <c r="B56" s="14"/>
      <c r="C56" s="54" t="s">
        <v>480</v>
      </c>
      <c r="D56" s="18"/>
      <c r="E56" s="16"/>
      <c r="F56" s="16" t="s">
        <v>19</v>
      </c>
      <c r="G56" s="16" t="s">
        <v>435</v>
      </c>
      <c r="H56" s="16"/>
      <c r="I56" s="16"/>
      <c r="J56" s="16" t="s">
        <v>80</v>
      </c>
      <c r="K56" s="14"/>
      <c r="L56" s="14"/>
      <c r="M56" s="14"/>
      <c r="N56" s="14"/>
      <c r="O56" s="14"/>
      <c r="P56" s="14"/>
      <c r="Q56" s="14"/>
      <c r="R56" s="14"/>
      <c r="S56" s="14"/>
    </row>
    <row r="57" spans="1:19" ht="84" x14ac:dyDescent="0.25">
      <c r="A57" s="14"/>
      <c r="B57" s="14"/>
      <c r="C57" s="54" t="s">
        <v>480</v>
      </c>
      <c r="D57" s="18"/>
      <c r="E57" s="16"/>
      <c r="F57" s="16" t="s">
        <v>26</v>
      </c>
      <c r="G57" s="16" t="s">
        <v>482</v>
      </c>
      <c r="H57" s="16"/>
      <c r="I57" s="16"/>
      <c r="J57" s="16" t="s">
        <v>80</v>
      </c>
      <c r="K57" s="14"/>
      <c r="L57" s="14"/>
      <c r="M57" s="14"/>
      <c r="N57" s="14"/>
      <c r="O57" s="14"/>
      <c r="P57" s="14"/>
      <c r="Q57" s="14"/>
      <c r="R57" s="14"/>
      <c r="S57" s="14"/>
    </row>
    <row r="58" spans="1:19" ht="48" x14ac:dyDescent="0.25">
      <c r="A58" s="14"/>
      <c r="B58" s="14"/>
      <c r="C58" s="54" t="s">
        <v>480</v>
      </c>
      <c r="D58" s="18"/>
      <c r="E58" s="12"/>
      <c r="F58" s="16" t="s">
        <v>28</v>
      </c>
      <c r="G58" s="16" t="s">
        <v>437</v>
      </c>
      <c r="H58" s="16"/>
      <c r="I58" s="16"/>
      <c r="J58" s="16" t="s">
        <v>483</v>
      </c>
      <c r="K58" s="14"/>
      <c r="L58" s="14"/>
      <c r="M58" s="14"/>
      <c r="N58" s="14"/>
      <c r="O58" s="14"/>
      <c r="P58" s="14"/>
      <c r="Q58" s="14"/>
      <c r="R58" s="14"/>
      <c r="S58" s="14"/>
    </row>
    <row r="59" spans="1:19" ht="36" x14ac:dyDescent="0.25">
      <c r="A59" s="14"/>
      <c r="B59" s="14"/>
      <c r="C59" s="54" t="s">
        <v>480</v>
      </c>
      <c r="D59" s="18"/>
      <c r="E59" s="12"/>
      <c r="F59" s="16" t="s">
        <v>29</v>
      </c>
      <c r="G59" s="16" t="s">
        <v>18</v>
      </c>
      <c r="H59" s="16"/>
      <c r="I59" s="16"/>
      <c r="J59" s="16" t="s">
        <v>20</v>
      </c>
      <c r="K59" s="14"/>
      <c r="L59" s="14"/>
      <c r="M59" s="14"/>
      <c r="N59" s="14"/>
      <c r="O59" s="14"/>
      <c r="P59" s="14"/>
      <c r="Q59" s="14"/>
      <c r="R59" s="14"/>
      <c r="S59" s="14"/>
    </row>
    <row r="60" spans="1:19" ht="36" x14ac:dyDescent="0.25">
      <c r="A60" s="14"/>
      <c r="B60" s="14"/>
      <c r="C60" s="54" t="s">
        <v>480</v>
      </c>
      <c r="D60" s="18"/>
      <c r="E60" s="12"/>
      <c r="F60" s="16" t="s">
        <v>30</v>
      </c>
      <c r="G60" s="16" t="s">
        <v>21</v>
      </c>
      <c r="H60" s="16"/>
      <c r="I60" s="16"/>
      <c r="J60" s="16" t="s">
        <v>448</v>
      </c>
      <c r="K60" s="14"/>
      <c r="L60" s="14"/>
      <c r="M60" s="14"/>
      <c r="N60" s="14"/>
      <c r="O60" s="14"/>
      <c r="P60" s="14"/>
      <c r="Q60" s="14"/>
      <c r="R60" s="14"/>
      <c r="S60" s="14"/>
    </row>
    <row r="61" spans="1:19" ht="48" x14ac:dyDescent="0.25">
      <c r="A61" s="14"/>
      <c r="B61" s="14"/>
      <c r="C61" s="54" t="s">
        <v>480</v>
      </c>
      <c r="D61" s="18"/>
      <c r="E61" s="12"/>
      <c r="F61" s="16" t="s">
        <v>31</v>
      </c>
      <c r="G61" s="16" t="s">
        <v>449</v>
      </c>
      <c r="H61" s="16"/>
      <c r="I61" s="16"/>
      <c r="J61" s="16" t="s">
        <v>450</v>
      </c>
      <c r="K61" s="14"/>
      <c r="L61" s="14"/>
      <c r="M61" s="14"/>
      <c r="N61" s="14"/>
      <c r="O61" s="14"/>
      <c r="P61" s="14"/>
      <c r="Q61" s="14"/>
      <c r="R61" s="14"/>
      <c r="S61" s="14"/>
    </row>
    <row r="62" spans="1:19" ht="36" x14ac:dyDescent="0.25">
      <c r="A62" s="14"/>
      <c r="B62" s="14"/>
      <c r="C62" s="54" t="s">
        <v>480</v>
      </c>
      <c r="D62" s="18"/>
      <c r="E62" s="12"/>
      <c r="F62" s="16" t="s">
        <v>32</v>
      </c>
      <c r="G62" s="16" t="s">
        <v>171</v>
      </c>
      <c r="H62" s="16"/>
      <c r="I62" s="16"/>
      <c r="J62" s="16" t="s">
        <v>172</v>
      </c>
      <c r="K62" s="14"/>
      <c r="L62" s="14"/>
      <c r="M62" s="14"/>
      <c r="N62" s="14"/>
      <c r="O62" s="14"/>
      <c r="P62" s="14"/>
      <c r="Q62" s="14"/>
      <c r="R62" s="14"/>
      <c r="S62" s="14"/>
    </row>
    <row r="63" spans="1:19" ht="48" x14ac:dyDescent="0.25">
      <c r="A63" s="14"/>
      <c r="B63" s="14"/>
      <c r="C63" s="54" t="s">
        <v>480</v>
      </c>
      <c r="D63" s="18"/>
      <c r="E63" s="12"/>
      <c r="F63" s="16" t="s">
        <v>33</v>
      </c>
      <c r="G63" s="16" t="s">
        <v>451</v>
      </c>
      <c r="H63" s="16"/>
      <c r="I63" s="16" t="s">
        <v>452</v>
      </c>
      <c r="J63" s="16" t="s">
        <v>458</v>
      </c>
      <c r="K63" s="14"/>
      <c r="L63" s="14"/>
      <c r="M63" s="14"/>
      <c r="N63" s="14"/>
      <c r="O63" s="14"/>
      <c r="P63" s="14"/>
      <c r="Q63" s="14"/>
      <c r="R63" s="14"/>
      <c r="S63" s="14"/>
    </row>
    <row r="64" spans="1:19" ht="72" x14ac:dyDescent="0.25">
      <c r="A64" s="14"/>
      <c r="B64" s="14"/>
      <c r="C64" s="12" t="s">
        <v>484</v>
      </c>
      <c r="D64" s="12" t="s">
        <v>432</v>
      </c>
      <c r="E64" s="16" t="s">
        <v>460</v>
      </c>
      <c r="F64" s="29" t="s">
        <v>17</v>
      </c>
      <c r="G64" s="16" t="s">
        <v>461</v>
      </c>
      <c r="H64" s="16"/>
      <c r="I64" s="16"/>
      <c r="J64" s="16" t="s">
        <v>80</v>
      </c>
      <c r="K64" s="14"/>
      <c r="L64" s="14"/>
      <c r="M64" s="14"/>
      <c r="N64" s="14"/>
      <c r="O64" s="14"/>
      <c r="P64" s="14"/>
      <c r="Q64" s="14"/>
      <c r="R64" s="14"/>
      <c r="S64" s="14"/>
    </row>
    <row r="65" spans="1:19" ht="36" x14ac:dyDescent="0.25">
      <c r="A65" s="14"/>
      <c r="B65" s="14"/>
      <c r="C65" s="12" t="s">
        <v>484</v>
      </c>
      <c r="D65" s="18"/>
      <c r="E65" s="16"/>
      <c r="F65" s="16" t="s">
        <v>19</v>
      </c>
      <c r="G65" s="16" t="s">
        <v>435</v>
      </c>
      <c r="H65" s="16"/>
      <c r="I65" s="16"/>
      <c r="J65" s="16" t="s">
        <v>80</v>
      </c>
      <c r="K65" s="14"/>
      <c r="L65" s="14"/>
      <c r="M65" s="14"/>
      <c r="N65" s="14"/>
      <c r="O65" s="14"/>
      <c r="P65" s="14"/>
      <c r="Q65" s="14"/>
      <c r="R65" s="14"/>
      <c r="S65" s="14"/>
    </row>
    <row r="66" spans="1:19" ht="84" x14ac:dyDescent="0.25">
      <c r="A66" s="14"/>
      <c r="B66" s="14"/>
      <c r="C66" s="12" t="s">
        <v>484</v>
      </c>
      <c r="D66" s="18"/>
      <c r="E66" s="16"/>
      <c r="F66" s="16" t="s">
        <v>26</v>
      </c>
      <c r="G66" s="16" t="s">
        <v>457</v>
      </c>
      <c r="H66" s="16"/>
      <c r="I66" s="16"/>
      <c r="J66" s="16" t="s">
        <v>80</v>
      </c>
      <c r="K66" s="14"/>
      <c r="L66" s="14"/>
      <c r="M66" s="14"/>
      <c r="N66" s="14"/>
      <c r="O66" s="14"/>
      <c r="P66" s="14"/>
      <c r="Q66" s="14"/>
      <c r="R66" s="14"/>
      <c r="S66" s="14"/>
    </row>
    <row r="67" spans="1:19" ht="48" x14ac:dyDescent="0.25">
      <c r="A67" s="14"/>
      <c r="B67" s="14"/>
      <c r="C67" s="12" t="s">
        <v>484</v>
      </c>
      <c r="D67" s="18"/>
      <c r="E67" s="12"/>
      <c r="F67" s="16" t="s">
        <v>28</v>
      </c>
      <c r="G67" s="16" t="s">
        <v>462</v>
      </c>
      <c r="H67" s="16"/>
      <c r="I67" s="16"/>
      <c r="J67" s="16" t="s">
        <v>483</v>
      </c>
      <c r="K67" s="14"/>
      <c r="L67" s="14"/>
      <c r="M67" s="14"/>
      <c r="N67" s="14"/>
      <c r="O67" s="14"/>
      <c r="P67" s="14"/>
      <c r="Q67" s="14"/>
      <c r="R67" s="14"/>
      <c r="S67" s="14"/>
    </row>
    <row r="68" spans="1:19" ht="36" x14ac:dyDescent="0.25">
      <c r="A68" s="14"/>
      <c r="B68" s="14"/>
      <c r="C68" s="12" t="s">
        <v>484</v>
      </c>
      <c r="D68" s="18"/>
      <c r="E68" s="12"/>
      <c r="F68" s="16" t="s">
        <v>29</v>
      </c>
      <c r="G68" s="16" t="s">
        <v>18</v>
      </c>
      <c r="H68" s="16"/>
      <c r="I68" s="16"/>
      <c r="J68" s="16" t="s">
        <v>20</v>
      </c>
      <c r="K68" s="14"/>
      <c r="L68" s="14"/>
      <c r="M68" s="14"/>
      <c r="N68" s="14"/>
      <c r="O68" s="14"/>
      <c r="P68" s="14"/>
      <c r="Q68" s="14"/>
      <c r="R68" s="14"/>
      <c r="S68" s="14"/>
    </row>
    <row r="69" spans="1:19" ht="36" x14ac:dyDescent="0.25">
      <c r="A69" s="14"/>
      <c r="B69" s="14"/>
      <c r="C69" s="12" t="s">
        <v>484</v>
      </c>
      <c r="D69" s="18"/>
      <c r="E69" s="12"/>
      <c r="F69" s="16" t="s">
        <v>30</v>
      </c>
      <c r="G69" s="16" t="s">
        <v>21</v>
      </c>
      <c r="H69" s="16"/>
      <c r="I69" s="16"/>
      <c r="J69" s="16" t="s">
        <v>448</v>
      </c>
      <c r="K69" s="14"/>
      <c r="L69" s="14"/>
      <c r="M69" s="14"/>
      <c r="N69" s="14"/>
      <c r="O69" s="14"/>
      <c r="P69" s="14"/>
      <c r="Q69" s="14"/>
      <c r="R69" s="14"/>
      <c r="S69" s="14"/>
    </row>
    <row r="70" spans="1:19" ht="36" x14ac:dyDescent="0.25">
      <c r="A70" s="14"/>
      <c r="B70" s="14"/>
      <c r="C70" s="12" t="s">
        <v>484</v>
      </c>
      <c r="D70" s="18"/>
      <c r="E70" s="12"/>
      <c r="F70" s="16" t="s">
        <v>31</v>
      </c>
      <c r="G70" s="16" t="s">
        <v>449</v>
      </c>
      <c r="H70" s="16"/>
      <c r="I70" s="16"/>
      <c r="J70" s="16" t="s">
        <v>467</v>
      </c>
      <c r="K70" s="14"/>
      <c r="L70" s="14"/>
      <c r="M70" s="14"/>
      <c r="N70" s="14"/>
      <c r="O70" s="14"/>
      <c r="P70" s="14"/>
      <c r="Q70" s="14"/>
      <c r="R70" s="14"/>
      <c r="S70" s="14"/>
    </row>
    <row r="71" spans="1:19" ht="36" x14ac:dyDescent="0.25">
      <c r="A71" s="14"/>
      <c r="B71" s="14"/>
      <c r="C71" s="12" t="s">
        <v>484</v>
      </c>
      <c r="D71" s="18"/>
      <c r="E71" s="12"/>
      <c r="F71" s="16" t="s">
        <v>32</v>
      </c>
      <c r="G71" s="50" t="s">
        <v>468</v>
      </c>
      <c r="H71" s="50"/>
      <c r="I71" s="50"/>
      <c r="J71" s="50" t="s">
        <v>469</v>
      </c>
      <c r="K71" s="14"/>
      <c r="L71" s="14"/>
      <c r="M71" s="14"/>
      <c r="N71" s="14"/>
      <c r="O71" s="14"/>
      <c r="P71" s="14"/>
      <c r="Q71" s="14"/>
      <c r="R71" s="14"/>
      <c r="S71" s="14"/>
    </row>
    <row r="72" spans="1:19" ht="36" x14ac:dyDescent="0.25">
      <c r="A72" s="14"/>
      <c r="B72" s="14"/>
      <c r="C72" s="12" t="s">
        <v>484</v>
      </c>
      <c r="D72" s="18"/>
      <c r="E72" s="12"/>
      <c r="F72" s="16" t="s">
        <v>33</v>
      </c>
      <c r="G72" s="50" t="s">
        <v>470</v>
      </c>
      <c r="H72" s="50"/>
      <c r="I72" s="50"/>
      <c r="J72" s="50" t="s">
        <v>471</v>
      </c>
      <c r="K72" s="14"/>
      <c r="L72" s="14"/>
      <c r="M72" s="14"/>
      <c r="N72" s="14"/>
      <c r="O72" s="14"/>
      <c r="P72" s="14"/>
      <c r="Q72" s="14"/>
      <c r="R72" s="14"/>
      <c r="S72" s="14"/>
    </row>
    <row r="73" spans="1:19" ht="36" x14ac:dyDescent="0.25">
      <c r="A73" s="14"/>
      <c r="B73" s="14"/>
      <c r="C73" s="12" t="s">
        <v>484</v>
      </c>
      <c r="D73" s="18"/>
      <c r="E73" s="12"/>
      <c r="F73" s="16" t="s">
        <v>49</v>
      </c>
      <c r="G73" s="50" t="s">
        <v>472</v>
      </c>
      <c r="H73" s="50"/>
      <c r="I73" s="50"/>
      <c r="J73" s="50" t="s">
        <v>473</v>
      </c>
      <c r="K73" s="14"/>
      <c r="L73" s="14"/>
      <c r="M73" s="14"/>
      <c r="N73" s="14"/>
      <c r="O73" s="14"/>
      <c r="P73" s="14"/>
      <c r="Q73" s="14"/>
      <c r="R73" s="14"/>
      <c r="S73" s="14"/>
    </row>
    <row r="74" spans="1:19" ht="60" x14ac:dyDescent="0.25">
      <c r="A74" s="14"/>
      <c r="B74" s="14"/>
      <c r="C74" s="12" t="s">
        <v>484</v>
      </c>
      <c r="D74" s="18"/>
      <c r="E74" s="12"/>
      <c r="F74" s="16" t="s">
        <v>56</v>
      </c>
      <c r="G74" s="16" t="s">
        <v>474</v>
      </c>
      <c r="H74" s="16"/>
      <c r="I74" s="16" t="s">
        <v>475</v>
      </c>
      <c r="J74" s="16" t="s">
        <v>476</v>
      </c>
      <c r="K74" s="14"/>
      <c r="L74" s="14"/>
      <c r="M74" s="14"/>
      <c r="N74" s="14"/>
      <c r="O74" s="14"/>
      <c r="P74" s="14"/>
      <c r="Q74" s="14"/>
      <c r="R74" s="14"/>
      <c r="S74"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1"/>
  <sheetViews>
    <sheetView workbookViewId="0"/>
  </sheetViews>
  <sheetFormatPr defaultRowHeight="15" x14ac:dyDescent="0.25"/>
  <cols>
    <col min="1" max="1" width="59.7109375" customWidth="1"/>
    <col min="2" max="2" width="48.140625" customWidth="1"/>
  </cols>
  <sheetData>
    <row r="1" spans="1:2" x14ac:dyDescent="0.25">
      <c r="A1" s="93" t="s">
        <v>553</v>
      </c>
      <c r="B1" s="93" t="s">
        <v>554</v>
      </c>
    </row>
    <row r="2" spans="1:2" s="3" customFormat="1" ht="90" x14ac:dyDescent="0.25">
      <c r="A2" s="94" t="s">
        <v>562</v>
      </c>
      <c r="B2" s="94" t="s">
        <v>365</v>
      </c>
    </row>
    <row r="3" spans="1:2" s="3" customFormat="1" ht="45" x14ac:dyDescent="0.25">
      <c r="A3" s="94" t="s">
        <v>563</v>
      </c>
      <c r="B3" s="94" t="s">
        <v>386</v>
      </c>
    </row>
    <row r="4" spans="1:2" s="3" customFormat="1" ht="45" x14ac:dyDescent="0.25">
      <c r="A4" s="94" t="s">
        <v>564</v>
      </c>
      <c r="B4" s="94" t="s">
        <v>401</v>
      </c>
    </row>
    <row r="5" spans="1:2" ht="90" x14ac:dyDescent="0.25">
      <c r="A5" s="94" t="s">
        <v>555</v>
      </c>
      <c r="B5" s="94" t="s">
        <v>121</v>
      </c>
    </row>
    <row r="6" spans="1:2" ht="60" x14ac:dyDescent="0.25">
      <c r="A6" s="94" t="s">
        <v>556</v>
      </c>
      <c r="B6" s="94" t="s">
        <v>132</v>
      </c>
    </row>
    <row r="7" spans="1:2" ht="45" x14ac:dyDescent="0.25">
      <c r="A7" s="94" t="s">
        <v>557</v>
      </c>
      <c r="B7" s="94" t="s">
        <v>87</v>
      </c>
    </row>
    <row r="8" spans="1:2" ht="45" x14ac:dyDescent="0.25">
      <c r="A8" s="94" t="s">
        <v>558</v>
      </c>
      <c r="B8" s="94" t="s">
        <v>88</v>
      </c>
    </row>
    <row r="9" spans="1:2" ht="30" x14ac:dyDescent="0.25">
      <c r="A9" s="94" t="s">
        <v>559</v>
      </c>
      <c r="B9" s="94" t="s">
        <v>167</v>
      </c>
    </row>
    <row r="10" spans="1:2" ht="30" x14ac:dyDescent="0.25">
      <c r="A10" s="94" t="s">
        <v>560</v>
      </c>
      <c r="B10" s="94" t="s">
        <v>183</v>
      </c>
    </row>
    <row r="11" spans="1:2" ht="30" x14ac:dyDescent="0.25">
      <c r="A11" s="94" t="s">
        <v>561</v>
      </c>
      <c r="B11" s="94" t="s">
        <v>198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68"/>
  <sheetViews>
    <sheetView topLeftCell="A35" workbookViewId="0">
      <selection activeCell="A66" sqref="A66"/>
    </sheetView>
  </sheetViews>
  <sheetFormatPr defaultRowHeight="15" x14ac:dyDescent="0.25"/>
  <cols>
    <col min="1" max="1" width="59" style="1" customWidth="1"/>
    <col min="2" max="2" width="80.5703125" style="1" customWidth="1"/>
    <col min="3" max="3" width="39.7109375" bestFit="1" customWidth="1"/>
    <col min="4" max="4" width="119.85546875" bestFit="1" customWidth="1"/>
  </cols>
  <sheetData>
    <row r="1" spans="1:4" x14ac:dyDescent="0.25">
      <c r="A1" s="87" t="s">
        <v>90</v>
      </c>
      <c r="B1" s="87" t="s">
        <v>91</v>
      </c>
      <c r="D1" s="3" t="s">
        <v>419</v>
      </c>
    </row>
    <row r="2" spans="1:4" ht="15.75" x14ac:dyDescent="0.25">
      <c r="A2" s="88" t="s">
        <v>92</v>
      </c>
      <c r="B2" s="87" t="s">
        <v>87</v>
      </c>
      <c r="C2" t="e">
        <f>LOOKUP(D2,B2:B68)</f>
        <v>#N/A</v>
      </c>
      <c r="D2" s="98" t="s">
        <v>618</v>
      </c>
    </row>
    <row r="3" spans="1:4" ht="15.75" x14ac:dyDescent="0.25">
      <c r="A3" s="88" t="s">
        <v>93</v>
      </c>
      <c r="B3" s="87" t="s">
        <v>88</v>
      </c>
      <c r="C3" s="3" t="str">
        <f>LOOKUP(D3,B2:B68)</f>
        <v>TC_OBI_004_PM1.4_Exclusion_Condition_4</v>
      </c>
      <c r="D3" s="98" t="s">
        <v>192</v>
      </c>
    </row>
    <row r="4" spans="1:4" x14ac:dyDescent="0.25">
      <c r="A4" s="87" t="s">
        <v>95</v>
      </c>
      <c r="B4" s="87" t="s">
        <v>94</v>
      </c>
      <c r="D4" s="98" t="s">
        <v>454</v>
      </c>
    </row>
    <row r="5" spans="1:4" x14ac:dyDescent="0.25">
      <c r="A5" s="87" t="s">
        <v>101</v>
      </c>
      <c r="B5" s="87" t="s">
        <v>96</v>
      </c>
      <c r="D5" s="98" t="s">
        <v>459</v>
      </c>
    </row>
    <row r="6" spans="1:4" x14ac:dyDescent="0.25">
      <c r="A6" s="87" t="s">
        <v>102</v>
      </c>
      <c r="B6" s="87" t="s">
        <v>98</v>
      </c>
      <c r="D6" s="98" t="s">
        <v>645</v>
      </c>
    </row>
    <row r="7" spans="1:4" x14ac:dyDescent="0.25">
      <c r="A7" s="87" t="s">
        <v>103</v>
      </c>
      <c r="B7" s="87" t="s">
        <v>104</v>
      </c>
      <c r="D7" s="98" t="s">
        <v>647</v>
      </c>
    </row>
    <row r="8" spans="1:4" ht="30" x14ac:dyDescent="0.25">
      <c r="A8" s="87" t="s">
        <v>113</v>
      </c>
      <c r="B8" s="87" t="s">
        <v>106</v>
      </c>
      <c r="D8" s="98" t="s">
        <v>224</v>
      </c>
    </row>
    <row r="9" spans="1:4" ht="30" x14ac:dyDescent="0.25">
      <c r="A9" s="87" t="s">
        <v>109</v>
      </c>
      <c r="B9" s="87" t="s">
        <v>110</v>
      </c>
      <c r="D9" s="98" t="s">
        <v>235</v>
      </c>
    </row>
    <row r="10" spans="1:4" ht="30" x14ac:dyDescent="0.25">
      <c r="A10" s="87" t="s">
        <v>112</v>
      </c>
      <c r="B10" s="87" t="s">
        <v>106</v>
      </c>
      <c r="D10" s="98" t="s">
        <v>653</v>
      </c>
    </row>
    <row r="11" spans="1:4" x14ac:dyDescent="0.25">
      <c r="A11" s="87" t="s">
        <v>114</v>
      </c>
      <c r="B11" s="87" t="s">
        <v>115</v>
      </c>
      <c r="D11" s="98" t="s">
        <v>672</v>
      </c>
    </row>
    <row r="12" spans="1:4" x14ac:dyDescent="0.25">
      <c r="A12" s="87" t="s">
        <v>122</v>
      </c>
      <c r="B12" s="87" t="s">
        <v>121</v>
      </c>
      <c r="D12" s="98" t="s">
        <v>702</v>
      </c>
    </row>
    <row r="13" spans="1:4" ht="30" x14ac:dyDescent="0.25">
      <c r="A13" s="87" t="s">
        <v>123</v>
      </c>
      <c r="B13" s="87" t="s">
        <v>124</v>
      </c>
      <c r="D13" s="98" t="s">
        <v>124</v>
      </c>
    </row>
    <row r="14" spans="1:4" ht="30" x14ac:dyDescent="0.25">
      <c r="A14" s="87" t="s">
        <v>126</v>
      </c>
      <c r="B14" s="87" t="s">
        <v>127</v>
      </c>
      <c r="D14" s="98" t="s">
        <v>127</v>
      </c>
    </row>
    <row r="15" spans="1:4" ht="25.5" x14ac:dyDescent="0.25">
      <c r="A15" s="87" t="s">
        <v>129</v>
      </c>
      <c r="B15" s="21" t="s">
        <v>132</v>
      </c>
      <c r="D15" s="98" t="s">
        <v>735</v>
      </c>
    </row>
    <row r="16" spans="1:4" ht="30" x14ac:dyDescent="0.25">
      <c r="A16" s="87" t="s">
        <v>130</v>
      </c>
      <c r="B16" s="87" t="s">
        <v>133</v>
      </c>
      <c r="D16" s="98" t="s">
        <v>386</v>
      </c>
    </row>
    <row r="17" spans="1:4" x14ac:dyDescent="0.25">
      <c r="A17" s="87" t="s">
        <v>137</v>
      </c>
      <c r="B17" s="87" t="s">
        <v>135</v>
      </c>
      <c r="D17" s="98" t="s">
        <v>98</v>
      </c>
    </row>
    <row r="18" spans="1:4" x14ac:dyDescent="0.25">
      <c r="A18" s="87" t="s">
        <v>141</v>
      </c>
      <c r="B18" s="87" t="s">
        <v>138</v>
      </c>
      <c r="D18" s="98" t="s">
        <v>257</v>
      </c>
    </row>
    <row r="19" spans="1:4" ht="45" x14ac:dyDescent="0.25">
      <c r="A19" s="87" t="s">
        <v>148</v>
      </c>
      <c r="B19" s="87" t="s">
        <v>256</v>
      </c>
      <c r="D19" s="98" t="s">
        <v>106</v>
      </c>
    </row>
    <row r="20" spans="1:4" x14ac:dyDescent="0.25">
      <c r="A20" s="87" t="s">
        <v>149</v>
      </c>
      <c r="B20" s="87" t="s">
        <v>257</v>
      </c>
      <c r="D20" s="98" t="s">
        <v>110</v>
      </c>
    </row>
    <row r="21" spans="1:4" ht="30" x14ac:dyDescent="0.25">
      <c r="A21" s="87" t="s">
        <v>154</v>
      </c>
      <c r="B21" s="87" t="s">
        <v>144</v>
      </c>
      <c r="D21" s="98" t="s">
        <v>115</v>
      </c>
    </row>
    <row r="22" spans="1:4" ht="30" x14ac:dyDescent="0.25">
      <c r="A22" s="87" t="s">
        <v>213</v>
      </c>
      <c r="B22" s="87" t="s">
        <v>199</v>
      </c>
      <c r="D22" s="98" t="s">
        <v>117</v>
      </c>
    </row>
    <row r="23" spans="1:4" x14ac:dyDescent="0.25">
      <c r="A23" s="87" t="s">
        <v>214</v>
      </c>
      <c r="B23" s="87" t="s">
        <v>177</v>
      </c>
      <c r="D23" s="98" t="s">
        <v>238</v>
      </c>
    </row>
    <row r="24" spans="1:4" x14ac:dyDescent="0.25">
      <c r="A24" s="87" t="s">
        <v>215</v>
      </c>
      <c r="B24" s="87" t="s">
        <v>183</v>
      </c>
      <c r="D24" s="98" t="s">
        <v>239</v>
      </c>
    </row>
    <row r="25" spans="1:4" ht="30" x14ac:dyDescent="0.25">
      <c r="A25" s="87" t="s">
        <v>216</v>
      </c>
      <c r="B25" s="87" t="s">
        <v>186</v>
      </c>
      <c r="D25" s="98" t="s">
        <v>240</v>
      </c>
    </row>
    <row r="26" spans="1:4" ht="30" x14ac:dyDescent="0.25">
      <c r="A26" s="87" t="s">
        <v>217</v>
      </c>
      <c r="B26" s="87" t="s">
        <v>188</v>
      </c>
      <c r="D26" s="98" t="s">
        <v>241</v>
      </c>
    </row>
    <row r="27" spans="1:4" ht="30" x14ac:dyDescent="0.25">
      <c r="A27" s="87" t="s">
        <v>218</v>
      </c>
      <c r="B27" s="87" t="s">
        <v>191</v>
      </c>
      <c r="D27" s="98" t="s">
        <v>242</v>
      </c>
    </row>
    <row r="28" spans="1:4" ht="30" x14ac:dyDescent="0.25">
      <c r="A28" s="87" t="s">
        <v>219</v>
      </c>
      <c r="B28" s="87" t="s">
        <v>198</v>
      </c>
      <c r="D28" s="98" t="s">
        <v>244</v>
      </c>
    </row>
    <row r="29" spans="1:4" ht="30" x14ac:dyDescent="0.25">
      <c r="A29" s="87" t="s">
        <v>220</v>
      </c>
      <c r="B29" s="87" t="s">
        <v>207</v>
      </c>
      <c r="D29" s="98" t="s">
        <v>247</v>
      </c>
    </row>
    <row r="30" spans="1:4" ht="30" x14ac:dyDescent="0.25">
      <c r="A30" s="87" t="s">
        <v>222</v>
      </c>
      <c r="B30" s="87" t="s">
        <v>239</v>
      </c>
      <c r="D30" s="98" t="s">
        <v>531</v>
      </c>
    </row>
    <row r="31" spans="1:4" ht="45" x14ac:dyDescent="0.25">
      <c r="A31" s="87" t="s">
        <v>228</v>
      </c>
      <c r="B31" s="87" t="s">
        <v>246</v>
      </c>
      <c r="D31" s="98" t="s">
        <v>87</v>
      </c>
    </row>
    <row r="32" spans="1:4" x14ac:dyDescent="0.25">
      <c r="A32" s="87" t="s">
        <v>231</v>
      </c>
      <c r="B32" s="87" t="s">
        <v>241</v>
      </c>
      <c r="D32" s="98" t="s">
        <v>88</v>
      </c>
    </row>
    <row r="33" spans="1:4" ht="30" x14ac:dyDescent="0.25">
      <c r="A33" s="87" t="s">
        <v>233</v>
      </c>
      <c r="B33" s="87" t="s">
        <v>242</v>
      </c>
      <c r="D33" s="98" t="s">
        <v>535</v>
      </c>
    </row>
    <row r="34" spans="1:4" ht="45" x14ac:dyDescent="0.25">
      <c r="A34" s="87" t="s">
        <v>236</v>
      </c>
      <c r="B34" s="87" t="s">
        <v>245</v>
      </c>
      <c r="D34" s="98" t="s">
        <v>96</v>
      </c>
    </row>
    <row r="35" spans="1:4" ht="45" x14ac:dyDescent="0.25">
      <c r="A35" s="87" t="s">
        <v>252</v>
      </c>
      <c r="B35" s="87" t="s">
        <v>253</v>
      </c>
      <c r="D35" s="98" t="s">
        <v>94</v>
      </c>
    </row>
    <row r="36" spans="1:4" ht="30" x14ac:dyDescent="0.25">
      <c r="A36" s="87" t="s">
        <v>254</v>
      </c>
      <c r="B36" s="87" t="s">
        <v>132</v>
      </c>
      <c r="D36" s="98" t="s">
        <v>259</v>
      </c>
    </row>
    <row r="37" spans="1:4" x14ac:dyDescent="0.25">
      <c r="A37" s="87" t="s">
        <v>258</v>
      </c>
      <c r="B37" s="87" t="s">
        <v>259</v>
      </c>
      <c r="D37" s="98" t="s">
        <v>167</v>
      </c>
    </row>
    <row r="38" spans="1:4" ht="285" x14ac:dyDescent="0.25">
      <c r="A38" s="89" t="s">
        <v>514</v>
      </c>
      <c r="B38" s="4" t="s">
        <v>364</v>
      </c>
      <c r="D38" s="98" t="s">
        <v>537</v>
      </c>
    </row>
    <row r="39" spans="1:4" x14ac:dyDescent="0.25">
      <c r="A39" s="57" t="s">
        <v>485</v>
      </c>
      <c r="B39" s="87" t="s">
        <v>337</v>
      </c>
      <c r="D39" s="98" t="s">
        <v>183</v>
      </c>
    </row>
    <row r="40" spans="1:4" ht="30" x14ac:dyDescent="0.25">
      <c r="A40" s="57" t="s">
        <v>486</v>
      </c>
      <c r="B40" s="87" t="s">
        <v>342</v>
      </c>
      <c r="D40" s="98" t="s">
        <v>188</v>
      </c>
    </row>
    <row r="41" spans="1:4" x14ac:dyDescent="0.25">
      <c r="A41" s="57" t="s">
        <v>487</v>
      </c>
      <c r="B41" s="87" t="s">
        <v>316</v>
      </c>
      <c r="D41" s="98" t="s">
        <v>198</v>
      </c>
    </row>
    <row r="42" spans="1:4" x14ac:dyDescent="0.25">
      <c r="A42" s="57" t="s">
        <v>488</v>
      </c>
      <c r="B42" s="87" t="s">
        <v>316</v>
      </c>
      <c r="D42" s="98" t="s">
        <v>204</v>
      </c>
    </row>
    <row r="43" spans="1:4" x14ac:dyDescent="0.25">
      <c r="A43" s="57" t="s">
        <v>489</v>
      </c>
      <c r="B43" s="92" t="s">
        <v>350</v>
      </c>
      <c r="D43" s="98" t="s">
        <v>206</v>
      </c>
    </row>
    <row r="44" spans="1:4" x14ac:dyDescent="0.25">
      <c r="A44" s="57" t="s">
        <v>490</v>
      </c>
      <c r="B44" s="87" t="s">
        <v>355</v>
      </c>
      <c r="D44" s="98" t="s">
        <v>398</v>
      </c>
    </row>
    <row r="45" spans="1:4" x14ac:dyDescent="0.25">
      <c r="A45" s="57" t="s">
        <v>491</v>
      </c>
      <c r="B45" s="87" t="s">
        <v>365</v>
      </c>
      <c r="D45" s="98" t="s">
        <v>401</v>
      </c>
    </row>
    <row r="46" spans="1:4" ht="15.75" x14ac:dyDescent="0.25">
      <c r="A46" s="85" t="s">
        <v>492</v>
      </c>
      <c r="B46" s="87" t="s">
        <v>493</v>
      </c>
      <c r="D46" s="98" t="s">
        <v>365</v>
      </c>
    </row>
    <row r="47" spans="1:4" ht="15.75" x14ac:dyDescent="0.25">
      <c r="A47" s="85" t="s">
        <v>494</v>
      </c>
      <c r="B47" s="89" t="s">
        <v>495</v>
      </c>
      <c r="D47" s="98" t="s">
        <v>538</v>
      </c>
    </row>
    <row r="48" spans="1:4" ht="15.75" x14ac:dyDescent="0.25">
      <c r="A48" s="85" t="s">
        <v>496</v>
      </c>
      <c r="B48" s="89" t="s">
        <v>497</v>
      </c>
      <c r="D48" s="98" t="s">
        <v>619</v>
      </c>
    </row>
    <row r="49" spans="1:4" x14ac:dyDescent="0.25">
      <c r="A49" s="90" t="s">
        <v>498</v>
      </c>
      <c r="B49" s="87" t="s">
        <v>499</v>
      </c>
      <c r="D49" s="98" t="s">
        <v>539</v>
      </c>
    </row>
    <row r="50" spans="1:4" x14ac:dyDescent="0.25">
      <c r="A50" s="90" t="s">
        <v>500</v>
      </c>
      <c r="B50" s="87" t="s">
        <v>499</v>
      </c>
      <c r="D50" s="98" t="s">
        <v>132</v>
      </c>
    </row>
    <row r="51" spans="1:4" x14ac:dyDescent="0.25">
      <c r="A51" s="90" t="s">
        <v>501</v>
      </c>
      <c r="B51" s="87" t="s">
        <v>499</v>
      </c>
      <c r="D51" s="98" t="s">
        <v>540</v>
      </c>
    </row>
    <row r="52" spans="1:4" x14ac:dyDescent="0.25">
      <c r="A52" s="90" t="s">
        <v>502</v>
      </c>
      <c r="B52" s="87" t="s">
        <v>499</v>
      </c>
      <c r="D52" s="98" t="s">
        <v>133</v>
      </c>
    </row>
    <row r="53" spans="1:4" x14ac:dyDescent="0.25">
      <c r="A53" s="90" t="s">
        <v>503</v>
      </c>
      <c r="B53" s="87" t="s">
        <v>499</v>
      </c>
      <c r="D53" s="98" t="s">
        <v>541</v>
      </c>
    </row>
    <row r="54" spans="1:4" x14ac:dyDescent="0.25">
      <c r="A54" s="91" t="s">
        <v>504</v>
      </c>
      <c r="B54" s="87" t="s">
        <v>505</v>
      </c>
      <c r="D54" s="98" t="s">
        <v>135</v>
      </c>
    </row>
    <row r="55" spans="1:4" x14ac:dyDescent="0.25">
      <c r="A55" s="91" t="s">
        <v>506</v>
      </c>
      <c r="B55" s="87" t="s">
        <v>507</v>
      </c>
      <c r="D55" s="98" t="s">
        <v>255</v>
      </c>
    </row>
    <row r="56" spans="1:4" x14ac:dyDescent="0.25">
      <c r="A56" s="91" t="s">
        <v>508</v>
      </c>
      <c r="B56" s="87" t="s">
        <v>509</v>
      </c>
      <c r="D56" s="98" t="s">
        <v>825</v>
      </c>
    </row>
    <row r="57" spans="1:4" ht="30" x14ac:dyDescent="0.25">
      <c r="A57" s="91" t="s">
        <v>510</v>
      </c>
      <c r="B57" s="87" t="s">
        <v>511</v>
      </c>
      <c r="D57" s="98" t="s">
        <v>142</v>
      </c>
    </row>
    <row r="58" spans="1:4" ht="15.75" x14ac:dyDescent="0.25">
      <c r="A58" s="85" t="s">
        <v>512</v>
      </c>
      <c r="B58" s="89" t="s">
        <v>537</v>
      </c>
      <c r="D58" s="98" t="s">
        <v>250</v>
      </c>
    </row>
    <row r="59" spans="1:4" ht="15.75" x14ac:dyDescent="0.25">
      <c r="A59" s="85" t="s">
        <v>513</v>
      </c>
      <c r="B59" s="89" t="s">
        <v>538</v>
      </c>
      <c r="D59" s="98" t="s">
        <v>544</v>
      </c>
    </row>
    <row r="60" spans="1:4" x14ac:dyDescent="0.25">
      <c r="A60" s="87" t="s">
        <v>532</v>
      </c>
      <c r="B60" s="87" t="s">
        <v>530</v>
      </c>
      <c r="D60" s="98" t="s">
        <v>545</v>
      </c>
    </row>
    <row r="61" spans="1:4" ht="15.75" x14ac:dyDescent="0.25">
      <c r="A61" s="85" t="s">
        <v>534</v>
      </c>
      <c r="B61" s="87" t="s">
        <v>531</v>
      </c>
      <c r="D61" s="98" t="s">
        <v>546</v>
      </c>
    </row>
    <row r="62" spans="1:4" ht="15.75" x14ac:dyDescent="0.25">
      <c r="A62" s="85" t="s">
        <v>536</v>
      </c>
      <c r="B62" s="87" t="s">
        <v>535</v>
      </c>
    </row>
    <row r="63" spans="1:4" x14ac:dyDescent="0.25">
      <c r="A63" s="87" t="s">
        <v>485</v>
      </c>
      <c r="B63" s="87" t="s">
        <v>539</v>
      </c>
    </row>
    <row r="64" spans="1:4" ht="30" x14ac:dyDescent="0.25">
      <c r="A64" s="87" t="s">
        <v>486</v>
      </c>
      <c r="B64" s="87" t="s">
        <v>540</v>
      </c>
    </row>
    <row r="65" spans="1:2" ht="15.75" x14ac:dyDescent="0.25">
      <c r="A65" s="85" t="s">
        <v>542</v>
      </c>
      <c r="B65" s="87" t="s">
        <v>541</v>
      </c>
    </row>
    <row r="66" spans="1:2" ht="15.75" x14ac:dyDescent="0.25">
      <c r="A66" s="85" t="s">
        <v>489</v>
      </c>
      <c r="B66" s="87" t="s">
        <v>544</v>
      </c>
    </row>
    <row r="67" spans="1:2" x14ac:dyDescent="0.25">
      <c r="A67" s="87" t="s">
        <v>490</v>
      </c>
      <c r="B67" s="87" t="s">
        <v>545</v>
      </c>
    </row>
    <row r="68" spans="1:2" x14ac:dyDescent="0.25">
      <c r="A68" s="87" t="s">
        <v>533</v>
      </c>
      <c r="B68" s="87" t="s">
        <v>546</v>
      </c>
    </row>
  </sheetData>
  <autoFilter ref="A1:B68"/>
  <conditionalFormatting sqref="A2:A3">
    <cfRule type="duplicateValues" dxfId="5" priority="6"/>
  </conditionalFormatting>
  <conditionalFormatting sqref="A2:A3">
    <cfRule type="duplicateValues" dxfId="4" priority="5"/>
  </conditionalFormatting>
  <conditionalFormatting sqref="A61:A62">
    <cfRule type="duplicateValues" dxfId="3" priority="4"/>
  </conditionalFormatting>
  <conditionalFormatting sqref="A61:A62">
    <cfRule type="duplicateValues" dxfId="2" priority="3"/>
  </conditionalFormatting>
  <conditionalFormatting sqref="A65:A66">
    <cfRule type="duplicateValues" dxfId="1" priority="2"/>
  </conditionalFormatting>
  <conditionalFormatting sqref="A65:A6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Test_Cases</vt:lpstr>
      <vt:lpstr>Written -CR109-Exempted CH</vt:lpstr>
      <vt:lpstr>Written -CR109-Missed CH</vt:lpstr>
      <vt:lpstr>Written -CR109 Summart &amp; Mid </vt:lpstr>
      <vt:lpstr>Written -Manual PM overrides</vt:lpstr>
      <vt:lpstr>Written -Exclusions</vt:lpstr>
      <vt:lpstr>Written -PA Report</vt:lpstr>
      <vt:lpstr>Written -Email</vt:lpstr>
      <vt:lpstr>Scenarios</vt:lpstr>
      <vt:lpstr>RTM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2017-01-06T12:29:24Z</dcterms:modified>
</cp:coreProperties>
</file>